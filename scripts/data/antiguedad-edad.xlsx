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4a9dd6b2a5906c7/Documents/barbara/CLAUDEEEE/"/>
    </mc:Choice>
  </mc:AlternateContent>
  <xr:revisionPtr revIDLastSave="1" documentId="8_{74B55C99-8556-49D9-8129-CDF3FD09C376}" xr6:coauthVersionLast="47" xr6:coauthVersionMax="47" xr10:uidLastSave="{563C6CA7-0563-4D71-A626-A45AA12215BE}"/>
  <bookViews>
    <workbookView xWindow="-108" yWindow="-108" windowWidth="23256" windowHeight="12456" activeTab="1" xr2:uid="{749F2404-36D9-407D-B559-0574FBC0F3E8}"/>
  </bookViews>
  <sheets>
    <sheet name="ANTIGUEDAD PROMEDIO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9" i="1" l="1"/>
  <c r="C60" i="1"/>
  <c r="D62" i="1"/>
  <c r="C58" i="1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B61" i="2" l="1"/>
  <c r="C62" i="1"/>
</calcChain>
</file>

<file path=xl/sharedStrings.xml><?xml version="1.0" encoding="utf-8"?>
<sst xmlns="http://schemas.openxmlformats.org/spreadsheetml/2006/main" count="245" uniqueCount="151">
  <si>
    <t>Albornoz Matias</t>
  </si>
  <si>
    <t>Andruszezen Guillermo</t>
  </si>
  <si>
    <t>Arias Cesar</t>
  </si>
  <si>
    <t>Asteazarán Cristian</t>
  </si>
  <si>
    <t>Bazan Marcos</t>
  </si>
  <si>
    <t>Bordignon Javier</t>
  </si>
  <si>
    <t>Caligiuri Silvio</t>
  </si>
  <si>
    <t>Cartasso Hector</t>
  </si>
  <si>
    <t>Cejas Diego</t>
  </si>
  <si>
    <t>Cejas Nazareno</t>
  </si>
  <si>
    <t>Fernandez Jose</t>
  </si>
  <si>
    <t>Franco, Daniel</t>
  </si>
  <si>
    <t>Gallastegui Cristian</t>
  </si>
  <si>
    <t>Garmendia Sebastian</t>
  </si>
  <si>
    <t>Gomez Ricardo</t>
  </si>
  <si>
    <t>Juarez Gonzalo</t>
  </si>
  <si>
    <t>Juarez Luis</t>
  </si>
  <si>
    <t>Lagano Daniel</t>
  </si>
  <si>
    <t>Larrecochea Jonatan</t>
  </si>
  <si>
    <t>Larrecochea Marcelo</t>
  </si>
  <si>
    <t>Leyendeker Ruben</t>
  </si>
  <si>
    <t>Martinez Nicolas</t>
  </si>
  <si>
    <t>Mehring Leonel Eduardo</t>
  </si>
  <si>
    <t>Novillo Hector Fernando</t>
  </si>
  <si>
    <t>Paz Leonardo</t>
  </si>
  <si>
    <t>Pittana Eugenio</t>
  </si>
  <si>
    <t>Pittana Maximiliano</t>
  </si>
  <si>
    <t>Pittana Miguel</t>
  </si>
  <si>
    <t>Pucheta Oscar</t>
  </si>
  <si>
    <t>Ramos Nestor Emilio</t>
  </si>
  <si>
    <t>Saenz Buruaga Gaston</t>
  </si>
  <si>
    <t>Schmidt Sergio</t>
  </si>
  <si>
    <t xml:space="preserve">Schwindt Fernando </t>
  </si>
  <si>
    <t>Valerga Andrés</t>
  </si>
  <si>
    <t>CHOFER</t>
  </si>
  <si>
    <t>INGRESO</t>
  </si>
  <si>
    <t>ANTIGÜEDAD AL 31/12/2026</t>
  </si>
  <si>
    <t>Paredez Daniel orlando</t>
  </si>
  <si>
    <t>Asteazaran Agustin</t>
  </si>
  <si>
    <t>Valenza Pablo Javier</t>
  </si>
  <si>
    <t>EDAD</t>
  </si>
  <si>
    <t>GALLASTEGUI</t>
  </si>
  <si>
    <t>SCWHINDT</t>
  </si>
  <si>
    <t>AL</t>
  </si>
  <si>
    <t>SAENZ BURUAGA</t>
  </si>
  <si>
    <t>SCHMIDT</t>
  </si>
  <si>
    <t>CEJAS NAZARENO</t>
  </si>
  <si>
    <t>VALERGA</t>
  </si>
  <si>
    <t>PUCHETA</t>
  </si>
  <si>
    <t>CALIGIURI</t>
  </si>
  <si>
    <t>ASTEAZARAN CRISTIAN</t>
  </si>
  <si>
    <t>GARMENDIA ANDRES</t>
  </si>
  <si>
    <t>SALTO IVAN</t>
  </si>
  <si>
    <t>BAZAN</t>
  </si>
  <si>
    <t>BORDIGNON</t>
  </si>
  <si>
    <t>LAGANO DANIEL</t>
  </si>
  <si>
    <t>NOVILLO</t>
  </si>
  <si>
    <t>ARIAS</t>
  </si>
  <si>
    <t>JUAREZ GONZALO</t>
  </si>
  <si>
    <t>MEHRING LEONEL</t>
  </si>
  <si>
    <t>RAMOS E</t>
  </si>
  <si>
    <t>GARCIA EDUARDO</t>
  </si>
  <si>
    <t>BENITEZ</t>
  </si>
  <si>
    <t>CANCELA</t>
  </si>
  <si>
    <t>COSENTINO</t>
  </si>
  <si>
    <t>SALTO MAXI</t>
  </si>
  <si>
    <t>RANDAZZO</t>
  </si>
  <si>
    <t>ACOSTA</t>
  </si>
  <si>
    <t>RUPPEL</t>
  </si>
  <si>
    <t>RUCKERT</t>
  </si>
  <si>
    <t>FERNANDEZ J</t>
  </si>
  <si>
    <t>MAZZEI</t>
  </si>
  <si>
    <t>GUILFORD</t>
  </si>
  <si>
    <t>SURRA</t>
  </si>
  <si>
    <t>GRASSI</t>
  </si>
  <si>
    <t>ORLANDO</t>
  </si>
  <si>
    <t>MARTINEZ NICOLAS</t>
  </si>
  <si>
    <t>URBAN LEO</t>
  </si>
  <si>
    <t>CEJAS DIEGO</t>
  </si>
  <si>
    <t>JUAREZ LUIS</t>
  </si>
  <si>
    <t>DE LIBANO</t>
  </si>
  <si>
    <t>FERNANDEZ F</t>
  </si>
  <si>
    <t>PITTANA MIGUEL</t>
  </si>
  <si>
    <t>PITTANA EUGENIO</t>
  </si>
  <si>
    <t>ALBORNOZ MATIAS</t>
  </si>
  <si>
    <t>CARTASSO  HECTOR</t>
  </si>
  <si>
    <t>ANDRUSZEZEN GUILLERMO</t>
  </si>
  <si>
    <t>PAZ LEONARDO</t>
  </si>
  <si>
    <t>LEYENDEKER RUBEN</t>
  </si>
  <si>
    <t>FRANCO DANIEL</t>
  </si>
  <si>
    <t>LARRECOCHEA JONATAN</t>
  </si>
  <si>
    <t>LARRECOCHEA MARCELO</t>
  </si>
  <si>
    <t>PITTANA MAXIMILIANO</t>
  </si>
  <si>
    <t>GARMENDIA SEBASTIAN</t>
  </si>
  <si>
    <t>GOMEZ RICARDO</t>
  </si>
  <si>
    <t>PAREDEZ DANIEL ORLANDO</t>
  </si>
  <si>
    <t>ASTEAZARAN AGUSTIN</t>
  </si>
  <si>
    <t>VALENZA PABLO</t>
  </si>
  <si>
    <t>PROMEDIO EDAD</t>
  </si>
  <si>
    <t>CHOFERES</t>
  </si>
  <si>
    <t>FECHA NACIMIENTO</t>
  </si>
  <si>
    <t>PROMEDIO</t>
  </si>
  <si>
    <t>DOMICILIO</t>
  </si>
  <si>
    <t>OLAVARRIA</t>
  </si>
  <si>
    <t>HINOJO</t>
  </si>
  <si>
    <t>BOLIVAR</t>
  </si>
  <si>
    <t>SALADILLO</t>
  </si>
  <si>
    <t>MONTE</t>
  </si>
  <si>
    <t>AZUL</t>
  </si>
  <si>
    <t>ALVEAR</t>
  </si>
  <si>
    <t>LAS FLORES</t>
  </si>
  <si>
    <t>ENTRE RIOS</t>
  </si>
  <si>
    <t>CARLOS SPEGAZZINI</t>
  </si>
  <si>
    <t>COLONIA HINOJO</t>
  </si>
  <si>
    <t>TAPALQUE</t>
  </si>
  <si>
    <t>LUJAN</t>
  </si>
  <si>
    <t>ING MASCHWITZ</t>
  </si>
  <si>
    <t>AZUK</t>
  </si>
  <si>
    <t>SIERRAS BAYAS</t>
  </si>
  <si>
    <t>CORONEL SUAREZ</t>
  </si>
  <si>
    <t>SAN MARTIN DE GILES</t>
  </si>
  <si>
    <t>GENERAL RODRIGUEZ</t>
  </si>
  <si>
    <t>MARCA CAMION</t>
  </si>
  <si>
    <t>SCANIA</t>
  </si>
  <si>
    <t>IVECO</t>
  </si>
  <si>
    <t>VOLVO</t>
  </si>
  <si>
    <t>MERCEDES BENZ</t>
  </si>
  <si>
    <t>CNIA HINOJO</t>
  </si>
  <si>
    <t xml:space="preserve">JUAREZ NAHUEL </t>
  </si>
  <si>
    <t>Garmendia DAMIAN</t>
  </si>
  <si>
    <t>Benitez Sergio</t>
  </si>
  <si>
    <t>Garcia eduardo</t>
  </si>
  <si>
    <t>Cancela damian</t>
  </si>
  <si>
    <t>Cosentino luciano</t>
  </si>
  <si>
    <t>Salto Maximiliano</t>
  </si>
  <si>
    <t>Randazzo david</t>
  </si>
  <si>
    <t>Acosta pablo</t>
  </si>
  <si>
    <t>Ruppel EMILIANO</t>
  </si>
  <si>
    <t>Ruckert CARLOS</t>
  </si>
  <si>
    <t>Mazzei MARCELO</t>
  </si>
  <si>
    <t>Guilford PABLO</t>
  </si>
  <si>
    <t>Surra AGUSTIN</t>
  </si>
  <si>
    <t>Grassi BRUNO</t>
  </si>
  <si>
    <t>Orlando NESTOR RAMON</t>
  </si>
  <si>
    <t>Urban LEONARDO</t>
  </si>
  <si>
    <t>De Libano OSCAR ADRIAN</t>
  </si>
  <si>
    <t>Fernandez FACUNDO</t>
  </si>
  <si>
    <t>GUSTAVO BERMAY</t>
  </si>
  <si>
    <t>SEBASTIAN GODOY</t>
  </si>
  <si>
    <t>OLAVARRIA/ENTRE RIOS</t>
  </si>
  <si>
    <t>JUAREZ NAHUEL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</si>
</sst>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29">
    <xf numFmtId="0" fontId="0" fillId="0" borderId="0" xfId="0"/>
    <xf numFmtId="14" fontId="0" fillId="0" borderId="1" xfId="0" applyNumberFormat="1" applyBorder="1"/>
    <xf numFmtId="14" fontId="0" fillId="0" borderId="0" xfId="0" applyNumberFormat="1"/>
    <xf numFmtId="0" fontId="1" fillId="2" borderId="1" xfId="0" applyFont="1" applyFill="1" applyBorder="1"/>
    <xf numFmtId="0" fontId="0" fillId="0" borderId="1" xfId="0" applyBorder="1"/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0" fontId="6" fillId="0" borderId="1" xfId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7" fillId="0" borderId="1" xfId="1" applyFont="1" applyBorder="1" applyAlignment="1">
      <alignment horizontal="left"/>
    </xf>
    <xf numFmtId="0" fontId="3" fillId="3" borderId="1" xfId="2" applyFont="1" applyFill="1" applyBorder="1" applyAlignment="1">
      <alignment horizontal="left"/>
    </xf>
    <xf numFmtId="0" fontId="3" fillId="3" borderId="1" xfId="1" applyFont="1" applyFill="1" applyBorder="1" applyAlignment="1">
      <alignment horizontal="left"/>
    </xf>
    <xf numFmtId="0" fontId="3" fillId="0" borderId="1" xfId="1" applyFont="1" applyBorder="1" applyAlignment="1">
      <alignment horizontal="left"/>
    </xf>
    <xf numFmtId="0" fontId="8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left"/>
    </xf>
    <xf numFmtId="14" fontId="5" fillId="0" borderId="0" xfId="0" applyNumberFormat="1" applyFont="1"/>
    <xf numFmtId="0" fontId="5" fillId="0" borderId="0" xfId="0" applyFont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Border="1"/>
    <xf numFmtId="0" fontId="5" fillId="0" borderId="3" xfId="0" applyFont="1" applyBorder="1" applyAlignment="1">
      <alignment horizontal="center"/>
    </xf>
    <xf numFmtId="0" fontId="9" fillId="2" borderId="3" xfId="0" applyFont="1" applyFill="1" applyBorder="1"/>
    <xf numFmtId="2" fontId="9" fillId="2" borderId="3" xfId="0" applyNumberFormat="1" applyFont="1" applyFill="1" applyBorder="1"/>
    <xf numFmtId="0" fontId="0" fillId="0" borderId="1" xfId="0" applyFill="1" applyBorder="1"/>
  </cellXfs>
  <cellStyles count="3">
    <cellStyle name="Normal" xfId="0" builtinId="0"/>
    <cellStyle name="Normal 2" xfId="1" xr:uid="{8C4AF814-6725-4A2A-9E53-61CBD64E3C35}"/>
    <cellStyle name="Normal 6" xfId="2" xr:uid="{CF38D31A-3F7D-4E11-ACE0-4E9ABB0F95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A21F9-D2B0-407A-91BC-1ACA81FD70AD}">
  <dimension ref="A1:G62"/>
  <sheetViews>
    <sheetView topLeftCell="A49" workbookViewId="0">
      <selection activeCell="E74" sqref="E74"/>
    </sheetView>
  </sheetViews>
  <sheetFormatPr baseColWidth="10" defaultRowHeight="14.4" x14ac:dyDescent="0.3"/>
  <cols>
    <col min="1" max="1" width="33.6640625" customWidth="1"/>
    <col min="2" max="2" width="16.88671875" customWidth="1"/>
    <col min="3" max="3" width="26.44140625" customWidth="1"/>
    <col min="5" max="5" width="26.6640625" customWidth="1"/>
    <col min="6" max="6" width="20.109375" customWidth="1"/>
  </cols>
  <sheetData>
    <row r="1" spans="1:7" x14ac:dyDescent="0.3">
      <c r="A1" s="20" t="s">
        <v>34</v>
      </c>
      <c r="B1" s="20" t="s">
        <v>35</v>
      </c>
      <c r="C1" s="21" t="s">
        <v>36</v>
      </c>
      <c r="D1" s="23" t="s">
        <v>40</v>
      </c>
      <c r="E1" s="20" t="s">
        <v>102</v>
      </c>
      <c r="F1" s="20" t="s">
        <v>122</v>
      </c>
      <c r="G1" s="2">
        <v>46387</v>
      </c>
    </row>
    <row r="2" spans="1:7" x14ac:dyDescent="0.3">
      <c r="A2" s="20"/>
      <c r="B2" s="20"/>
      <c r="C2" s="22"/>
      <c r="D2" s="23"/>
      <c r="E2" s="20"/>
      <c r="F2" s="20"/>
    </row>
    <row r="3" spans="1:7" x14ac:dyDescent="0.3">
      <c r="A3" s="8" t="s">
        <v>12</v>
      </c>
      <c r="B3" s="5">
        <v>38991</v>
      </c>
      <c r="C3" s="6">
        <f>DATEDIF(B3,G1,"Y")</f>
        <v>20</v>
      </c>
      <c r="D3" s="4">
        <v>52</v>
      </c>
      <c r="E3" s="4" t="s">
        <v>127</v>
      </c>
      <c r="F3" s="4" t="s">
        <v>123</v>
      </c>
    </row>
    <row r="4" spans="1:7" x14ac:dyDescent="0.3">
      <c r="A4" s="8" t="s">
        <v>32</v>
      </c>
      <c r="B4" s="5">
        <v>40180</v>
      </c>
      <c r="C4" s="6">
        <f>DATEDIF(B4,G1,"Y")</f>
        <v>16</v>
      </c>
      <c r="D4" s="4">
        <v>48</v>
      </c>
      <c r="E4" s="4" t="s">
        <v>103</v>
      </c>
      <c r="F4" s="4" t="s">
        <v>124</v>
      </c>
    </row>
    <row r="5" spans="1:7" x14ac:dyDescent="0.3">
      <c r="A5" s="8" t="s">
        <v>30</v>
      </c>
      <c r="B5" s="5">
        <v>42248</v>
      </c>
      <c r="C5" s="6">
        <f>DATEDIF(B5,G1,"Y")</f>
        <v>11</v>
      </c>
      <c r="D5" s="4">
        <v>52</v>
      </c>
      <c r="E5" s="4" t="s">
        <v>103</v>
      </c>
      <c r="F5" s="4" t="s">
        <v>123</v>
      </c>
    </row>
    <row r="6" spans="1:7" x14ac:dyDescent="0.3">
      <c r="A6" s="10" t="s">
        <v>31</v>
      </c>
      <c r="B6" s="5">
        <v>42339</v>
      </c>
      <c r="C6" s="6">
        <f>DATEDIF(B6,G1,"Y")</f>
        <v>11</v>
      </c>
      <c r="D6" s="4">
        <v>54</v>
      </c>
      <c r="E6" s="4" t="s">
        <v>103</v>
      </c>
      <c r="F6" s="4" t="s">
        <v>124</v>
      </c>
    </row>
    <row r="7" spans="1:7" x14ac:dyDescent="0.3">
      <c r="A7" s="8" t="s">
        <v>9</v>
      </c>
      <c r="B7" s="5">
        <v>42618</v>
      </c>
      <c r="C7" s="6">
        <f>DATEDIF(B7,G1,"Y")</f>
        <v>10</v>
      </c>
      <c r="D7" s="4">
        <v>35</v>
      </c>
      <c r="E7" s="4" t="s">
        <v>104</v>
      </c>
      <c r="F7" s="4" t="s">
        <v>123</v>
      </c>
    </row>
    <row r="8" spans="1:7" x14ac:dyDescent="0.3">
      <c r="A8" s="8" t="s">
        <v>33</v>
      </c>
      <c r="B8" s="5">
        <v>42646</v>
      </c>
      <c r="C8" s="6">
        <f>DATEDIF(B8,G1,"Y")</f>
        <v>10</v>
      </c>
      <c r="D8" s="4">
        <v>39</v>
      </c>
      <c r="E8" s="4" t="s">
        <v>103</v>
      </c>
      <c r="F8" s="4" t="s">
        <v>125</v>
      </c>
    </row>
    <row r="9" spans="1:7" x14ac:dyDescent="0.3">
      <c r="A9" s="8" t="s">
        <v>28</v>
      </c>
      <c r="B9" s="5">
        <v>42720</v>
      </c>
      <c r="C9" s="6">
        <f>DATEDIF(B9,G1,"Y")</f>
        <v>10</v>
      </c>
      <c r="D9" s="4">
        <v>48</v>
      </c>
      <c r="E9" s="4" t="s">
        <v>104</v>
      </c>
      <c r="F9" s="4" t="s">
        <v>123</v>
      </c>
    </row>
    <row r="10" spans="1:7" x14ac:dyDescent="0.3">
      <c r="A10" s="8" t="s">
        <v>6</v>
      </c>
      <c r="B10" s="5">
        <v>43102</v>
      </c>
      <c r="C10" s="6">
        <f>DATEDIF(B10,G1,"Y")</f>
        <v>8</v>
      </c>
      <c r="D10" s="4">
        <v>49</v>
      </c>
      <c r="E10" s="4" t="s">
        <v>105</v>
      </c>
      <c r="F10" s="4" t="s">
        <v>125</v>
      </c>
    </row>
    <row r="11" spans="1:7" x14ac:dyDescent="0.3">
      <c r="A11" s="8" t="s">
        <v>3</v>
      </c>
      <c r="B11" s="5">
        <v>43300</v>
      </c>
      <c r="C11" s="6">
        <f>DATEDIF(B11,G1,"Y")</f>
        <v>8</v>
      </c>
      <c r="D11" s="4">
        <v>44</v>
      </c>
      <c r="E11" s="4" t="s">
        <v>106</v>
      </c>
      <c r="F11" s="4" t="s">
        <v>123</v>
      </c>
    </row>
    <row r="12" spans="1:7" x14ac:dyDescent="0.3">
      <c r="A12" s="8" t="s">
        <v>129</v>
      </c>
      <c r="B12" s="5">
        <v>43439</v>
      </c>
      <c r="C12" s="6">
        <f>DATEDIF(B12,G1,"Y")</f>
        <v>8</v>
      </c>
      <c r="D12" s="4">
        <v>40</v>
      </c>
      <c r="E12" s="4" t="s">
        <v>107</v>
      </c>
      <c r="F12" s="4" t="s">
        <v>123</v>
      </c>
    </row>
    <row r="13" spans="1:7" x14ac:dyDescent="0.3">
      <c r="A13" s="8" t="s">
        <v>4</v>
      </c>
      <c r="B13" s="5">
        <v>44026</v>
      </c>
      <c r="C13" s="6">
        <f>DATEDIF(B13,G1,"Y")</f>
        <v>6</v>
      </c>
      <c r="D13" s="4">
        <v>45</v>
      </c>
      <c r="E13" s="4" t="s">
        <v>105</v>
      </c>
      <c r="F13" s="4" t="s">
        <v>123</v>
      </c>
    </row>
    <row r="14" spans="1:7" x14ac:dyDescent="0.3">
      <c r="A14" s="8" t="s">
        <v>5</v>
      </c>
      <c r="B14" s="5">
        <v>44047</v>
      </c>
      <c r="C14" s="6">
        <f>DATEDIF(B14,G1,"Y")</f>
        <v>6</v>
      </c>
      <c r="D14" s="4">
        <v>51</v>
      </c>
      <c r="E14" s="4" t="s">
        <v>105</v>
      </c>
      <c r="F14" s="4" t="s">
        <v>123</v>
      </c>
    </row>
    <row r="15" spans="1:7" x14ac:dyDescent="0.3">
      <c r="A15" s="8" t="s">
        <v>17</v>
      </c>
      <c r="B15" s="5">
        <v>44056</v>
      </c>
      <c r="C15" s="6">
        <f>DATEDIF(B15,G1,"Y")</f>
        <v>6</v>
      </c>
      <c r="D15" s="4">
        <v>54</v>
      </c>
      <c r="E15" s="4" t="s">
        <v>103</v>
      </c>
      <c r="F15" s="4" t="s">
        <v>123</v>
      </c>
    </row>
    <row r="16" spans="1:7" x14ac:dyDescent="0.3">
      <c r="A16" s="8" t="s">
        <v>23</v>
      </c>
      <c r="B16" s="5">
        <v>44095</v>
      </c>
      <c r="C16" s="6">
        <f>DATEDIF(B16,G1,"y")</f>
        <v>6</v>
      </c>
      <c r="D16" s="4">
        <v>50</v>
      </c>
      <c r="E16" s="4" t="s">
        <v>103</v>
      </c>
      <c r="F16" s="4" t="s">
        <v>123</v>
      </c>
    </row>
    <row r="17" spans="1:7" x14ac:dyDescent="0.3">
      <c r="A17" s="8" t="s">
        <v>2</v>
      </c>
      <c r="B17" s="5">
        <v>44221</v>
      </c>
      <c r="C17" s="6">
        <f>DATEDIF(B17,G1,"Y")</f>
        <v>5</v>
      </c>
      <c r="D17" s="4">
        <v>46</v>
      </c>
      <c r="E17" s="4" t="s">
        <v>103</v>
      </c>
      <c r="F17" s="4" t="s">
        <v>124</v>
      </c>
    </row>
    <row r="18" spans="1:7" x14ac:dyDescent="0.3">
      <c r="A18" s="8" t="s">
        <v>15</v>
      </c>
      <c r="B18" s="5">
        <v>44447</v>
      </c>
      <c r="C18" s="6">
        <f>DATEDIF(B18,G1,"Y")</f>
        <v>5</v>
      </c>
      <c r="D18" s="4">
        <v>41</v>
      </c>
      <c r="E18" s="4" t="s">
        <v>108</v>
      </c>
      <c r="F18" s="4" t="s">
        <v>126</v>
      </c>
    </row>
    <row r="19" spans="1:7" x14ac:dyDescent="0.3">
      <c r="A19" s="12" t="s">
        <v>22</v>
      </c>
      <c r="B19" s="5">
        <v>44501</v>
      </c>
      <c r="C19" s="6">
        <f>DATEDIF(B19,G1,"Y")</f>
        <v>5</v>
      </c>
      <c r="D19" s="4">
        <v>34</v>
      </c>
      <c r="E19" s="4" t="s">
        <v>108</v>
      </c>
      <c r="F19" s="4" t="s">
        <v>123</v>
      </c>
    </row>
    <row r="20" spans="1:7" x14ac:dyDescent="0.3">
      <c r="A20" s="12" t="s">
        <v>29</v>
      </c>
      <c r="B20" s="5">
        <v>44515</v>
      </c>
      <c r="C20" s="6">
        <f>DATEDIF(B20,G1,"Y")</f>
        <v>5</v>
      </c>
      <c r="D20" s="4">
        <v>45</v>
      </c>
      <c r="E20" s="4" t="s">
        <v>105</v>
      </c>
      <c r="F20" s="4" t="s">
        <v>123</v>
      </c>
    </row>
    <row r="21" spans="1:7" x14ac:dyDescent="0.3">
      <c r="A21" s="8" t="s">
        <v>131</v>
      </c>
      <c r="B21" s="5">
        <v>44543</v>
      </c>
      <c r="C21" s="6">
        <f>DATEDIF(B21,G1,"Y")</f>
        <v>5</v>
      </c>
      <c r="D21" s="4">
        <v>57</v>
      </c>
      <c r="E21" s="4" t="s">
        <v>109</v>
      </c>
      <c r="F21" s="4" t="s">
        <v>126</v>
      </c>
    </row>
    <row r="22" spans="1:7" x14ac:dyDescent="0.3">
      <c r="A22" s="12" t="s">
        <v>130</v>
      </c>
      <c r="B22" s="5">
        <v>44622</v>
      </c>
      <c r="C22" s="6">
        <f>DATEDIF(B22,G1,"Y")</f>
        <v>4</v>
      </c>
      <c r="D22" s="4">
        <v>33</v>
      </c>
      <c r="E22" s="4" t="s">
        <v>107</v>
      </c>
      <c r="F22" s="4" t="s">
        <v>126</v>
      </c>
    </row>
    <row r="23" spans="1:7" x14ac:dyDescent="0.3">
      <c r="A23" s="12" t="s">
        <v>132</v>
      </c>
      <c r="B23" s="5">
        <v>44634</v>
      </c>
      <c r="C23" s="6">
        <f>DATEDIF(B23,G1,"Y")</f>
        <v>4</v>
      </c>
      <c r="D23" s="4">
        <v>37</v>
      </c>
      <c r="E23" s="4" t="s">
        <v>110</v>
      </c>
      <c r="F23" s="4" t="s">
        <v>123</v>
      </c>
    </row>
    <row r="24" spans="1:7" x14ac:dyDescent="0.3">
      <c r="A24" s="12" t="s">
        <v>133</v>
      </c>
      <c r="B24" s="5">
        <v>44753</v>
      </c>
      <c r="C24" s="6">
        <f>DATEDIF(B24,G1,"Y")</f>
        <v>4</v>
      </c>
      <c r="D24" s="4">
        <v>45</v>
      </c>
      <c r="E24" s="4" t="s">
        <v>108</v>
      </c>
      <c r="F24" s="4" t="s">
        <v>123</v>
      </c>
    </row>
    <row r="25" spans="1:7" x14ac:dyDescent="0.3">
      <c r="A25" s="12" t="s">
        <v>134</v>
      </c>
      <c r="B25" s="5">
        <v>45033</v>
      </c>
      <c r="C25" s="6">
        <f>DATEDIF(B25,G1,"Y")</f>
        <v>3</v>
      </c>
      <c r="D25" s="4">
        <v>39</v>
      </c>
      <c r="E25" s="4" t="s">
        <v>107</v>
      </c>
      <c r="F25" s="4" t="s">
        <v>125</v>
      </c>
    </row>
    <row r="26" spans="1:7" x14ac:dyDescent="0.3">
      <c r="A26" s="13" t="s">
        <v>135</v>
      </c>
      <c r="B26" s="5">
        <v>45131</v>
      </c>
      <c r="C26" s="6">
        <f>DATEDIF(B26,G1,"Y")</f>
        <v>3</v>
      </c>
      <c r="D26" s="4">
        <v>43</v>
      </c>
      <c r="E26" s="4" t="s">
        <v>111</v>
      </c>
      <c r="F26" s="4" t="s">
        <v>125</v>
      </c>
    </row>
    <row r="27" spans="1:7" x14ac:dyDescent="0.3">
      <c r="A27" s="12" t="s">
        <v>136</v>
      </c>
      <c r="B27" s="5">
        <v>45154</v>
      </c>
      <c r="C27" s="6">
        <f>DATEDIF(B27,G1,"Y")</f>
        <v>3</v>
      </c>
      <c r="D27" s="4">
        <v>48</v>
      </c>
      <c r="E27" s="4" t="s">
        <v>112</v>
      </c>
      <c r="F27" s="4" t="s">
        <v>124</v>
      </c>
    </row>
    <row r="28" spans="1:7" x14ac:dyDescent="0.3">
      <c r="A28" s="12" t="s">
        <v>137</v>
      </c>
      <c r="B28" s="5">
        <v>45163</v>
      </c>
      <c r="C28" s="6">
        <f>DATEDIF(B28,G1,"Y")</f>
        <v>3</v>
      </c>
      <c r="D28" s="4">
        <v>28</v>
      </c>
      <c r="E28" s="4" t="s">
        <v>103</v>
      </c>
      <c r="F28" s="4" t="s">
        <v>124</v>
      </c>
    </row>
    <row r="29" spans="1:7" x14ac:dyDescent="0.3">
      <c r="A29" s="12" t="s">
        <v>138</v>
      </c>
      <c r="B29" s="5">
        <v>45187</v>
      </c>
      <c r="C29" s="6">
        <f>DATEDIF(B29,G1,"Y")</f>
        <v>3</v>
      </c>
      <c r="D29" s="4">
        <v>34</v>
      </c>
      <c r="E29" s="4" t="s">
        <v>107</v>
      </c>
      <c r="F29" s="4" t="s">
        <v>123</v>
      </c>
    </row>
    <row r="30" spans="1:7" x14ac:dyDescent="0.3">
      <c r="A30" s="13" t="s">
        <v>10</v>
      </c>
      <c r="B30" s="5">
        <v>45201</v>
      </c>
      <c r="C30" s="6">
        <f>DATEDIF(B30,G1,"y")</f>
        <v>3</v>
      </c>
      <c r="D30" s="4">
        <v>52</v>
      </c>
      <c r="E30" s="4" t="s">
        <v>108</v>
      </c>
      <c r="F30" s="4" t="s">
        <v>124</v>
      </c>
    </row>
    <row r="31" spans="1:7" x14ac:dyDescent="0.3">
      <c r="A31" s="12" t="s">
        <v>139</v>
      </c>
      <c r="B31" s="5">
        <v>45204</v>
      </c>
      <c r="C31" s="6">
        <f>DATEDIF(B31,G32,"y")</f>
        <v>3</v>
      </c>
      <c r="D31" s="4">
        <v>54</v>
      </c>
      <c r="E31" s="4" t="s">
        <v>108</v>
      </c>
      <c r="F31" s="4" t="s">
        <v>124</v>
      </c>
    </row>
    <row r="32" spans="1:7" x14ac:dyDescent="0.3">
      <c r="A32" s="12" t="s">
        <v>140</v>
      </c>
      <c r="B32" s="5">
        <v>45261</v>
      </c>
      <c r="C32" s="6">
        <f>DATEDIF(B32,G32,"y")</f>
        <v>3</v>
      </c>
      <c r="D32" s="4">
        <v>57</v>
      </c>
      <c r="E32" s="4" t="s">
        <v>110</v>
      </c>
      <c r="F32" s="4" t="s">
        <v>123</v>
      </c>
      <c r="G32" s="2">
        <v>46387</v>
      </c>
    </row>
    <row r="33" spans="1:6" x14ac:dyDescent="0.3">
      <c r="A33" s="12" t="s">
        <v>141</v>
      </c>
      <c r="B33" s="5">
        <v>45327</v>
      </c>
      <c r="C33" s="6">
        <f>DATEDIF(B33,G32,"y")</f>
        <v>2</v>
      </c>
      <c r="D33" s="4">
        <v>26</v>
      </c>
      <c r="E33" s="4" t="s">
        <v>107</v>
      </c>
      <c r="F33" s="4" t="s">
        <v>124</v>
      </c>
    </row>
    <row r="34" spans="1:6" x14ac:dyDescent="0.3">
      <c r="A34" s="12" t="s">
        <v>142</v>
      </c>
      <c r="B34" s="5">
        <v>45385</v>
      </c>
      <c r="C34" s="6">
        <f>DATEDIF(B34,G32,"y")</f>
        <v>2</v>
      </c>
      <c r="D34" s="4">
        <v>29</v>
      </c>
      <c r="E34" s="4" t="s">
        <v>105</v>
      </c>
      <c r="F34" s="4" t="s">
        <v>124</v>
      </c>
    </row>
    <row r="35" spans="1:6" x14ac:dyDescent="0.3">
      <c r="A35" s="9" t="s">
        <v>143</v>
      </c>
      <c r="B35" s="5">
        <v>45385</v>
      </c>
      <c r="C35" s="6">
        <f>DATEDIF(B35,G32,"Y")</f>
        <v>2</v>
      </c>
      <c r="D35" s="4">
        <v>56</v>
      </c>
      <c r="E35" s="4" t="s">
        <v>110</v>
      </c>
      <c r="F35" s="4" t="s">
        <v>124</v>
      </c>
    </row>
    <row r="36" spans="1:6" x14ac:dyDescent="0.3">
      <c r="A36" s="9" t="s">
        <v>21</v>
      </c>
      <c r="B36" s="5">
        <v>45414</v>
      </c>
      <c r="C36" s="6">
        <f>DATEDIF(B36,G32,"y")</f>
        <v>2</v>
      </c>
      <c r="D36" s="4">
        <v>38</v>
      </c>
      <c r="E36" s="4" t="s">
        <v>113</v>
      </c>
      <c r="F36" s="4" t="s">
        <v>123</v>
      </c>
    </row>
    <row r="37" spans="1:6" x14ac:dyDescent="0.3">
      <c r="A37" s="9" t="s">
        <v>144</v>
      </c>
      <c r="B37" s="5">
        <v>45467</v>
      </c>
      <c r="C37" s="6">
        <f>DATEDIF(B37,G32,"y")</f>
        <v>2</v>
      </c>
      <c r="D37" s="4">
        <v>45</v>
      </c>
      <c r="E37" s="4" t="s">
        <v>114</v>
      </c>
      <c r="F37" s="4" t="s">
        <v>126</v>
      </c>
    </row>
    <row r="38" spans="1:6" x14ac:dyDescent="0.3">
      <c r="A38" s="12" t="s">
        <v>8</v>
      </c>
      <c r="B38" s="5">
        <v>45474</v>
      </c>
      <c r="C38" s="6">
        <f>DATEDIF(B38,G32,"y")</f>
        <v>2</v>
      </c>
      <c r="D38" s="4">
        <v>32</v>
      </c>
      <c r="E38" s="4" t="s">
        <v>104</v>
      </c>
      <c r="F38" s="4" t="s">
        <v>123</v>
      </c>
    </row>
    <row r="39" spans="1:6" x14ac:dyDescent="0.3">
      <c r="A39" s="8" t="s">
        <v>16</v>
      </c>
      <c r="B39" s="5">
        <v>45474</v>
      </c>
      <c r="C39" s="6">
        <f>DATEDIF(B39,G32,"y")</f>
        <v>2</v>
      </c>
      <c r="D39" s="4">
        <v>44</v>
      </c>
      <c r="E39" s="4" t="s">
        <v>110</v>
      </c>
      <c r="F39" s="4" t="s">
        <v>123</v>
      </c>
    </row>
    <row r="40" spans="1:6" x14ac:dyDescent="0.3">
      <c r="A40" s="9" t="s">
        <v>145</v>
      </c>
      <c r="B40" s="5">
        <v>45537</v>
      </c>
      <c r="C40" s="6">
        <f>DATEDIF(B40,G32,"y")</f>
        <v>2</v>
      </c>
      <c r="D40" s="4">
        <v>42</v>
      </c>
      <c r="E40" s="4" t="s">
        <v>103</v>
      </c>
      <c r="F40" s="4" t="s">
        <v>124</v>
      </c>
    </row>
    <row r="41" spans="1:6" x14ac:dyDescent="0.3">
      <c r="A41" s="9" t="s">
        <v>146</v>
      </c>
      <c r="B41" s="5">
        <v>45545</v>
      </c>
      <c r="C41" s="6">
        <f>DATEDIF(B41,G32,"y")</f>
        <v>2</v>
      </c>
      <c r="D41" s="4">
        <v>43</v>
      </c>
      <c r="E41" s="4" t="s">
        <v>108</v>
      </c>
      <c r="F41" s="4" t="s">
        <v>124</v>
      </c>
    </row>
    <row r="42" spans="1:6" x14ac:dyDescent="0.3">
      <c r="A42" s="9" t="s">
        <v>27</v>
      </c>
      <c r="B42" s="5">
        <v>45566</v>
      </c>
      <c r="C42" s="6">
        <f>DATEDIF(B42,G32,"y")</f>
        <v>2</v>
      </c>
      <c r="D42" s="4">
        <v>41</v>
      </c>
      <c r="E42" s="4" t="s">
        <v>115</v>
      </c>
      <c r="F42" s="4" t="s">
        <v>126</v>
      </c>
    </row>
    <row r="43" spans="1:6" x14ac:dyDescent="0.3">
      <c r="A43" s="9" t="s">
        <v>25</v>
      </c>
      <c r="B43" s="5">
        <v>45615</v>
      </c>
      <c r="C43" s="6">
        <f>DATEDIF(B43,G32,"y")</f>
        <v>2</v>
      </c>
      <c r="D43" s="4">
        <v>34</v>
      </c>
      <c r="E43" s="4" t="s">
        <v>115</v>
      </c>
      <c r="F43" s="4" t="s">
        <v>125</v>
      </c>
    </row>
    <row r="44" spans="1:6" x14ac:dyDescent="0.3">
      <c r="A44" s="11" t="s">
        <v>0</v>
      </c>
      <c r="B44" s="5">
        <v>45663</v>
      </c>
      <c r="C44" s="6">
        <f>DATEDIF(B44,G32,"y")</f>
        <v>1</v>
      </c>
      <c r="D44" s="4">
        <v>39</v>
      </c>
      <c r="E44" s="4" t="s">
        <v>103</v>
      </c>
      <c r="F44" s="4" t="s">
        <v>123</v>
      </c>
    </row>
    <row r="45" spans="1:6" x14ac:dyDescent="0.3">
      <c r="A45" s="12" t="s">
        <v>7</v>
      </c>
      <c r="B45" s="5">
        <v>45663</v>
      </c>
      <c r="C45" s="6">
        <f>DATEDIF(B45,G32,"y")</f>
        <v>1</v>
      </c>
      <c r="D45" s="4">
        <v>42</v>
      </c>
      <c r="E45" s="4" t="s">
        <v>110</v>
      </c>
      <c r="F45" s="4" t="s">
        <v>123</v>
      </c>
    </row>
    <row r="46" spans="1:6" x14ac:dyDescent="0.3">
      <c r="A46" s="11" t="s">
        <v>1</v>
      </c>
      <c r="B46" s="5">
        <v>45698</v>
      </c>
      <c r="C46" s="6">
        <f>DATEDIF(B46,G32,"y")</f>
        <v>1</v>
      </c>
      <c r="D46" s="4">
        <v>46</v>
      </c>
      <c r="E46" s="4" t="s">
        <v>104</v>
      </c>
      <c r="F46" s="4" t="s">
        <v>124</v>
      </c>
    </row>
    <row r="47" spans="1:6" x14ac:dyDescent="0.3">
      <c r="A47" s="9" t="s">
        <v>24</v>
      </c>
      <c r="B47" s="5">
        <v>45705</v>
      </c>
      <c r="C47" s="6">
        <f>DATEDIF(B47,G32,"y")</f>
        <v>1</v>
      </c>
      <c r="D47" s="4">
        <v>51</v>
      </c>
      <c r="E47" s="4" t="s">
        <v>116</v>
      </c>
      <c r="F47" s="4" t="s">
        <v>123</v>
      </c>
    </row>
    <row r="48" spans="1:6" x14ac:dyDescent="0.3">
      <c r="A48" s="12" t="s">
        <v>20</v>
      </c>
      <c r="B48" s="5">
        <v>45741</v>
      </c>
      <c r="C48" s="6">
        <f>DATEDIF(B48,G32,"y")</f>
        <v>1</v>
      </c>
      <c r="D48" s="4">
        <v>57</v>
      </c>
      <c r="E48" s="4" t="s">
        <v>117</v>
      </c>
      <c r="F48" s="4" t="s">
        <v>126</v>
      </c>
    </row>
    <row r="49" spans="1:6" x14ac:dyDescent="0.3">
      <c r="A49" s="9" t="s">
        <v>11</v>
      </c>
      <c r="B49" s="5">
        <v>45754</v>
      </c>
      <c r="C49" s="6">
        <f>DATEDIF(B49,G32,"y")</f>
        <v>1</v>
      </c>
      <c r="D49" s="4">
        <v>42</v>
      </c>
      <c r="E49" s="4" t="s">
        <v>110</v>
      </c>
      <c r="F49" s="4" t="s">
        <v>124</v>
      </c>
    </row>
    <row r="50" spans="1:6" x14ac:dyDescent="0.3">
      <c r="A50" s="12" t="s">
        <v>18</v>
      </c>
      <c r="B50" s="5">
        <v>45761</v>
      </c>
      <c r="C50" s="6">
        <f>DATEDIF(B50,G32,"y")</f>
        <v>1</v>
      </c>
      <c r="D50" s="4">
        <v>36</v>
      </c>
      <c r="E50" s="4" t="s">
        <v>108</v>
      </c>
      <c r="F50" s="4" t="s">
        <v>124</v>
      </c>
    </row>
    <row r="51" spans="1:6" x14ac:dyDescent="0.3">
      <c r="A51" s="12" t="s">
        <v>19</v>
      </c>
      <c r="B51" s="5">
        <v>45782</v>
      </c>
      <c r="C51" s="6">
        <f>DATEDIF(B51,G32,"y")</f>
        <v>1</v>
      </c>
      <c r="D51" s="4">
        <v>38</v>
      </c>
      <c r="E51" s="4" t="s">
        <v>108</v>
      </c>
      <c r="F51" s="4" t="s">
        <v>124</v>
      </c>
    </row>
    <row r="52" spans="1:6" x14ac:dyDescent="0.3">
      <c r="A52" s="9" t="s">
        <v>26</v>
      </c>
      <c r="B52" s="5">
        <v>45831</v>
      </c>
      <c r="C52" s="6">
        <f>DATEDIF(B52,G32,"y")</f>
        <v>1</v>
      </c>
      <c r="D52" s="4">
        <v>33</v>
      </c>
      <c r="E52" s="4" t="s">
        <v>115</v>
      </c>
      <c r="F52" s="4" t="s">
        <v>123</v>
      </c>
    </row>
    <row r="53" spans="1:6" x14ac:dyDescent="0.3">
      <c r="A53" s="8" t="s">
        <v>13</v>
      </c>
      <c r="B53" s="5">
        <v>45846</v>
      </c>
      <c r="C53" s="6">
        <f>DATEDIF(B53,G32,"y")</f>
        <v>1</v>
      </c>
      <c r="D53" s="4">
        <v>40</v>
      </c>
      <c r="E53" s="4" t="s">
        <v>118</v>
      </c>
      <c r="F53" s="4" t="s">
        <v>126</v>
      </c>
    </row>
    <row r="54" spans="1:6" x14ac:dyDescent="0.3">
      <c r="A54" s="8" t="s">
        <v>14</v>
      </c>
      <c r="B54" s="5">
        <v>45873</v>
      </c>
      <c r="C54" s="6">
        <f>DATEDIF(B54,G32,"y")</f>
        <v>1</v>
      </c>
      <c r="D54" s="4">
        <v>40</v>
      </c>
      <c r="E54" s="4" t="s">
        <v>119</v>
      </c>
      <c r="F54" s="4" t="s">
        <v>126</v>
      </c>
    </row>
    <row r="55" spans="1:6" x14ac:dyDescent="0.3">
      <c r="A55" s="9" t="s">
        <v>37</v>
      </c>
      <c r="B55" s="5">
        <v>45901</v>
      </c>
      <c r="C55" s="6">
        <f>DATEDIF(B55,G32,"Y")</f>
        <v>1</v>
      </c>
      <c r="D55" s="4">
        <v>43</v>
      </c>
      <c r="E55" s="4" t="s">
        <v>121</v>
      </c>
      <c r="F55" s="4" t="s">
        <v>123</v>
      </c>
    </row>
    <row r="56" spans="1:6" x14ac:dyDescent="0.3">
      <c r="A56" s="9" t="s">
        <v>38</v>
      </c>
      <c r="B56" s="7">
        <v>45964</v>
      </c>
      <c r="C56" s="6">
        <f>DATEDIF(B56,G32,"y")</f>
        <v>1</v>
      </c>
      <c r="D56" s="4">
        <v>24</v>
      </c>
      <c r="E56" s="4" t="s">
        <v>106</v>
      </c>
      <c r="F56" s="4" t="s">
        <v>124</v>
      </c>
    </row>
    <row r="57" spans="1:6" x14ac:dyDescent="0.3">
      <c r="A57" s="9" t="s">
        <v>39</v>
      </c>
      <c r="B57" s="7">
        <v>46083</v>
      </c>
      <c r="C57" s="6">
        <f>DATEDIF(B57,G32,"y")</f>
        <v>0</v>
      </c>
      <c r="D57" s="4">
        <v>44</v>
      </c>
      <c r="E57" s="4" t="s">
        <v>120</v>
      </c>
      <c r="F57" s="4" t="s">
        <v>124</v>
      </c>
    </row>
    <row r="58" spans="1:6" x14ac:dyDescent="0.3">
      <c r="A58" s="9" t="s">
        <v>128</v>
      </c>
      <c r="B58" s="7">
        <v>46118</v>
      </c>
      <c r="C58" s="6">
        <f>DATEDIF(B58,G32,"Y")</f>
        <v>0</v>
      </c>
      <c r="D58" s="9">
        <v>23</v>
      </c>
      <c r="E58" s="9" t="s">
        <v>110</v>
      </c>
      <c r="F58" s="9" t="s">
        <v>126</v>
      </c>
    </row>
    <row r="59" spans="1:6" x14ac:dyDescent="0.3">
      <c r="A59" s="9" t="s">
        <v>147</v>
      </c>
      <c r="B59" s="7">
        <v>46146</v>
      </c>
      <c r="C59" s="6" t="e">
        <f t="shared" ref="C59:C60" si="0">DATEDIF(B59,G33,"Y")</f>
        <v>#NUM!</v>
      </c>
      <c r="D59" s="9">
        <v>37</v>
      </c>
      <c r="E59" s="9" t="s">
        <v>108</v>
      </c>
      <c r="F59" s="9" t="s">
        <v>124</v>
      </c>
    </row>
    <row r="60" spans="1:6" x14ac:dyDescent="0.3">
      <c r="A60" s="9" t="s">
        <v>148</v>
      </c>
      <c r="B60" s="7">
        <v>46146</v>
      </c>
      <c r="C60" s="6" t="e">
        <f t="shared" si="0"/>
        <v>#NUM!</v>
      </c>
      <c r="D60" s="9">
        <v>44</v>
      </c>
      <c r="E60" s="9" t="s">
        <v>149</v>
      </c>
      <c r="F60" s="9" t="s">
        <v>125</v>
      </c>
    </row>
    <row r="61" spans="1:6" x14ac:dyDescent="0.3">
      <c r="A61" s="17"/>
      <c r="B61" s="18"/>
      <c r="C61" s="25"/>
      <c r="D61" s="19"/>
      <c r="E61" s="24"/>
      <c r="F61" s="19"/>
    </row>
    <row r="62" spans="1:6" x14ac:dyDescent="0.3">
      <c r="A62" s="14" t="s">
        <v>101</v>
      </c>
      <c r="B62" s="15"/>
      <c r="C62" s="16">
        <f>AVERAGE(C3:C57)</f>
        <v>4.2181818181818178</v>
      </c>
      <c r="D62" s="16">
        <f>AVERAGE(D3:D58)</f>
        <v>42.535714285714285</v>
      </c>
    </row>
  </sheetData>
  <sortState xmlns:xlrd2="http://schemas.microsoft.com/office/spreadsheetml/2017/richdata2" ref="A3:B56">
    <sortCondition ref="B4:B56"/>
  </sortState>
  <mergeCells count="6"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D7064-C312-47E5-8609-BCE1435B471F}">
  <dimension ref="A1:F61"/>
  <sheetViews>
    <sheetView tabSelected="1" topLeftCell="A49" workbookViewId="0">
      <selection activeCell="A59" sqref="A59:C60"/>
    </sheetView>
  </sheetViews>
  <sheetFormatPr baseColWidth="10" defaultRowHeight="14.4" x14ac:dyDescent="0.3"/>
  <cols>
    <col min="1" max="1" width="24.77734375" customWidth="1"/>
    <col min="2" max="2" width="18.109375" customWidth="1"/>
    <col min="3" max="3" width="19" customWidth="1"/>
  </cols>
  <sheetData>
    <row r="1" spans="1:6" x14ac:dyDescent="0.3">
      <c r="A1" s="3" t="s">
        <v>99</v>
      </c>
      <c r="B1" s="3" t="s">
        <v>40</v>
      </c>
      <c r="C1" s="3" t="s">
        <v>100</v>
      </c>
      <c r="E1" t="s">
        <v>43</v>
      </c>
      <c r="F1" s="2">
        <v>46098</v>
      </c>
    </row>
    <row r="2" spans="1:6" x14ac:dyDescent="0.3">
      <c r="A2" s="4" t="s">
        <v>41</v>
      </c>
      <c r="B2" s="4">
        <v>52</v>
      </c>
      <c r="C2" s="1">
        <v>26965</v>
      </c>
    </row>
    <row r="3" spans="1:6" x14ac:dyDescent="0.3">
      <c r="A3" s="4" t="s">
        <v>42</v>
      </c>
      <c r="B3" s="4">
        <v>48</v>
      </c>
      <c r="C3" s="1">
        <v>28549</v>
      </c>
    </row>
    <row r="4" spans="1:6" x14ac:dyDescent="0.3">
      <c r="A4" s="4" t="s">
        <v>44</v>
      </c>
      <c r="B4" s="4">
        <v>52</v>
      </c>
      <c r="C4" s="1">
        <v>26877</v>
      </c>
    </row>
    <row r="5" spans="1:6" x14ac:dyDescent="0.3">
      <c r="A5" s="4" t="s">
        <v>45</v>
      </c>
      <c r="B5" s="4">
        <v>54</v>
      </c>
      <c r="C5" s="1">
        <v>26260</v>
      </c>
    </row>
    <row r="6" spans="1:6" x14ac:dyDescent="0.3">
      <c r="A6" s="4" t="s">
        <v>46</v>
      </c>
      <c r="B6" s="4">
        <v>35</v>
      </c>
      <c r="C6" s="1">
        <v>33270</v>
      </c>
    </row>
    <row r="7" spans="1:6" x14ac:dyDescent="0.3">
      <c r="A7" s="4" t="s">
        <v>47</v>
      </c>
      <c r="B7" s="4">
        <v>39</v>
      </c>
      <c r="C7" s="1">
        <v>31623</v>
      </c>
    </row>
    <row r="8" spans="1:6" x14ac:dyDescent="0.3">
      <c r="A8" s="4" t="s">
        <v>48</v>
      </c>
      <c r="B8" s="4">
        <v>48</v>
      </c>
      <c r="C8" s="1">
        <v>28421</v>
      </c>
    </row>
    <row r="9" spans="1:6" x14ac:dyDescent="0.3">
      <c r="A9" s="4" t="s">
        <v>49</v>
      </c>
      <c r="B9" s="4">
        <f>DATEDIF(C9,F1,"Y")</f>
        <v>49</v>
      </c>
      <c r="C9" s="1">
        <v>28175</v>
      </c>
    </row>
    <row r="10" spans="1:6" x14ac:dyDescent="0.3">
      <c r="A10" s="4" t="s">
        <v>50</v>
      </c>
      <c r="B10" s="4">
        <f>DATEDIF(C10,F1,"Y")</f>
        <v>44</v>
      </c>
      <c r="C10" s="1">
        <v>30011</v>
      </c>
    </row>
    <row r="11" spans="1:6" x14ac:dyDescent="0.3">
      <c r="A11" s="4" t="s">
        <v>51</v>
      </c>
      <c r="B11" s="4">
        <f>DATEDIF(C11,F1,"y")</f>
        <v>40</v>
      </c>
      <c r="C11" s="1">
        <v>31235</v>
      </c>
    </row>
    <row r="12" spans="1:6" x14ac:dyDescent="0.3">
      <c r="A12" s="4" t="s">
        <v>52</v>
      </c>
      <c r="B12" s="4">
        <f>DATEDIF(C12,F1,"Y")</f>
        <v>34</v>
      </c>
      <c r="C12" s="1">
        <v>33425</v>
      </c>
    </row>
    <row r="13" spans="1:6" x14ac:dyDescent="0.3">
      <c r="A13" s="4" t="s">
        <v>53</v>
      </c>
      <c r="B13" s="4">
        <f>DATEDIF(C13,F1,"Y")</f>
        <v>45</v>
      </c>
      <c r="C13" s="1">
        <v>29579</v>
      </c>
    </row>
    <row r="14" spans="1:6" x14ac:dyDescent="0.3">
      <c r="A14" s="4" t="s">
        <v>54</v>
      </c>
      <c r="B14" s="4">
        <f>DATEDIF(C14,F1,"y")</f>
        <v>51</v>
      </c>
      <c r="C14" s="1">
        <v>27407</v>
      </c>
    </row>
    <row r="15" spans="1:6" x14ac:dyDescent="0.3">
      <c r="A15" s="4" t="s">
        <v>55</v>
      </c>
      <c r="B15" s="4">
        <f>DATEDIF(C15,F1,"Y")</f>
        <v>54</v>
      </c>
      <c r="C15" s="1">
        <v>26174</v>
      </c>
    </row>
    <row r="16" spans="1:6" x14ac:dyDescent="0.3">
      <c r="A16" s="4" t="s">
        <v>56</v>
      </c>
      <c r="B16" s="4">
        <f>DATEDIF(C16,F1,"Y")</f>
        <v>50</v>
      </c>
      <c r="C16" s="1">
        <v>27824</v>
      </c>
    </row>
    <row r="17" spans="1:3" x14ac:dyDescent="0.3">
      <c r="A17" s="4" t="s">
        <v>57</v>
      </c>
      <c r="B17" s="4">
        <f>DATEDIF(C17,F1,"Y")</f>
        <v>46</v>
      </c>
      <c r="C17" s="1">
        <v>29248</v>
      </c>
    </row>
    <row r="18" spans="1:3" x14ac:dyDescent="0.3">
      <c r="A18" s="4" t="s">
        <v>58</v>
      </c>
      <c r="B18" s="4">
        <f>DATEDIF(C18,F1,"Y")</f>
        <v>41</v>
      </c>
      <c r="C18" s="1">
        <v>30889</v>
      </c>
    </row>
    <row r="19" spans="1:3" x14ac:dyDescent="0.3">
      <c r="A19" s="4" t="s">
        <v>59</v>
      </c>
      <c r="B19" s="4">
        <f>DATEDIF(C19,F1,"Y")</f>
        <v>34</v>
      </c>
      <c r="C19" s="1">
        <v>33586</v>
      </c>
    </row>
    <row r="20" spans="1:3" x14ac:dyDescent="0.3">
      <c r="A20" s="4" t="s">
        <v>60</v>
      </c>
      <c r="B20" s="4">
        <f>DATEDIF(C20,F1,"y")</f>
        <v>45</v>
      </c>
      <c r="C20" s="1">
        <v>29430</v>
      </c>
    </row>
    <row r="21" spans="1:3" x14ac:dyDescent="0.3">
      <c r="A21" s="4" t="s">
        <v>61</v>
      </c>
      <c r="B21" s="4">
        <f>DATEDIF(C21,F1,"y")</f>
        <v>57</v>
      </c>
      <c r="C21" s="1">
        <v>25063</v>
      </c>
    </row>
    <row r="22" spans="1:3" x14ac:dyDescent="0.3">
      <c r="A22" s="4" t="s">
        <v>62</v>
      </c>
      <c r="B22" s="4">
        <f>DATEDIF(C22,F1,"y")</f>
        <v>33</v>
      </c>
      <c r="C22" s="1">
        <v>33756</v>
      </c>
    </row>
    <row r="23" spans="1:3" x14ac:dyDescent="0.3">
      <c r="A23" s="4" t="s">
        <v>63</v>
      </c>
      <c r="B23" s="4">
        <f>DATEDIF(C23,F1,"Y")</f>
        <v>37</v>
      </c>
      <c r="C23" s="1">
        <v>32579</v>
      </c>
    </row>
    <row r="24" spans="1:3" x14ac:dyDescent="0.3">
      <c r="A24" s="4" t="s">
        <v>64</v>
      </c>
      <c r="B24" s="4">
        <f>DATEDIF(C24,F1,"y")</f>
        <v>45</v>
      </c>
      <c r="C24" s="1">
        <v>29512</v>
      </c>
    </row>
    <row r="25" spans="1:3" x14ac:dyDescent="0.3">
      <c r="A25" s="4" t="s">
        <v>65</v>
      </c>
      <c r="B25" s="4">
        <f>DATEDIF(C25,F1,"y")</f>
        <v>39</v>
      </c>
      <c r="C25" s="1">
        <v>31804</v>
      </c>
    </row>
    <row r="26" spans="1:3" x14ac:dyDescent="0.3">
      <c r="A26" s="4" t="s">
        <v>66</v>
      </c>
      <c r="B26" s="4">
        <f>DATEDIF(C26,F1,"Y")</f>
        <v>43</v>
      </c>
      <c r="C26" s="1">
        <v>30254</v>
      </c>
    </row>
    <row r="27" spans="1:3" x14ac:dyDescent="0.3">
      <c r="A27" s="4" t="s">
        <v>67</v>
      </c>
      <c r="B27" s="4">
        <f>DATEDIF(C27,F1,"Y")</f>
        <v>48</v>
      </c>
      <c r="C27" s="1">
        <v>28323</v>
      </c>
    </row>
    <row r="28" spans="1:3" x14ac:dyDescent="0.3">
      <c r="A28" s="4" t="s">
        <v>68</v>
      </c>
      <c r="B28" s="4">
        <f>DATEDIF(C28,F1,"Y")</f>
        <v>28</v>
      </c>
      <c r="C28" s="1">
        <v>35609</v>
      </c>
    </row>
    <row r="29" spans="1:3" x14ac:dyDescent="0.3">
      <c r="A29" s="4" t="s">
        <v>69</v>
      </c>
      <c r="B29" s="4">
        <f>DATEDIF(C29,F1,"y")</f>
        <v>34</v>
      </c>
      <c r="C29" s="1">
        <v>33445</v>
      </c>
    </row>
    <row r="30" spans="1:3" x14ac:dyDescent="0.3">
      <c r="A30" s="4" t="s">
        <v>70</v>
      </c>
      <c r="B30" s="4">
        <f>DATEDIF(C30,F1,"Y")</f>
        <v>52</v>
      </c>
      <c r="C30" s="1">
        <v>27070</v>
      </c>
    </row>
    <row r="31" spans="1:3" x14ac:dyDescent="0.3">
      <c r="A31" s="4" t="s">
        <v>71</v>
      </c>
      <c r="B31" s="4">
        <f>DATEDIF(C31,F1,"Y")</f>
        <v>54</v>
      </c>
      <c r="C31" s="1">
        <v>26137</v>
      </c>
    </row>
    <row r="32" spans="1:3" x14ac:dyDescent="0.3">
      <c r="A32" s="4" t="s">
        <v>72</v>
      </c>
      <c r="B32" s="4">
        <f>DATEDIF(C32,F1,"y")</f>
        <v>57</v>
      </c>
      <c r="C32" s="1">
        <v>25022</v>
      </c>
    </row>
    <row r="33" spans="1:3" x14ac:dyDescent="0.3">
      <c r="A33" s="4" t="s">
        <v>73</v>
      </c>
      <c r="B33" s="4">
        <f>DATEDIF(C33,F1,"Y")</f>
        <v>26</v>
      </c>
      <c r="C33" s="1">
        <v>36286</v>
      </c>
    </row>
    <row r="34" spans="1:3" x14ac:dyDescent="0.3">
      <c r="A34" s="4" t="s">
        <v>74</v>
      </c>
      <c r="B34" s="4">
        <f>DATEDIF(C34,F1,"Y")</f>
        <v>29</v>
      </c>
      <c r="C34" s="1">
        <v>35276</v>
      </c>
    </row>
    <row r="35" spans="1:3" x14ac:dyDescent="0.3">
      <c r="A35" s="4" t="s">
        <v>75</v>
      </c>
      <c r="B35" s="4">
        <f>DATEDIF(C35,F1,"Y")</f>
        <v>56</v>
      </c>
      <c r="C35" s="1">
        <v>25559</v>
      </c>
    </row>
    <row r="36" spans="1:3" x14ac:dyDescent="0.3">
      <c r="A36" s="4" t="s">
        <v>76</v>
      </c>
      <c r="B36" s="4">
        <f>DATEDIF(C36,F1,"Y")</f>
        <v>38</v>
      </c>
      <c r="C36" s="1">
        <v>32079</v>
      </c>
    </row>
    <row r="37" spans="1:3" x14ac:dyDescent="0.3">
      <c r="A37" s="4" t="s">
        <v>77</v>
      </c>
      <c r="B37" s="4">
        <f>DATEDIF(C37,F1,"Y")</f>
        <v>45</v>
      </c>
      <c r="C37" s="1">
        <v>29512</v>
      </c>
    </row>
    <row r="38" spans="1:3" x14ac:dyDescent="0.3">
      <c r="A38" s="4" t="s">
        <v>78</v>
      </c>
      <c r="B38" s="4">
        <f>DATEDIF(C38,F1,"Y")</f>
        <v>32</v>
      </c>
      <c r="C38" s="1">
        <v>34336</v>
      </c>
    </row>
    <row r="39" spans="1:3" x14ac:dyDescent="0.3">
      <c r="A39" s="4" t="s">
        <v>79</v>
      </c>
      <c r="B39" s="4">
        <f>DATEDIF(C39,F1,"Y")</f>
        <v>44</v>
      </c>
      <c r="C39" s="1">
        <v>29689</v>
      </c>
    </row>
    <row r="40" spans="1:3" x14ac:dyDescent="0.3">
      <c r="A40" s="4" t="s">
        <v>80</v>
      </c>
      <c r="B40" s="4">
        <f>DATEDIF(C40,F1,"Y")</f>
        <v>42</v>
      </c>
      <c r="C40" s="1">
        <v>30744</v>
      </c>
    </row>
    <row r="41" spans="1:3" x14ac:dyDescent="0.3">
      <c r="A41" s="4" t="s">
        <v>81</v>
      </c>
      <c r="B41" s="4">
        <f>DATEDIF(C41,F1,"Y")</f>
        <v>43</v>
      </c>
      <c r="C41" s="1">
        <v>30242</v>
      </c>
    </row>
    <row r="42" spans="1:3" x14ac:dyDescent="0.3">
      <c r="A42" s="4" t="s">
        <v>82</v>
      </c>
      <c r="B42" s="4">
        <f>DATEDIF(C42,F1,"Y")</f>
        <v>41</v>
      </c>
      <c r="C42" s="1">
        <v>30883</v>
      </c>
    </row>
    <row r="43" spans="1:3" x14ac:dyDescent="0.3">
      <c r="A43" s="4" t="s">
        <v>83</v>
      </c>
      <c r="B43" s="4">
        <f>DATEDIF(C43,F1,"Y")</f>
        <v>34</v>
      </c>
      <c r="C43" s="1">
        <v>33458</v>
      </c>
    </row>
    <row r="44" spans="1:3" x14ac:dyDescent="0.3">
      <c r="A44" s="4" t="s">
        <v>84</v>
      </c>
      <c r="B44" s="4">
        <f>DATEDIF(C44,F1,"Y")</f>
        <v>39</v>
      </c>
      <c r="C44" s="1">
        <v>31793</v>
      </c>
    </row>
    <row r="45" spans="1:3" x14ac:dyDescent="0.3">
      <c r="A45" s="4" t="s">
        <v>85</v>
      </c>
      <c r="B45" s="4">
        <f>DATEDIF(C45,F1,"Y")</f>
        <v>42</v>
      </c>
      <c r="C45" s="1">
        <v>30481</v>
      </c>
    </row>
    <row r="46" spans="1:3" x14ac:dyDescent="0.3">
      <c r="A46" s="4" t="s">
        <v>86</v>
      </c>
      <c r="B46" s="4">
        <f>DATEDIF(C46,F1,"Y")</f>
        <v>46</v>
      </c>
      <c r="C46" s="1">
        <v>29030</v>
      </c>
    </row>
    <row r="47" spans="1:3" x14ac:dyDescent="0.3">
      <c r="A47" s="4" t="s">
        <v>87</v>
      </c>
      <c r="B47" s="4">
        <f>DATEDIF(C47,F1,"Y")</f>
        <v>51</v>
      </c>
      <c r="C47" s="1">
        <v>27233</v>
      </c>
    </row>
    <row r="48" spans="1:3" x14ac:dyDescent="0.3">
      <c r="A48" s="4" t="s">
        <v>88</v>
      </c>
      <c r="B48" s="4">
        <f>DATEDIF(C48,F1,"Y")</f>
        <v>57</v>
      </c>
      <c r="C48" s="1">
        <v>25260</v>
      </c>
    </row>
    <row r="49" spans="1:3" x14ac:dyDescent="0.3">
      <c r="A49" s="4" t="s">
        <v>89</v>
      </c>
      <c r="B49" s="4">
        <f>DATEDIF(C49,F1,"Y")</f>
        <v>42</v>
      </c>
      <c r="C49" s="1">
        <v>30675</v>
      </c>
    </row>
    <row r="50" spans="1:3" x14ac:dyDescent="0.3">
      <c r="A50" s="4" t="s">
        <v>90</v>
      </c>
      <c r="B50" s="4">
        <f>DATEDIF(C50,F1,"Y")</f>
        <v>36</v>
      </c>
      <c r="C50" s="1">
        <v>32632</v>
      </c>
    </row>
    <row r="51" spans="1:3" x14ac:dyDescent="0.3">
      <c r="A51" s="4" t="s">
        <v>91</v>
      </c>
      <c r="B51" s="4">
        <f>DATEDIF(C51,F1,"Y")</f>
        <v>38</v>
      </c>
      <c r="C51" s="1">
        <v>32073</v>
      </c>
    </row>
    <row r="52" spans="1:3" x14ac:dyDescent="0.3">
      <c r="A52" s="4" t="s">
        <v>92</v>
      </c>
      <c r="B52" s="4">
        <f>DATEDIF(C52,F1,"Y")</f>
        <v>33</v>
      </c>
      <c r="C52" s="1">
        <v>33800</v>
      </c>
    </row>
    <row r="53" spans="1:3" x14ac:dyDescent="0.3">
      <c r="A53" s="4" t="s">
        <v>93</v>
      </c>
      <c r="B53" s="4">
        <f>DATEDIF(C53,F1,"Y")</f>
        <v>40</v>
      </c>
      <c r="C53" s="1">
        <v>31424</v>
      </c>
    </row>
    <row r="54" spans="1:3" x14ac:dyDescent="0.3">
      <c r="A54" s="4" t="s">
        <v>94</v>
      </c>
      <c r="B54" s="4">
        <f>DATEDIF(C54,F1,"Y")</f>
        <v>40</v>
      </c>
      <c r="C54" s="1">
        <v>31431</v>
      </c>
    </row>
    <row r="55" spans="1:3" x14ac:dyDescent="0.3">
      <c r="A55" s="4" t="s">
        <v>95</v>
      </c>
      <c r="B55" s="4">
        <f>DATEDIF(C55,F1,"Y")</f>
        <v>43</v>
      </c>
      <c r="C55" s="1">
        <v>30347</v>
      </c>
    </row>
    <row r="56" spans="1:3" x14ac:dyDescent="0.3">
      <c r="A56" s="4" t="s">
        <v>96</v>
      </c>
      <c r="B56" s="4">
        <f>DATEDIF(C56,F1,"Y")</f>
        <v>24</v>
      </c>
      <c r="C56" s="1">
        <v>37198</v>
      </c>
    </row>
    <row r="57" spans="1:3" x14ac:dyDescent="0.3">
      <c r="A57" s="4" t="s">
        <v>97</v>
      </c>
      <c r="B57" s="4">
        <f>DATEDIF(C57,F1,"Y")</f>
        <v>44</v>
      </c>
      <c r="C57" s="1">
        <v>29906</v>
      </c>
    </row>
    <row r="58" spans="1:3" x14ac:dyDescent="0.3">
      <c r="A58" s="4" t="s">
        <v>150</v>
      </c>
      <c r="B58" s="4">
        <v>23</v>
      </c>
      <c r="C58" s="1">
        <v>37420</v>
      </c>
    </row>
    <row r="59" spans="1:3" x14ac:dyDescent="0.3">
      <c r="A59" s="4" t="s">
        <v>147</v>
      </c>
      <c r="B59" s="4">
        <v>37</v>
      </c>
      <c r="C59" s="1">
        <v>32454</v>
      </c>
    </row>
    <row r="60" spans="1:3" x14ac:dyDescent="0.3">
      <c r="A60" s="28" t="s">
        <v>148</v>
      </c>
      <c r="B60" s="4">
        <v>44</v>
      </c>
      <c r="C60" s="1">
        <v>30035</v>
      </c>
    </row>
    <row r="61" spans="1:3" ht="18" x14ac:dyDescent="0.35">
      <c r="A61" s="26" t="s">
        <v>98</v>
      </c>
      <c r="B61" s="27">
        <f>AVERAGE(B2:B57)</f>
        <v>42.732142857142854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ANTIGUEDAD PROMEDIO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Barbii Joaquin</dc:creator>
  <cp:lastModifiedBy>Virginia de Brito</cp:lastModifiedBy>
  <dcterms:created xsi:type="dcterms:W3CDTF">2025-09-15T16:52:45Z</dcterms:created>
  <dcterms:modified xsi:type="dcterms:W3CDTF">2026-05-19T13:15:42Z</dcterms:modified>
</cp:coreProperties>
</file>