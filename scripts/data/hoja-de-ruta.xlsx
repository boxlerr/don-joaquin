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Datos\Alejandro\HOJAS DE RUTA\MAYO 2026\"/>
    </mc:Choice>
  </mc:AlternateContent>
  <xr:revisionPtr revIDLastSave="0" documentId="13_ncr:1_{80EDC6C7-FA3E-47D9-8A7C-7B9CA0E9DDF9}" xr6:coauthVersionLast="47" xr6:coauthVersionMax="47" xr10:uidLastSave="{00000000-0000-0000-0000-000000000000}"/>
  <bookViews>
    <workbookView xWindow="-120" yWindow="-120" windowWidth="24240" windowHeight="12675" tabRatio="939" activeTab="6" xr2:uid="{00000000-000D-0000-FFFF-FFFF00000000}"/>
  </bookViews>
  <sheets>
    <sheet name="GALLASTEGUI" sheetId="1" r:id="rId1"/>
    <sheet name="SCHWINDT" sheetId="3" r:id="rId2"/>
    <sheet name="SAENZ BURUAGA" sheetId="14" r:id="rId3"/>
    <sheet name="SCHMIDT" sheetId="32" r:id="rId4"/>
    <sheet name="CEJAS" sheetId="40" r:id="rId5"/>
    <sheet name="VALERGA" sheetId="48" r:id="rId6"/>
    <sheet name="PUCHETA" sheetId="51" r:id="rId7"/>
    <sheet name="CALIGIURI" sheetId="65" r:id="rId8"/>
    <sheet name="ASTEAZARAN" sheetId="82" r:id="rId9"/>
    <sheet name="GARMENDIA" sheetId="87" r:id="rId10"/>
    <sheet name="SALTO" sheetId="99" r:id="rId11"/>
    <sheet name="BAZAN" sheetId="104" r:id="rId12"/>
    <sheet name="BORDIGNON" sheetId="105" r:id="rId13"/>
    <sheet name="LAGANO D" sheetId="106" r:id="rId14"/>
    <sheet name="NOVILLO" sheetId="119" r:id="rId15"/>
    <sheet name="ARIAS" sheetId="126" r:id="rId16"/>
    <sheet name="JUAREZ" sheetId="137" r:id="rId17"/>
    <sheet name="MEHRING" sheetId="139" r:id="rId18"/>
    <sheet name="RAMOS" sheetId="140" r:id="rId19"/>
    <sheet name="GARCIA" sheetId="142" r:id="rId20"/>
    <sheet name="BENITEZ" sheetId="149" r:id="rId21"/>
    <sheet name="CANCELA" sheetId="150" r:id="rId22"/>
    <sheet name="COSENTINO" sheetId="171" r:id="rId23"/>
    <sheet name="SALTO MAXIMILIANO" sheetId="197" r:id="rId24"/>
    <sheet name="RANDAZZO" sheetId="203" r:id="rId25"/>
    <sheet name="ACOSTA" sheetId="209" r:id="rId26"/>
    <sheet name="RUPPEL" sheetId="211" r:id="rId27"/>
    <sheet name="RUCKERT" sheetId="213" r:id="rId28"/>
    <sheet name="FERNANDEZ" sheetId="214" r:id="rId29"/>
    <sheet name="MAZZEI" sheetId="215" r:id="rId30"/>
    <sheet name="GUILFOR" sheetId="218" r:id="rId31"/>
    <sheet name="SURRA" sheetId="220" r:id="rId32"/>
    <sheet name="GRASSI" sheetId="224" r:id="rId33"/>
    <sheet name="ORLANDO" sheetId="225" r:id="rId34"/>
    <sheet name="ALVAREZ" sheetId="226" r:id="rId35"/>
    <sheet name=" MARTINEZ NICO" sheetId="227" r:id="rId36"/>
    <sheet name="URBAN" sheetId="229" r:id="rId37"/>
    <sheet name="CEJAS DIEGO" sheetId="230" r:id="rId38"/>
    <sheet name="JUAREZ LUIS" sheetId="231" r:id="rId39"/>
    <sheet name="ARCUBY " sheetId="232" r:id="rId40"/>
    <sheet name="DE LIBANO" sheetId="234" r:id="rId41"/>
    <sheet name="FERNANDEZ FACUNDO" sheetId="235" r:id="rId42"/>
    <sheet name="PITTANA" sheetId="236" r:id="rId43"/>
    <sheet name="PITTANA EUGENIO" sheetId="238" state="hidden" r:id="rId44"/>
    <sheet name="EUGENIO PITTA" sheetId="250" r:id="rId45"/>
    <sheet name="ALBORNOZ" sheetId="239" r:id="rId46"/>
    <sheet name="CARTASSO" sheetId="240" r:id="rId47"/>
    <sheet name="ANDRUSZEZEN" sheetId="242" r:id="rId48"/>
    <sheet name="PAZ" sheetId="241" r:id="rId49"/>
    <sheet name="LEYENDEKER" sheetId="243" r:id="rId50"/>
    <sheet name="FRANCO" sheetId="244" r:id="rId51"/>
    <sheet name="LARRECOCHEA J." sheetId="245" r:id="rId52"/>
    <sheet name="LARRECOCHEA MARCELO" sheetId="246" r:id="rId53"/>
    <sheet name="PITANA MAXI" sheetId="248" r:id="rId54"/>
    <sheet name="GARMENDIA L." sheetId="249" r:id="rId55"/>
    <sheet name="GOMEZ M." sheetId="251" r:id="rId56"/>
    <sheet name="PAREDEZ" sheetId="252" r:id="rId57"/>
    <sheet name="ASTEAZARAN  AGUSTIN" sheetId="254" r:id="rId58"/>
    <sheet name="VALENZA" sheetId="255" r:id="rId59"/>
    <sheet name="JUAREZ N" sheetId="256" r:id="rId60"/>
    <sheet name="TOTALES" sheetId="16" r:id="rId61"/>
    <sheet name="FISCHER" sheetId="116" r:id="rId62"/>
    <sheet name="PABLO FISCHER" sheetId="120" r:id="rId63"/>
    <sheet name="TOTAL" sheetId="80" r:id="rId64"/>
    <sheet name="HOJA DE GASTOS (2)" sheetId="81" r:id="rId65"/>
    <sheet name="HOJA DE GASTOS" sheetId="30" r:id="rId66"/>
    <sheet name="Hoja1" sheetId="31" r:id="rId67"/>
  </sheets>
  <definedNames>
    <definedName name="_xlnm._FilterDatabase" localSheetId="4" hidden="1">CEJAS!$J$1:$J$287</definedName>
    <definedName name="_xlnm._FilterDatabase" localSheetId="6" hidden="1">PUCHETA!$G$1:$G$116</definedName>
    <definedName name="_xlnm._FilterDatabase" localSheetId="2" hidden="1">'SAENZ BURUAGA'!$J$1:$J$63</definedName>
    <definedName name="_xlnm._FilterDatabase" localSheetId="3" hidden="1">SCHMIDT!$J$1:$J$63</definedName>
    <definedName name="_xlnm._FilterDatabase" localSheetId="5" hidden="1">VALERGA!$J$1:$J$142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9" i="137" l="1"/>
  <c r="B31" i="256"/>
  <c r="K22" i="256"/>
  <c r="J22" i="256"/>
  <c r="G22" i="256"/>
  <c r="F22" i="256"/>
  <c r="D22" i="256"/>
  <c r="B38" i="255"/>
  <c r="K29" i="255"/>
  <c r="J29" i="255"/>
  <c r="G29" i="255"/>
  <c r="F29" i="255"/>
  <c r="D29" i="255"/>
  <c r="B35" i="235"/>
  <c r="B156" i="87" l="1"/>
  <c r="B411" i="104"/>
  <c r="B43" i="239"/>
  <c r="B43" i="218"/>
  <c r="B40" i="234"/>
  <c r="B48" i="225" l="1"/>
  <c r="B40" i="240"/>
  <c r="D21" i="230"/>
  <c r="D52" i="119"/>
  <c r="D49" i="51"/>
  <c r="B352" i="65" l="1"/>
  <c r="B136" i="1"/>
  <c r="B170" i="14" l="1"/>
  <c r="I24" i="116"/>
  <c r="I25" i="116"/>
  <c r="I26" i="116"/>
  <c r="I26" i="120"/>
  <c r="I11" i="120" l="1"/>
  <c r="I10" i="120"/>
  <c r="I9" i="120"/>
  <c r="I10" i="116"/>
  <c r="J10" i="116" s="1"/>
  <c r="I9" i="116"/>
  <c r="F65" i="139"/>
  <c r="G46" i="171" l="1"/>
  <c r="I27" i="116"/>
  <c r="J27" i="116" s="1"/>
  <c r="J26" i="116"/>
  <c r="J25" i="116"/>
  <c r="B129" i="203"/>
  <c r="B41" i="254"/>
  <c r="K32" i="254"/>
  <c r="J32" i="254"/>
  <c r="G32" i="254"/>
  <c r="F32" i="254"/>
  <c r="D32" i="254"/>
  <c r="B70" i="209"/>
  <c r="B164" i="40"/>
  <c r="B234" i="126"/>
  <c r="B112" i="150"/>
  <c r="B46" i="241"/>
  <c r="B146" i="139"/>
  <c r="J24" i="116" l="1"/>
  <c r="J38" i="120"/>
  <c r="J39" i="120"/>
  <c r="J40" i="120"/>
  <c r="J41" i="120"/>
  <c r="J36" i="120"/>
  <c r="J37" i="120"/>
  <c r="J42" i="120"/>
  <c r="B59" i="214"/>
  <c r="B41" i="231" l="1"/>
  <c r="I25" i="120" l="1"/>
  <c r="J35" i="120"/>
  <c r="B122" i="142" l="1"/>
  <c r="B33" i="252" l="1"/>
  <c r="K24" i="252"/>
  <c r="J24" i="252"/>
  <c r="G24" i="252"/>
  <c r="F24" i="252"/>
  <c r="D24" i="252"/>
  <c r="B69" i="197" l="1"/>
  <c r="B177" i="3"/>
  <c r="B164" i="99"/>
  <c r="B411" i="105"/>
  <c r="B195" i="32" l="1"/>
  <c r="B51" i="215"/>
  <c r="B97" i="171" l="1"/>
  <c r="J43" i="120"/>
  <c r="B28" i="251"/>
  <c r="K19" i="251"/>
  <c r="J19" i="251"/>
  <c r="G19" i="251"/>
  <c r="F19" i="251"/>
  <c r="D19" i="251"/>
  <c r="B132" i="82" l="1"/>
  <c r="H12" i="120"/>
  <c r="J11" i="120"/>
  <c r="J10" i="120"/>
  <c r="J9" i="120"/>
  <c r="H11" i="116"/>
  <c r="J9" i="116"/>
  <c r="F47" i="48"/>
  <c r="G31" i="249"/>
  <c r="J12" i="120" l="1"/>
  <c r="B4" i="80" s="1"/>
  <c r="I12" i="120"/>
  <c r="H4" i="80" s="1"/>
  <c r="J11" i="116"/>
  <c r="I11" i="116"/>
  <c r="H3" i="80" s="1"/>
  <c r="B226" i="106"/>
  <c r="B39" i="250"/>
  <c r="K34" i="250"/>
  <c r="J34" i="250"/>
  <c r="F34" i="250"/>
  <c r="D34" i="250"/>
  <c r="B45" i="224"/>
  <c r="B40" i="249"/>
  <c r="K31" i="249"/>
  <c r="J31" i="249"/>
  <c r="F31" i="249"/>
  <c r="D31" i="249"/>
  <c r="B3" i="80" l="1"/>
  <c r="J13" i="116"/>
  <c r="J14" i="120"/>
  <c r="B160" i="119" l="1"/>
  <c r="J33" i="120" l="1"/>
  <c r="J34" i="120"/>
  <c r="J44" i="120"/>
  <c r="B116" i="51"/>
  <c r="B117" i="149" l="1"/>
  <c r="B31" i="229" l="1"/>
  <c r="B38" i="248" l="1"/>
  <c r="K29" i="248"/>
  <c r="J29" i="248"/>
  <c r="F29" i="248"/>
  <c r="D29" i="248"/>
  <c r="B38" i="246" l="1"/>
  <c r="K29" i="246"/>
  <c r="J29" i="246"/>
  <c r="F29" i="246"/>
  <c r="D29" i="246"/>
  <c r="D10" i="80" l="1"/>
  <c r="H45" i="120"/>
  <c r="I45" i="120" l="1"/>
  <c r="J45" i="120"/>
  <c r="J47" i="120" s="1"/>
  <c r="B36" i="245" l="1"/>
  <c r="K27" i="245"/>
  <c r="J27" i="245"/>
  <c r="F27" i="245"/>
  <c r="D27" i="245"/>
  <c r="B36" i="244"/>
  <c r="K27" i="244"/>
  <c r="J27" i="244"/>
  <c r="F27" i="244"/>
  <c r="D27" i="244"/>
  <c r="J26" i="120" l="1"/>
  <c r="J25" i="120"/>
  <c r="B35" i="243" l="1"/>
  <c r="K26" i="243"/>
  <c r="J26" i="243"/>
  <c r="F26" i="243"/>
  <c r="D26" i="243"/>
  <c r="J76" i="104" l="1"/>
  <c r="H28" i="116"/>
  <c r="B34" i="242"/>
  <c r="K29" i="242"/>
  <c r="J29" i="242"/>
  <c r="F29" i="242"/>
  <c r="D29" i="242"/>
  <c r="K32" i="241"/>
  <c r="J32" i="241"/>
  <c r="F32" i="241"/>
  <c r="D32" i="241"/>
  <c r="J28" i="116" l="1"/>
  <c r="I28" i="116"/>
  <c r="I3" i="80" s="1"/>
  <c r="K32" i="240"/>
  <c r="J32" i="240"/>
  <c r="F32" i="240"/>
  <c r="D32" i="240"/>
  <c r="K33" i="239"/>
  <c r="J33" i="239"/>
  <c r="F33" i="239"/>
  <c r="D33" i="239"/>
  <c r="G20" i="232"/>
  <c r="G20" i="226"/>
  <c r="G22" i="218"/>
  <c r="F28" i="215"/>
  <c r="F46" i="142"/>
  <c r="G58" i="137"/>
  <c r="F58" i="126"/>
  <c r="F55" i="82"/>
  <c r="G47" i="48"/>
  <c r="F63" i="14"/>
  <c r="F52" i="3"/>
  <c r="C3" i="80" l="1"/>
  <c r="J30" i="116"/>
  <c r="B59" i="238"/>
  <c r="K54" i="238"/>
  <c r="J54" i="238"/>
  <c r="F54" i="238"/>
  <c r="D54" i="238"/>
  <c r="G162" i="40" l="1"/>
  <c r="B72" i="211"/>
  <c r="B50" i="236" l="1"/>
  <c r="K45" i="236"/>
  <c r="J45" i="236"/>
  <c r="F45" i="236"/>
  <c r="D45" i="236"/>
  <c r="M43" i="235"/>
  <c r="K26" i="235"/>
  <c r="J26" i="235"/>
  <c r="F26" i="235"/>
  <c r="D26" i="235"/>
  <c r="M49" i="234"/>
  <c r="K26" i="234"/>
  <c r="J26" i="234"/>
  <c r="F26" i="234"/>
  <c r="D26" i="234"/>
  <c r="B35" i="232" l="1"/>
  <c r="K20" i="232"/>
  <c r="J20" i="232"/>
  <c r="D20" i="232"/>
  <c r="M418" i="105" l="1"/>
  <c r="K21" i="231" l="1"/>
  <c r="J21" i="231"/>
  <c r="F21" i="231"/>
  <c r="D21" i="231"/>
  <c r="B36" i="230"/>
  <c r="K21" i="230"/>
  <c r="J21" i="230"/>
  <c r="F21" i="230"/>
  <c r="K15" i="229" l="1"/>
  <c r="J15" i="229"/>
  <c r="F15" i="229"/>
  <c r="D15" i="229"/>
  <c r="B50" i="227" l="1"/>
  <c r="K35" i="227"/>
  <c r="J35" i="227"/>
  <c r="F35" i="227"/>
  <c r="D35" i="227"/>
  <c r="B43" i="226"/>
  <c r="K20" i="226"/>
  <c r="J20" i="226"/>
  <c r="D20" i="226"/>
  <c r="D63" i="14" l="1"/>
  <c r="K29" i="225" l="1"/>
  <c r="J29" i="225"/>
  <c r="F29" i="225"/>
  <c r="D29" i="225"/>
  <c r="K25" i="224"/>
  <c r="J25" i="224"/>
  <c r="F25" i="224"/>
  <c r="D25" i="224"/>
  <c r="B41" i="220" l="1"/>
  <c r="K26" i="220"/>
  <c r="J26" i="220"/>
  <c r="F26" i="220"/>
  <c r="D26" i="220"/>
  <c r="J22" i="218" l="1"/>
  <c r="K22" i="218"/>
  <c r="J28" i="215"/>
  <c r="K28" i="215"/>
  <c r="K34" i="214"/>
  <c r="J34" i="214"/>
  <c r="F34" i="214"/>
  <c r="J52" i="213"/>
  <c r="K52" i="213"/>
  <c r="F52" i="213"/>
  <c r="J50" i="211"/>
  <c r="K50" i="211"/>
  <c r="F50" i="211"/>
  <c r="J49" i="209"/>
  <c r="K49" i="209"/>
  <c r="F49" i="209"/>
  <c r="K61" i="203"/>
  <c r="J61" i="203"/>
  <c r="F61" i="203"/>
  <c r="J28" i="197"/>
  <c r="G28" i="197"/>
  <c r="J49" i="150" l="1"/>
  <c r="J54" i="149"/>
  <c r="J46" i="142"/>
  <c r="J50" i="140"/>
  <c r="J65" i="139"/>
  <c r="J58" i="137"/>
  <c r="J58" i="126"/>
  <c r="J52" i="119"/>
  <c r="J56" i="106"/>
  <c r="F56" i="106"/>
  <c r="J62" i="105"/>
  <c r="J47" i="99"/>
  <c r="J47" i="87"/>
  <c r="K47" i="87"/>
  <c r="J54" i="82"/>
  <c r="K55" i="82"/>
  <c r="F49" i="51"/>
  <c r="J47" i="48"/>
  <c r="J63" i="32"/>
  <c r="D51" i="1"/>
  <c r="D52" i="3"/>
  <c r="D22" i="218"/>
  <c r="J44" i="104"/>
  <c r="J52" i="3"/>
  <c r="I364" i="65" l="1"/>
  <c r="D28" i="215" l="1"/>
  <c r="K47" i="48" l="1"/>
  <c r="D34" i="214" l="1"/>
  <c r="B66" i="213" l="1"/>
  <c r="D52" i="213"/>
  <c r="E124" i="142" l="1"/>
  <c r="D50" i="211" l="1"/>
  <c r="D49" i="209"/>
  <c r="D61" i="203" l="1"/>
  <c r="D47" i="48" l="1"/>
  <c r="XFD36" i="197" l="1"/>
  <c r="K28" i="197"/>
  <c r="D28" i="197"/>
  <c r="D55" i="82" l="1"/>
  <c r="B5" i="80" l="1"/>
  <c r="J45" i="171" l="1"/>
  <c r="J58" i="40"/>
  <c r="XFD162" i="3" l="1"/>
  <c r="J62" i="14" l="1"/>
  <c r="J48" i="65" l="1"/>
  <c r="J49" i="51"/>
  <c r="J51" i="1"/>
  <c r="F49" i="150" l="1"/>
  <c r="F54" i="149"/>
  <c r="F50" i="140"/>
  <c r="F52" i="119"/>
  <c r="F62" i="105"/>
  <c r="F44" i="104"/>
  <c r="G47" i="99"/>
  <c r="F47" i="87"/>
  <c r="G49" i="65"/>
  <c r="F58" i="40"/>
  <c r="F63" i="32"/>
  <c r="G51" i="1"/>
  <c r="K47" i="99" l="1"/>
  <c r="K46" i="171" l="1"/>
  <c r="K49" i="150"/>
  <c r="K54" i="149"/>
  <c r="K46" i="142"/>
  <c r="K50" i="140"/>
  <c r="K58" i="137"/>
  <c r="D58" i="126"/>
  <c r="K58" i="126"/>
  <c r="K56" i="106"/>
  <c r="K62" i="105"/>
  <c r="K44" i="104"/>
  <c r="K49" i="65"/>
  <c r="K49" i="51"/>
  <c r="K58" i="40"/>
  <c r="K63" i="32"/>
  <c r="K63" i="14"/>
  <c r="K52" i="3"/>
  <c r="K51" i="1"/>
  <c r="D50" i="140" l="1"/>
  <c r="L50" i="140" s="1"/>
  <c r="D63" i="32" l="1"/>
  <c r="B111" i="48" l="1"/>
  <c r="B142" i="48" s="1"/>
  <c r="XFD142" i="48" l="1"/>
  <c r="B135" i="140" l="1"/>
  <c r="B317" i="140" s="1"/>
  <c r="D46" i="171" l="1"/>
  <c r="D54" i="149" l="1"/>
  <c r="D49" i="150" l="1"/>
  <c r="D46" i="142" l="1"/>
  <c r="B15" i="16"/>
  <c r="K65" i="139" l="1"/>
  <c r="D65" i="139"/>
  <c r="L65" i="139" l="1"/>
  <c r="D58" i="137" l="1"/>
  <c r="F3" i="16" l="1"/>
  <c r="D3" i="16"/>
  <c r="C2" i="16"/>
  <c r="B20" i="30"/>
  <c r="B19" i="30"/>
  <c r="B17" i="30"/>
  <c r="B15" i="30"/>
  <c r="E14" i="30"/>
  <c r="B14" i="30"/>
  <c r="E13" i="30"/>
  <c r="B13" i="30"/>
  <c r="E12" i="30"/>
  <c r="B12" i="30"/>
  <c r="E11" i="30"/>
  <c r="B11" i="30"/>
  <c r="E10" i="30"/>
  <c r="B10" i="30"/>
  <c r="B9" i="30"/>
  <c r="E8" i="30"/>
  <c r="E7" i="30"/>
  <c r="B7" i="30"/>
  <c r="E6" i="30"/>
  <c r="B6" i="30"/>
  <c r="E5" i="30"/>
  <c r="B5" i="30"/>
  <c r="E2" i="30"/>
  <c r="B20" i="81"/>
  <c r="B19" i="81"/>
  <c r="B17" i="81"/>
  <c r="B15" i="81"/>
  <c r="E14" i="81"/>
  <c r="B14" i="81"/>
  <c r="E13" i="81"/>
  <c r="B13" i="81"/>
  <c r="E12" i="81"/>
  <c r="B12" i="81"/>
  <c r="E11" i="81"/>
  <c r="B11" i="81"/>
  <c r="E10" i="81"/>
  <c r="B10" i="81"/>
  <c r="B9" i="81"/>
  <c r="E8" i="81"/>
  <c r="E7" i="81"/>
  <c r="B7" i="81"/>
  <c r="E6" i="81"/>
  <c r="B6" i="81"/>
  <c r="E5" i="81"/>
  <c r="B5" i="81"/>
  <c r="E2" i="81"/>
  <c r="I27" i="120"/>
  <c r="I4" i="80" s="1"/>
  <c r="H27" i="120"/>
  <c r="G32" i="16"/>
  <c r="F32" i="16"/>
  <c r="E32" i="16"/>
  <c r="D32" i="16"/>
  <c r="C32" i="16"/>
  <c r="B32" i="16"/>
  <c r="G28" i="16"/>
  <c r="F28" i="16"/>
  <c r="E28" i="16"/>
  <c r="D28" i="16"/>
  <c r="C28" i="16"/>
  <c r="B28" i="16"/>
  <c r="G14" i="16"/>
  <c r="F14" i="16"/>
  <c r="E14" i="16"/>
  <c r="D14" i="16"/>
  <c r="C14" i="16"/>
  <c r="B14" i="16"/>
  <c r="G11" i="16"/>
  <c r="F11" i="16"/>
  <c r="E11" i="16"/>
  <c r="D11" i="16"/>
  <c r="C11" i="16"/>
  <c r="B11" i="16"/>
  <c r="T9" i="16"/>
  <c r="T8" i="16"/>
  <c r="T7" i="16"/>
  <c r="J7" i="16"/>
  <c r="L7" i="16" s="1"/>
  <c r="G7" i="16"/>
  <c r="F7" i="16"/>
  <c r="E7" i="16"/>
  <c r="D7" i="16"/>
  <c r="C7" i="16"/>
  <c r="B7" i="16"/>
  <c r="T6" i="16"/>
  <c r="T5" i="16"/>
  <c r="T4" i="16"/>
  <c r="T3" i="16"/>
  <c r="G3" i="16"/>
  <c r="C3" i="16"/>
  <c r="B3" i="16"/>
  <c r="J3" i="16" s="1"/>
  <c r="L3" i="16" s="1"/>
  <c r="T2" i="16"/>
  <c r="G2" i="16"/>
  <c r="B2" i="16"/>
  <c r="K52" i="119"/>
  <c r="G33" i="16"/>
  <c r="C33" i="16"/>
  <c r="F33" i="16"/>
  <c r="E33" i="16"/>
  <c r="D33" i="16"/>
  <c r="B31" i="16"/>
  <c r="G31" i="16"/>
  <c r="D56" i="106"/>
  <c r="C31" i="16" s="1"/>
  <c r="F31" i="16"/>
  <c r="E31" i="16"/>
  <c r="D31" i="16"/>
  <c r="B30" i="16"/>
  <c r="G30" i="16"/>
  <c r="D62" i="105"/>
  <c r="C30" i="16" s="1"/>
  <c r="F30" i="16"/>
  <c r="E30" i="16"/>
  <c r="D30" i="16"/>
  <c r="XFD93" i="104"/>
  <c r="B29" i="16"/>
  <c r="G29" i="16"/>
  <c r="D44" i="104"/>
  <c r="C29" i="16" s="1"/>
  <c r="F29" i="16"/>
  <c r="D29" i="16"/>
  <c r="B27" i="16"/>
  <c r="G27" i="16"/>
  <c r="C27" i="16"/>
  <c r="F27" i="16"/>
  <c r="E27" i="16"/>
  <c r="D27" i="16"/>
  <c r="B26" i="16"/>
  <c r="G26" i="16"/>
  <c r="C26" i="16"/>
  <c r="F26" i="16"/>
  <c r="E26" i="16"/>
  <c r="D26" i="16"/>
  <c r="XFD164" i="99"/>
  <c r="B25" i="16"/>
  <c r="G25" i="16"/>
  <c r="D47" i="99"/>
  <c r="F25" i="16"/>
  <c r="E25" i="16"/>
  <c r="D25" i="16"/>
  <c r="B24" i="16"/>
  <c r="G24" i="16"/>
  <c r="C24" i="16"/>
  <c r="F24" i="16"/>
  <c r="E24" i="16"/>
  <c r="D24" i="16"/>
  <c r="B23" i="16"/>
  <c r="G23" i="16"/>
  <c r="C23" i="16"/>
  <c r="F23" i="16"/>
  <c r="E23" i="16"/>
  <c r="D23" i="16"/>
  <c r="B22" i="16"/>
  <c r="G22" i="16"/>
  <c r="C22" i="16"/>
  <c r="F22" i="16"/>
  <c r="E22" i="16"/>
  <c r="D22" i="16"/>
  <c r="B21" i="16"/>
  <c r="G21" i="16"/>
  <c r="C21" i="16"/>
  <c r="F21" i="16"/>
  <c r="E21" i="16"/>
  <c r="D21" i="16"/>
  <c r="B20" i="16"/>
  <c r="G20" i="16"/>
  <c r="C20" i="16"/>
  <c r="F20" i="16"/>
  <c r="E20" i="16"/>
  <c r="D20" i="16"/>
  <c r="B19" i="16"/>
  <c r="G19" i="16"/>
  <c r="D47" i="87"/>
  <c r="C19" i="16" s="1"/>
  <c r="F19" i="16"/>
  <c r="E19" i="16"/>
  <c r="D19" i="16"/>
  <c r="B18" i="16"/>
  <c r="G18" i="16"/>
  <c r="C18" i="16"/>
  <c r="F18" i="16"/>
  <c r="E18" i="16"/>
  <c r="D18" i="16"/>
  <c r="B17" i="16"/>
  <c r="G17" i="16"/>
  <c r="C17" i="16"/>
  <c r="F17" i="16"/>
  <c r="E17" i="16"/>
  <c r="D17" i="16"/>
  <c r="B16" i="16"/>
  <c r="G16" i="16"/>
  <c r="C16" i="16"/>
  <c r="F16" i="16"/>
  <c r="E16" i="16"/>
  <c r="D16" i="16"/>
  <c r="G15" i="16"/>
  <c r="C15" i="16"/>
  <c r="F15" i="16"/>
  <c r="E15" i="16"/>
  <c r="D15" i="16"/>
  <c r="B13" i="16"/>
  <c r="G13" i="16"/>
  <c r="D49" i="65"/>
  <c r="F13" i="16"/>
  <c r="E13" i="16"/>
  <c r="D13" i="16"/>
  <c r="B12" i="16"/>
  <c r="G12" i="16"/>
  <c r="C12" i="16"/>
  <c r="F12" i="16"/>
  <c r="E12" i="16"/>
  <c r="D12" i="16"/>
  <c r="XFD116" i="51"/>
  <c r="G10" i="16"/>
  <c r="C10" i="16"/>
  <c r="F10" i="16"/>
  <c r="E10" i="16"/>
  <c r="D10" i="16"/>
  <c r="G9" i="16"/>
  <c r="F9" i="16"/>
  <c r="E9" i="16"/>
  <c r="D9" i="16"/>
  <c r="B8" i="16"/>
  <c r="G8" i="16"/>
  <c r="D58" i="40"/>
  <c r="C8" i="16" s="1"/>
  <c r="F8" i="16"/>
  <c r="D8" i="16"/>
  <c r="B6" i="16"/>
  <c r="J6" i="16" s="1"/>
  <c r="L6" i="16" s="1"/>
  <c r="G6" i="16"/>
  <c r="C6" i="16"/>
  <c r="F6" i="16"/>
  <c r="E6" i="16"/>
  <c r="D6" i="16"/>
  <c r="B16" i="30"/>
  <c r="B5" i="16"/>
  <c r="J5" i="16" s="1"/>
  <c r="L5" i="16" s="1"/>
  <c r="G5" i="16"/>
  <c r="C5" i="16"/>
  <c r="F5" i="16"/>
  <c r="E5" i="16"/>
  <c r="J4" i="16"/>
  <c r="L4" i="16" s="1"/>
  <c r="G4" i="16"/>
  <c r="C4" i="16"/>
  <c r="F4" i="16"/>
  <c r="E4" i="16"/>
  <c r="D4" i="16"/>
  <c r="B33" i="16" l="1"/>
  <c r="L52" i="119"/>
  <c r="C13" i="16"/>
  <c r="C9" i="16"/>
  <c r="L47" i="48"/>
  <c r="C25" i="16"/>
  <c r="L47" i="99"/>
  <c r="E8" i="16"/>
  <c r="E29" i="16"/>
  <c r="D5" i="16"/>
  <c r="H5" i="80"/>
  <c r="J27" i="120"/>
  <c r="E2" i="16"/>
  <c r="F2" i="16"/>
  <c r="F34" i="16" s="1"/>
  <c r="F35" i="16" s="1"/>
  <c r="B18" i="81"/>
  <c r="B18" i="30"/>
  <c r="J8" i="16"/>
  <c r="L8" i="16" s="1"/>
  <c r="B8" i="81"/>
  <c r="B8" i="30"/>
  <c r="D2" i="16"/>
  <c r="J10" i="16"/>
  <c r="L10" i="16" s="1"/>
  <c r="B10" i="16"/>
  <c r="B16" i="81"/>
  <c r="B4" i="16"/>
  <c r="B34" i="16" s="1"/>
  <c r="C34" i="16"/>
  <c r="C35" i="16" s="1"/>
  <c r="G34" i="16"/>
  <c r="J2" i="16"/>
  <c r="L2" i="16" s="1"/>
  <c r="C4" i="80" l="1"/>
  <c r="C5" i="80" s="1"/>
  <c r="D5" i="80" s="1"/>
  <c r="J29" i="120"/>
  <c r="I5" i="80"/>
  <c r="D34" i="16"/>
  <c r="D35" i="16" s="1"/>
  <c r="I6" i="80" l="1"/>
  <c r="I7" i="80" s="1"/>
  <c r="H6" i="80"/>
  <c r="H7" i="80" s="1"/>
  <c r="J5" i="80"/>
  <c r="J7" i="80" l="1"/>
  <c r="J6" i="80"/>
  <c r="B9" i="16"/>
  <c r="J9" i="16" l="1"/>
  <c r="L9" i="16" s="1"/>
  <c r="E3" i="16" l="1"/>
  <c r="E34" i="16" s="1"/>
  <c r="E35" i="16" s="1"/>
</calcChain>
</file>

<file path=xl/sharedStrings.xml><?xml version="1.0" encoding="utf-8"?>
<sst xmlns="http://schemas.openxmlformats.org/spreadsheetml/2006/main" count="8749" uniqueCount="509">
  <si>
    <t>DIA</t>
  </si>
  <si>
    <t>SALE DE</t>
  </si>
  <si>
    <t>LLEGA A</t>
  </si>
  <si>
    <t>KM REC</t>
  </si>
  <si>
    <t>REMITO Nº</t>
  </si>
  <si>
    <t>MATERIAL</t>
  </si>
  <si>
    <t>$</t>
  </si>
  <si>
    <t>KM</t>
  </si>
  <si>
    <t>PROMEDIO</t>
  </si>
  <si>
    <t>L. NEGRA</t>
  </si>
  <si>
    <t>RAMALLO</t>
  </si>
  <si>
    <t>YESO</t>
  </si>
  <si>
    <t>PEAJES</t>
  </si>
  <si>
    <t>ADELANTO</t>
  </si>
  <si>
    <t>ARCILLA</t>
  </si>
  <si>
    <t>PIEDRA</t>
  </si>
  <si>
    <t>CHOFER</t>
  </si>
  <si>
    <t>FACT. X EQUIPO</t>
  </si>
  <si>
    <t>FACTURACION</t>
  </si>
  <si>
    <t>SUELDO</t>
  </si>
  <si>
    <t>%</t>
  </si>
  <si>
    <t>CONSUMO MENSUAL</t>
  </si>
  <si>
    <t>KM VACIO</t>
  </si>
  <si>
    <t>GALLASTEGUI</t>
  </si>
  <si>
    <t>TREJO</t>
  </si>
  <si>
    <t>SCHWINDT</t>
  </si>
  <si>
    <t>BUTERA</t>
  </si>
  <si>
    <t>MARTINEZ</t>
  </si>
  <si>
    <t>GUERRA</t>
  </si>
  <si>
    <t>LAGE</t>
  </si>
  <si>
    <t>MONRRG</t>
  </si>
  <si>
    <t>TELLECHEA</t>
  </si>
  <si>
    <t>GONZALEZ</t>
  </si>
  <si>
    <t>GIUDICE</t>
  </si>
  <si>
    <t>CHIARELLI</t>
  </si>
  <si>
    <t>PINTO</t>
  </si>
  <si>
    <t>TOTAL</t>
  </si>
  <si>
    <t>GASTOS</t>
  </si>
  <si>
    <t>PROMEDIO LODO / ESCORIA</t>
  </si>
  <si>
    <t>Nº NEGATIVO NOS DEBE</t>
  </si>
  <si>
    <t>Nº POSITIVO LE DEBEMOS</t>
  </si>
  <si>
    <t>FUCCILA</t>
  </si>
  <si>
    <t>DARGEL</t>
  </si>
  <si>
    <t>OLALDE</t>
  </si>
  <si>
    <t>LOPEZ</t>
  </si>
  <si>
    <t>EYARCH</t>
  </si>
  <si>
    <t>SCHMIDT</t>
  </si>
  <si>
    <t>VERDUGO</t>
  </si>
  <si>
    <t>MANGUDO</t>
  </si>
  <si>
    <t>SAENZ</t>
  </si>
  <si>
    <t>MOLINA</t>
  </si>
  <si>
    <t>FACUNDO G.</t>
  </si>
  <si>
    <t>FACUNDO</t>
  </si>
  <si>
    <t>CANTERO</t>
  </si>
  <si>
    <t xml:space="preserve"> </t>
  </si>
  <si>
    <t>PULLOL</t>
  </si>
  <si>
    <t>CEJAS</t>
  </si>
  <si>
    <t>VALERGA</t>
  </si>
  <si>
    <t>PUCHETA</t>
  </si>
  <si>
    <t>DIORIO</t>
  </si>
  <si>
    <t>CAVIA</t>
  </si>
  <si>
    <t>CALIGIURI</t>
  </si>
  <si>
    <t>SAGANIAS</t>
  </si>
  <si>
    <t>HERLEIN</t>
  </si>
  <si>
    <t>FERNANDEZ</t>
  </si>
  <si>
    <t>KM VACIOS</t>
  </si>
  <si>
    <t>VACIO</t>
  </si>
  <si>
    <t xml:space="preserve">TOTAL </t>
  </si>
  <si>
    <t>ASTEAZARAN</t>
  </si>
  <si>
    <t>BATTISTA</t>
  </si>
  <si>
    <t>GARMENDIA</t>
  </si>
  <si>
    <t xml:space="preserve">ADELANTO </t>
  </si>
  <si>
    <t>LOMA</t>
  </si>
  <si>
    <t>TAMBUCCI</t>
  </si>
  <si>
    <t>peajes</t>
  </si>
  <si>
    <t>ROSARIO</t>
  </si>
  <si>
    <t>FERNANDEZ L</t>
  </si>
  <si>
    <t>PFN894</t>
  </si>
  <si>
    <t>AC109RC</t>
  </si>
  <si>
    <t>AD242JZ</t>
  </si>
  <si>
    <t>AB742XZ</t>
  </si>
  <si>
    <t>JTN564</t>
  </si>
  <si>
    <t>NUCCI</t>
  </si>
  <si>
    <t>PANUNCIO</t>
  </si>
  <si>
    <t>PONER EN SEP KM Y KM VAC DE PANUNCIO</t>
  </si>
  <si>
    <t>SALTO</t>
  </si>
  <si>
    <t>TN ESC 37,5</t>
  </si>
  <si>
    <t>TN ESC 35</t>
  </si>
  <si>
    <t>TN COM 29</t>
  </si>
  <si>
    <t>TONE ESCAL 35</t>
  </si>
  <si>
    <t>TONE COM 29</t>
  </si>
  <si>
    <t>TONE ESCAL 37,5</t>
  </si>
  <si>
    <t xml:space="preserve">   </t>
  </si>
  <si>
    <t>adelanto</t>
  </si>
  <si>
    <t>BALANZA</t>
  </si>
  <si>
    <t>gomeria</t>
  </si>
  <si>
    <t xml:space="preserve"> 29,43 SIN ESCAL</t>
  </si>
  <si>
    <t>OCAÑA</t>
  </si>
  <si>
    <t>2 CAMBIO GOMA</t>
  </si>
  <si>
    <t>balanza</t>
  </si>
  <si>
    <t>PEAJEWS Y BALANZA</t>
  </si>
  <si>
    <t>ARENA</t>
  </si>
  <si>
    <t>PALLETS</t>
  </si>
  <si>
    <t>BARKER</t>
  </si>
  <si>
    <t>M. DEL PLATA</t>
  </si>
  <si>
    <t>LARRECOCHEA</t>
  </si>
  <si>
    <t>LAVADO</t>
  </si>
  <si>
    <t>TRANSPORTE JOAQUIN HNOS. S.R.L</t>
  </si>
  <si>
    <t>CUIT: 30-70908728-9</t>
  </si>
  <si>
    <t>Proyecto de factura.</t>
  </si>
  <si>
    <t xml:space="preserve">CLIENTE </t>
  </si>
  <si>
    <t>ORIGEN</t>
  </si>
  <si>
    <t>DESTINO</t>
  </si>
  <si>
    <t>Nº REMITO</t>
  </si>
  <si>
    <t xml:space="preserve">TONELADAS </t>
  </si>
  <si>
    <t>TOTAL NETO</t>
  </si>
  <si>
    <t>TARIFA JOAQUIN</t>
  </si>
  <si>
    <t>FECHA</t>
  </si>
  <si>
    <t>IBICUY</t>
  </si>
  <si>
    <t>1º QUINCENA</t>
  </si>
  <si>
    <t>2º QUINCENA</t>
  </si>
  <si>
    <t>ZURITA</t>
  </si>
  <si>
    <t>BAZAN</t>
  </si>
  <si>
    <t>BORDIGNON</t>
  </si>
  <si>
    <t>LAGANO</t>
  </si>
  <si>
    <t>LARICCHIUTA</t>
  </si>
  <si>
    <t>NOVILLO</t>
  </si>
  <si>
    <t>2º QUINCENA JOAQUIN</t>
  </si>
  <si>
    <t>1º QUINCENA JOAQUIN</t>
  </si>
  <si>
    <t>COMISION</t>
  </si>
  <si>
    <t>JOAQUIN</t>
  </si>
  <si>
    <t>FLETEROS</t>
  </si>
  <si>
    <t>GANANCIA</t>
  </si>
  <si>
    <t>PEAJES Y GOMERIA</t>
  </si>
  <si>
    <t>EMPARCHE GOMERIA</t>
  </si>
  <si>
    <t xml:space="preserve">PARCHE GOMA </t>
  </si>
  <si>
    <t>ARREGLO DE LONA</t>
  </si>
  <si>
    <t>peaje</t>
  </si>
  <si>
    <t>PEAJE</t>
  </si>
  <si>
    <t>AUXILIO EN RESISTENCIA</t>
  </si>
  <si>
    <t>ADELAQNTO</t>
  </si>
  <si>
    <t>GOMERIA</t>
  </si>
  <si>
    <t>ARREGLO DE GOMA</t>
  </si>
  <si>
    <t>BALANZA SPEDRO</t>
  </si>
  <si>
    <t>ADELANO</t>
  </si>
  <si>
    <t>MULTA ESTACIONAMIENTO</t>
  </si>
  <si>
    <t>AÑELO</t>
  </si>
  <si>
    <t>YPF</t>
  </si>
  <si>
    <t>PESADA</t>
  </si>
  <si>
    <t>ARREGLO GOMAS</t>
  </si>
  <si>
    <t>BALANZASP</t>
  </si>
  <si>
    <t>BALANZA Y PEAJE</t>
  </si>
  <si>
    <t>27/63</t>
  </si>
  <si>
    <t>ARREGLO GOMA</t>
  </si>
  <si>
    <t>247/4</t>
  </si>
  <si>
    <t>NYU 938</t>
  </si>
  <si>
    <t>LSN 102</t>
  </si>
  <si>
    <t>AA244ZI</t>
  </si>
  <si>
    <t>AE 601 GF</t>
  </si>
  <si>
    <t>NYU 936</t>
  </si>
  <si>
    <t>AC860OW</t>
  </si>
  <si>
    <t>AA244ZJ</t>
  </si>
  <si>
    <t>JKQ716</t>
  </si>
  <si>
    <t>AE169ZO</t>
  </si>
  <si>
    <t>Y</t>
  </si>
  <si>
    <t>AE754XE</t>
  </si>
  <si>
    <t>PEAJES Y ARGOMA</t>
  </si>
  <si>
    <t>IMP MISIONES</t>
  </si>
  <si>
    <t>LAVADO CAJA</t>
  </si>
  <si>
    <t>ADELANTI</t>
  </si>
  <si>
    <t>PEA/BALAN</t>
  </si>
  <si>
    <t>FITO SANITARIO</t>
  </si>
  <si>
    <t xml:space="preserve">adelanto </t>
  </si>
  <si>
    <t>Fletero:  FISCHER AGUSTIN</t>
  </si>
  <si>
    <t>FISCHER</t>
  </si>
  <si>
    <t>ANTEC PENAL</t>
  </si>
  <si>
    <t>ESCORIA</t>
  </si>
  <si>
    <t>REPUESTO</t>
  </si>
  <si>
    <t>21/*12</t>
  </si>
  <si>
    <t>BALANZA S.PEDRO</t>
  </si>
  <si>
    <t>PEAJE Y BALANZA</t>
  </si>
  <si>
    <t>PEAJES Y BALANZA</t>
  </si>
  <si>
    <t>,</t>
  </si>
  <si>
    <t>ADEALNTO</t>
  </si>
  <si>
    <t>balanzabk</t>
  </si>
  <si>
    <t>GOMERIA800 BALANZA420 PEAJE730</t>
  </si>
  <si>
    <t>MANGRULLO</t>
  </si>
  <si>
    <t xml:space="preserve">BALANZA </t>
  </si>
  <si>
    <t>delanto</t>
  </si>
  <si>
    <t>ADWELANTO</t>
  </si>
  <si>
    <t>ANT. PENALES</t>
  </si>
  <si>
    <t>TORNILLOS</t>
  </si>
  <si>
    <t>ADELANTE</t>
  </si>
  <si>
    <t>peales</t>
  </si>
  <si>
    <t>BALANZA JUAREZ</t>
  </si>
  <si>
    <t>LAVADO ZARATE</t>
  </si>
  <si>
    <t>ADERLANTO</t>
  </si>
  <si>
    <t>peajes gomeria</t>
  </si>
  <si>
    <t>balanza bto juarez</t>
  </si>
  <si>
    <t>PEALES</t>
  </si>
  <si>
    <t xml:space="preserve">PEAJES </t>
  </si>
  <si>
    <t>UREA</t>
  </si>
  <si>
    <t>Balanza Juarez</t>
  </si>
  <si>
    <t>Peajes</t>
  </si>
  <si>
    <t>ADELAnto</t>
  </si>
  <si>
    <t>Balanza</t>
  </si>
  <si>
    <t>DIVIDIDO 5</t>
  </si>
  <si>
    <t xml:space="preserve">  </t>
  </si>
  <si>
    <t>ADELANTO BALANZA</t>
  </si>
  <si>
    <t xml:space="preserve">                 </t>
  </si>
  <si>
    <t>peakes</t>
  </si>
  <si>
    <t>ant. Penales</t>
  </si>
  <si>
    <t>PABLO</t>
  </si>
  <si>
    <t>PAGO GAS</t>
  </si>
  <si>
    <t>GAS</t>
  </si>
  <si>
    <t>NO ESTABA ANOTADO</t>
  </si>
  <si>
    <t>adelantro</t>
  </si>
  <si>
    <t>COMBUSTIBLE</t>
  </si>
  <si>
    <t>PEAjes</t>
  </si>
  <si>
    <t>ADEANTO</t>
  </si>
  <si>
    <t>LOMASER</t>
  </si>
  <si>
    <t>PEAJESS</t>
  </si>
  <si>
    <t>lona</t>
  </si>
  <si>
    <t>267km</t>
  </si>
  <si>
    <t>ADELAMTO</t>
  </si>
  <si>
    <t>PAJES</t>
  </si>
  <si>
    <t>ADELNATO</t>
  </si>
  <si>
    <t>ALLEN</t>
  </si>
  <si>
    <t>1//2</t>
  </si>
  <si>
    <t>SIDERAR</t>
  </si>
  <si>
    <t>C. PIEDRA BUENA</t>
  </si>
  <si>
    <t>Adelanto</t>
  </si>
  <si>
    <t>PEAJERS</t>
  </si>
  <si>
    <t>ADE</t>
  </si>
  <si>
    <t>OLAVARRIA</t>
  </si>
  <si>
    <t>ESTACIONAMIENTO</t>
  </si>
  <si>
    <t>NO SE LO DI</t>
  </si>
  <si>
    <t>agua desmineralizada y copia llave</t>
  </si>
  <si>
    <t>`PEAJES</t>
  </si>
  <si>
    <t>$600 DE UN PEAJE</t>
  </si>
  <si>
    <t>SAN PEDRO</t>
  </si>
  <si>
    <t xml:space="preserve">GAS OIL (EL PLAYERO TILDO EN EFECTIVO) </t>
  </si>
  <si>
    <t>ESCOBAR</t>
  </si>
  <si>
    <t>antecedentes</t>
  </si>
  <si>
    <t>CAMBIO GOMA</t>
  </si>
  <si>
    <t>transferencia</t>
  </si>
  <si>
    <t>TRANSFERENCIA</t>
  </si>
  <si>
    <t xml:space="preserve">                                      </t>
  </si>
  <si>
    <t>Fletero: FISCHER PABLO</t>
  </si>
  <si>
    <t>FISCHER PABLO</t>
  </si>
  <si>
    <t>CUIT: 20-22837073-9</t>
  </si>
  <si>
    <t>SOLA</t>
  </si>
  <si>
    <t>????</t>
  </si>
  <si>
    <t>LA ELENA</t>
  </si>
  <si>
    <t>RIO CUARTO</t>
  </si>
  <si>
    <t>SAN AGUSTIN</t>
  </si>
  <si>
    <t>ade</t>
  </si>
  <si>
    <t>CLINKER</t>
  </si>
  <si>
    <t>YPF RUTA 5</t>
  </si>
  <si>
    <t>M. ROJO</t>
  </si>
  <si>
    <t>A FACTURAR</t>
  </si>
  <si>
    <t>devolucion por adelanto</t>
  </si>
  <si>
    <t>B. DE ESCOBAR</t>
  </si>
  <si>
    <t>DEV. CAJA</t>
  </si>
  <si>
    <t>DEVOLUCION</t>
  </si>
  <si>
    <t>GOMERIA PEAJE</t>
  </si>
  <si>
    <t>devolucion caja</t>
  </si>
  <si>
    <t>aceite</t>
  </si>
  <si>
    <t>ADELANTOO</t>
  </si>
  <si>
    <t>peajers</t>
  </si>
  <si>
    <t xml:space="preserve">PEAJE </t>
  </si>
  <si>
    <t>SAN NICOLAS</t>
  </si>
  <si>
    <t>B. ESCOBAR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</si>
  <si>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</si>
  <si>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URIBURU</t>
  </si>
  <si>
    <t>DARSENA F</t>
  </si>
  <si>
    <t>TORCUATO</t>
  </si>
  <si>
    <t>PARA COMB.</t>
  </si>
  <si>
    <t>VICTORIA</t>
  </si>
  <si>
    <t xml:space="preserve">GAS </t>
  </si>
  <si>
    <t>TARJ DEB DE EL</t>
  </si>
  <si>
    <t>EL EMPORIO</t>
  </si>
  <si>
    <t>CABRERA</t>
  </si>
  <si>
    <t>LEMOS</t>
  </si>
  <si>
    <t>RODAMIENTO</t>
  </si>
  <si>
    <t>PUBLICIDAD</t>
  </si>
  <si>
    <t>GAS EFEC CAJA</t>
  </si>
  <si>
    <t>GAS EFEC PAGO EL</t>
  </si>
  <si>
    <t>CERRITO</t>
  </si>
  <si>
    <t>CAJA</t>
  </si>
  <si>
    <t>TORTUGUITAS</t>
  </si>
  <si>
    <t>MHR 632</t>
  </si>
  <si>
    <t>AE545YJ</t>
  </si>
  <si>
    <t>OQE470</t>
  </si>
  <si>
    <t>DEVUELVE</t>
  </si>
  <si>
    <t>FATIMA</t>
  </si>
  <si>
    <t xml:space="preserve">ALLEN </t>
  </si>
  <si>
    <t>BOSQUES</t>
  </si>
  <si>
    <t>TIGRE</t>
  </si>
  <si>
    <t xml:space="preserve">TIGRE </t>
  </si>
  <si>
    <t>CAMPANA</t>
  </si>
  <si>
    <t>HOLCIM</t>
  </si>
  <si>
    <t>PUNTA ALTA</t>
  </si>
  <si>
    <t>PASADA X MERC CENTRAL</t>
  </si>
  <si>
    <t>YESO LOMA</t>
  </si>
  <si>
    <t xml:space="preserve">TORTUGUITAS </t>
  </si>
  <si>
    <t>1 CLIENTE</t>
  </si>
  <si>
    <t xml:space="preserve">ANTEC PENAL </t>
  </si>
  <si>
    <t>BERISSO</t>
  </si>
  <si>
    <t>?????</t>
  </si>
  <si>
    <t>1461 LTS GAS OIL</t>
  </si>
  <si>
    <t>ATEC PENAL</t>
  </si>
  <si>
    <t>ANT PENALES</t>
  </si>
  <si>
    <t>V. GESSEL</t>
  </si>
  <si>
    <t>Fecha de proyecto: 01/12/2025 AL 15/12/2025</t>
  </si>
  <si>
    <t>Fecha de proyecto:  01/12/25 al 15/12/2025</t>
  </si>
  <si>
    <t>C. RAMALLO</t>
  </si>
  <si>
    <t>00006-00003615</t>
  </si>
  <si>
    <t>1577-00097548</t>
  </si>
  <si>
    <t>00004-00025491</t>
  </si>
  <si>
    <t>1673 lts de gas oil</t>
  </si>
  <si>
    <t xml:space="preserve">VACACIONES </t>
  </si>
  <si>
    <t>Fecha de proyecto: 16/12/2025 AL 31/12/2025</t>
  </si>
  <si>
    <t>Fecha de proyecto:  16/12/25 al 31/112/2025</t>
  </si>
  <si>
    <t xml:space="preserve">710 LTS DE GAS OIL </t>
  </si>
  <si>
    <t>658 lts gas oil</t>
  </si>
  <si>
    <t>CASEROS</t>
  </si>
  <si>
    <t>TRAMONTANA</t>
  </si>
  <si>
    <t>HINOJO</t>
  </si>
  <si>
    <t>1577-00101660</t>
  </si>
  <si>
    <t>1577-00102288</t>
  </si>
  <si>
    <t xml:space="preserve">368 LTS DE GAS OIL </t>
  </si>
  <si>
    <t>B. BLANCA</t>
  </si>
  <si>
    <t>ENERO</t>
  </si>
  <si>
    <t>ANT PENAL</t>
  </si>
  <si>
    <t>NEUQUEN</t>
  </si>
  <si>
    <t>BANDUR YPF 5</t>
  </si>
  <si>
    <t>MALAGUEÑO</t>
  </si>
  <si>
    <t>SIGUIO</t>
  </si>
  <si>
    <t>TRASBORDO</t>
  </si>
  <si>
    <t>CORDOBA</t>
  </si>
  <si>
    <t>SANTA ROSA</t>
  </si>
  <si>
    <t>DOCK SUD</t>
  </si>
  <si>
    <t>M. CENTRAL</t>
  </si>
  <si>
    <t>FENOMIX</t>
  </si>
  <si>
    <t>CAMION ROTO</t>
  </si>
  <si>
    <t>B. JUAREZ</t>
  </si>
  <si>
    <t>PAMPAYASTA</t>
  </si>
  <si>
    <t>ANTEC</t>
  </si>
  <si>
    <t>???</t>
  </si>
  <si>
    <t>PEHUAJO</t>
  </si>
  <si>
    <t>ZAPALA</t>
  </si>
  <si>
    <t>SAN FERNANDO</t>
  </si>
  <si>
    <t>BARADERO</t>
  </si>
  <si>
    <t>TALLER</t>
  </si>
  <si>
    <t>ZELAYA</t>
  </si>
  <si>
    <t>CATAMARCA</t>
  </si>
  <si>
    <t>SIDERCA</t>
  </si>
  <si>
    <t>ADELA 6</t>
  </si>
  <si>
    <t>ADELA YPF</t>
  </si>
  <si>
    <t>CORTO</t>
  </si>
  <si>
    <t>SPEGAZZINI</t>
  </si>
  <si>
    <t xml:space="preserve">YPF  </t>
  </si>
  <si>
    <t>DOLORES</t>
  </si>
  <si>
    <t>COLON</t>
  </si>
  <si>
    <t>TANDILIA</t>
  </si>
  <si>
    <t>PFN849</t>
  </si>
  <si>
    <t>M.DEL PLATA</t>
  </si>
  <si>
    <t>LODO</t>
  </si>
  <si>
    <t>P. TIROL</t>
  </si>
  <si>
    <t>CHACABUCO</t>
  </si>
  <si>
    <t>AG821WX</t>
  </si>
  <si>
    <t>31 A LAS 17</t>
  </si>
  <si>
    <t>30 A LAS 16</t>
  </si>
  <si>
    <t>AD916TF</t>
  </si>
  <si>
    <t>30 A LAS 9</t>
  </si>
  <si>
    <t>SALAZAR</t>
  </si>
  <si>
    <t>COSENTINO</t>
  </si>
  <si>
    <t>ABBOT</t>
  </si>
  <si>
    <t xml:space="preserve">VER A </t>
  </si>
  <si>
    <t>PARTIR DEL 12</t>
  </si>
  <si>
    <t>COMISARIA</t>
  </si>
  <si>
    <t>SAN EFRNANDO</t>
  </si>
  <si>
    <t xml:space="preserve">SALAZAR </t>
  </si>
  <si>
    <t>DERIVACION</t>
  </si>
  <si>
    <t>BAJO DEL TORO</t>
  </si>
  <si>
    <t>YPF TORO</t>
  </si>
  <si>
    <t>TKT 21557</t>
  </si>
  <si>
    <t>SCANIA</t>
  </si>
  <si>
    <t>BAHIA BLANCA</t>
  </si>
  <si>
    <t>S. FERNANDO</t>
  </si>
  <si>
    <t>T. SUAREZ</t>
  </si>
  <si>
    <t>VOLVO</t>
  </si>
  <si>
    <t>J. C. PAZ</t>
  </si>
  <si>
    <t>CAÑUELAS</t>
  </si>
  <si>
    <t>ARCAMIN</t>
  </si>
  <si>
    <t>JUNIN</t>
  </si>
  <si>
    <t>FUE A TALLER</t>
  </si>
  <si>
    <t>BESTEN</t>
  </si>
  <si>
    <t>YPF TORO 5</t>
  </si>
  <si>
    <t>GRAL. PICO</t>
  </si>
  <si>
    <t>LOS PAGARON</t>
  </si>
  <si>
    <t>CARGO</t>
  </si>
  <si>
    <t>PAREDEZ</t>
  </si>
  <si>
    <t>01/04 AL 05/04</t>
  </si>
  <si>
    <t>CARGO A TRELEW</t>
  </si>
  <si>
    <t>QUEDO EN TALLER</t>
  </si>
  <si>
    <t>SIGUIO ARCUBY</t>
  </si>
  <si>
    <t>V. CONSTITUCION</t>
  </si>
  <si>
    <t>ACINDAR</t>
  </si>
  <si>
    <t>TRELEW</t>
  </si>
  <si>
    <t>ALVAREZ</t>
  </si>
  <si>
    <t>Y QUEDO EN TALLER</t>
  </si>
  <si>
    <t>BAHIA</t>
  </si>
  <si>
    <t>YPF RUTA  5</t>
  </si>
  <si>
    <t>I. WHITE</t>
  </si>
  <si>
    <t>TANDIL</t>
  </si>
  <si>
    <t>C. AVELLANEDA</t>
  </si>
  <si>
    <t>ADELA YPF 5</t>
  </si>
  <si>
    <t>NYU938</t>
  </si>
  <si>
    <t>AA696BJ</t>
  </si>
  <si>
    <t>FERREYRA</t>
  </si>
  <si>
    <t>TKT 21655</t>
  </si>
  <si>
    <t>BENAVIDEZ</t>
  </si>
  <si>
    <t xml:space="preserve">TORCUATO </t>
  </si>
  <si>
    <t>TKT 21594</t>
  </si>
  <si>
    <t>SUSPENSION</t>
  </si>
  <si>
    <t>3 DIAS</t>
  </si>
  <si>
    <t>C. FEDERAL</t>
  </si>
  <si>
    <t>BOLIVAR</t>
  </si>
  <si>
    <t>292…</t>
  </si>
  <si>
    <t>CORTO YESO</t>
  </si>
  <si>
    <t>ALTA GRACIA</t>
  </si>
  <si>
    <t>TKT 21648</t>
  </si>
  <si>
    <t>TKT 21595</t>
  </si>
  <si>
    <t>TKT 21813</t>
  </si>
  <si>
    <t>DESCONTAR</t>
  </si>
  <si>
    <t xml:space="preserve">YPF </t>
  </si>
  <si>
    <t>NAVARRO</t>
  </si>
  <si>
    <t>PALLETS 300</t>
  </si>
  <si>
    <t>DECARGO 5 TN</t>
  </si>
  <si>
    <t>EN OLAVARRIA</t>
  </si>
  <si>
    <t xml:space="preserve">SALTO </t>
  </si>
  <si>
    <t>TKT 21650</t>
  </si>
  <si>
    <t>292,,,</t>
  </si>
  <si>
    <t>1 A LAS 8</t>
  </si>
  <si>
    <t>30 A LAS 11</t>
  </si>
  <si>
    <t>G. PACHECO</t>
  </si>
  <si>
    <t>DARSENA</t>
  </si>
  <si>
    <t>30 A LAS 19</t>
  </si>
  <si>
    <t>30 A LAS 21</t>
  </si>
  <si>
    <t>30 A LAS 22</t>
  </si>
  <si>
    <t>PALLET</t>
  </si>
  <si>
    <t>30 A LAS 20</t>
  </si>
  <si>
    <t>30 A LAS 23</t>
  </si>
  <si>
    <t>25 A LAS 8</t>
  </si>
  <si>
    <t>30 A LAS 13</t>
  </si>
  <si>
    <t>CACHARI</t>
  </si>
  <si>
    <t>ENGANCHO</t>
  </si>
  <si>
    <t xml:space="preserve">ACOPLADO </t>
  </si>
  <si>
    <t>ALBORNOZ</t>
  </si>
  <si>
    <t>LLEGO A PRINGLES</t>
  </si>
  <si>
    <t>30 A LAS 15</t>
  </si>
  <si>
    <t>1 A LAS 4 AM</t>
  </si>
  <si>
    <t>30 A LAS 14</t>
  </si>
  <si>
    <t>30A LAS 20</t>
  </si>
  <si>
    <t>30 A LAS 23,59</t>
  </si>
  <si>
    <t>SAND POINT</t>
  </si>
  <si>
    <t>SAN POINT YPF</t>
  </si>
  <si>
    <t>PRINGLES</t>
  </si>
  <si>
    <t>GUATRACHE</t>
  </si>
  <si>
    <t>294,,,</t>
  </si>
  <si>
    <t>1 ALAS 23</t>
  </si>
  <si>
    <t>VERRR</t>
  </si>
  <si>
    <t>29 A LAS 14</t>
  </si>
  <si>
    <t>POLVORINES</t>
  </si>
  <si>
    <t>LUJAN</t>
  </si>
  <si>
    <t xml:space="preserve">DARSENA F </t>
  </si>
  <si>
    <t>30 A LAS 17</t>
  </si>
  <si>
    <t>30 A LA 1</t>
  </si>
  <si>
    <t>30 a las 20</t>
  </si>
  <si>
    <t>1 a las 12</t>
  </si>
  <si>
    <t>CHACHARRAMENDI</t>
  </si>
  <si>
    <t>30 A LAS 12</t>
  </si>
  <si>
    <t>1 A LAS 10</t>
  </si>
  <si>
    <t>LEZAMA</t>
  </si>
  <si>
    <t>28 A LAS 23</t>
  </si>
  <si>
    <t>1 A LAS 9</t>
  </si>
  <si>
    <t>PIGUE</t>
  </si>
  <si>
    <t>RADA TILLY</t>
  </si>
  <si>
    <t>VOLVIO A TALLER</t>
  </si>
  <si>
    <t>LA PLATA</t>
  </si>
  <si>
    <t>1 A LAS 6</t>
  </si>
  <si>
    <t>AE601GF</t>
  </si>
  <si>
    <t>CARGO CARTASSO</t>
  </si>
  <si>
    <t>YPF DE TORO</t>
  </si>
  <si>
    <t>Y SIGUIO</t>
  </si>
  <si>
    <t>LF</t>
  </si>
  <si>
    <t>piedra</t>
  </si>
  <si>
    <t>ARROYITO</t>
  </si>
  <si>
    <t>28 A LAS 19</t>
  </si>
  <si>
    <t>AE228WV</t>
  </si>
  <si>
    <t>URBAN</t>
  </si>
  <si>
    <t>AGREGAR 1 PERMANENCIA</t>
  </si>
  <si>
    <t xml:space="preserve">PARA PEAJES XQ NO TIENE DISP </t>
  </si>
  <si>
    <t>BANDUR</t>
  </si>
  <si>
    <t>YPF BANDUR</t>
  </si>
  <si>
    <t>2950..</t>
  </si>
  <si>
    <t>V. REGINA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</si>
</sst>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;[Red]&quot;$&quot;\ \-#,##0"/>
    <numFmt numFmtId="165" formatCode="_ &quot;$&quot;\ * #,##0.00_ ;_ &quot;$&quot;\ * \-#,##0.00_ ;_ &quot;$&quot;\ * &quot;-&quot;??_ ;_ @_ "/>
    <numFmt numFmtId="166" formatCode="h:mm;@"/>
    <numFmt numFmtId="167" formatCode="d\-mmm\-yy;@"/>
    <numFmt numFmtId="168" formatCode="[$$-2C0A]\ * #,##0.00\ ;[$$-2C0A]\ * \-#,##0.00\ ;[$$-2C0A]\ * \-#\ ;@\ "/>
    <numFmt numFmtId="169" formatCode="dd/mm/yy"/>
    <numFmt numFmtId="170" formatCode="0.000"/>
    <numFmt numFmtId="171" formatCode="[$$-2C0A]#,##0.00;[Red]\([$$-2C0A]#,##0.00\)"/>
    <numFmt numFmtId="172" formatCode="* #,##0.00&quot; € &quot;;\-* #,##0.00&quot; € &quot;;* \-#&quot; € &quot;;@\ "/>
    <numFmt numFmtId="173" formatCode="&quot;$&quot;\ #,##0.00"/>
    <numFmt numFmtId="174" formatCode="_ [$$-2C0A]\ * #,##0.00_ ;_ [$$-2C0A]\ * \-#,##0.00_ ;_ [$$-2C0A]\ * &quot;-&quot;??_ ;_ @_ "/>
    <numFmt numFmtId="175" formatCode="dd/mm/yy;@"/>
    <numFmt numFmtId="176" formatCode="_-[$$-2C0A]\ * #,##0.00_-;\-[$$-2C0A]\ * #,##0.00_-;_-[$$-2C0A]\ * &quot;-&quot;??_-;_-@_-"/>
  </numFmts>
  <fonts count="4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10"/>
      <name val="Calibri"/>
      <family val="2"/>
      <charset val="1"/>
    </font>
    <font>
      <sz val="8"/>
      <name val="Calibri"/>
      <family val="2"/>
      <charset val="1"/>
    </font>
    <font>
      <sz val="11"/>
      <name val="Calibri"/>
      <family val="2"/>
      <charset val="1"/>
    </font>
    <font>
      <b/>
      <sz val="1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FF0000"/>
      <name val="Calibri"/>
      <family val="2"/>
      <charset val="1"/>
    </font>
    <font>
      <b/>
      <sz val="11"/>
      <name val="Calibri"/>
      <family val="2"/>
      <charset val="1"/>
    </font>
    <font>
      <sz val="12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9"/>
      <color rgb="FF00000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"/>
    </font>
    <font>
      <sz val="9"/>
      <color rgb="FF000000"/>
      <name val="Calibri"/>
      <family val="2"/>
    </font>
    <font>
      <b/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theme="1"/>
      <name val="Calibri"/>
      <family val="2"/>
    </font>
    <font>
      <b/>
      <sz val="10"/>
      <color theme="1"/>
      <name val="Calibri"/>
      <family val="2"/>
      <charset val="1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F99"/>
      </patternFill>
    </fill>
    <fill>
      <patternFill patternType="solid">
        <fgColor rgb="FFC4BD97"/>
        <bgColor rgb="FFBFBFBF"/>
      </patternFill>
    </fill>
    <fill>
      <patternFill patternType="solid">
        <fgColor rgb="FFFFFF00"/>
        <bgColor rgb="FFFFFF66"/>
      </patternFill>
    </fill>
    <fill>
      <patternFill patternType="solid">
        <fgColor rgb="FF33FF99"/>
        <bgColor rgb="FF00FFFF"/>
      </patternFill>
    </fill>
    <fill>
      <patternFill patternType="solid">
        <fgColor rgb="FFE46C0A"/>
        <bgColor rgb="FFFF6600"/>
      </patternFill>
    </fill>
    <fill>
      <patternFill patternType="solid">
        <fgColor rgb="FFCCC1DA"/>
        <bgColor rgb="FFCCCCCC"/>
      </patternFill>
    </fill>
    <fill>
      <patternFill patternType="solid">
        <fgColor rgb="FF0AE614"/>
        <bgColor rgb="FF33FF99"/>
      </patternFill>
    </fill>
    <fill>
      <patternFill patternType="solid">
        <fgColor rgb="FFFF6600"/>
        <bgColor rgb="FFE46C0A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CC1DA"/>
      </patternFill>
    </fill>
    <fill>
      <patternFill patternType="solid">
        <fgColor rgb="FFB3A2C7"/>
        <bgColor rgb="FFBFBFBF"/>
      </patternFill>
    </fill>
    <fill>
      <patternFill patternType="solid">
        <fgColor rgb="FF9BBB59"/>
        <bgColor rgb="FF92D050"/>
      </patternFill>
    </fill>
    <fill>
      <patternFill patternType="solid">
        <fgColor rgb="FFC3D69B"/>
        <bgColor rgb="FFCCCCCC"/>
      </patternFill>
    </fill>
    <fill>
      <patternFill patternType="solid">
        <fgColor rgb="FF92D050"/>
        <bgColor rgb="FF9BBB59"/>
      </patternFill>
    </fill>
    <fill>
      <patternFill patternType="solid">
        <fgColor rgb="FFFF3333"/>
        <bgColor rgb="FFFF420E"/>
      </patternFill>
    </fill>
    <fill>
      <patternFill patternType="solid">
        <fgColor rgb="FFFF9900"/>
        <bgColor rgb="FFFFC000"/>
      </patternFill>
    </fill>
    <fill>
      <patternFill patternType="solid">
        <fgColor rgb="FFFAC090"/>
        <bgColor rgb="FFE6B9B8"/>
      </patternFill>
    </fill>
    <fill>
      <patternFill patternType="solid">
        <fgColor rgb="FFDDD9C3"/>
        <bgColor rgb="FFD9D9D9"/>
      </patternFill>
    </fill>
    <fill>
      <patternFill patternType="solid">
        <fgColor rgb="FF77933C"/>
        <bgColor rgb="FF808080"/>
      </patternFill>
    </fill>
    <fill>
      <patternFill patternType="solid">
        <fgColor rgb="FFFF66FF"/>
        <bgColor rgb="FFFF6666"/>
      </patternFill>
    </fill>
    <fill>
      <patternFill patternType="solid">
        <fgColor rgb="FF9999FF"/>
        <bgColor rgb="FFB3A2C7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77933C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rgb="FF00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77933C"/>
      </patternFill>
    </fill>
    <fill>
      <patternFill patternType="solid">
        <fgColor theme="7" tint="0.39997558519241921"/>
        <bgColor rgb="FF33FF99"/>
      </patternFill>
    </fill>
    <fill>
      <patternFill patternType="solid">
        <fgColor theme="7" tint="0.59999389629810485"/>
        <bgColor rgb="FFFFFF99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FF99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3">
    <xf numFmtId="0" fontId="0" fillId="0" borderId="0"/>
    <xf numFmtId="172" fontId="28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</cellStyleXfs>
  <cellXfs count="307">
    <xf numFmtId="0" fontId="0" fillId="0" borderId="0" xfId="0"/>
    <xf numFmtId="167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2" fontId="0" fillId="0" borderId="0" xfId="0" applyNumberFormat="1"/>
    <xf numFmtId="167" fontId="14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0" borderId="0" xfId="0" applyFont="1"/>
    <xf numFmtId="167" fontId="19" fillId="0" borderId="0" xfId="0" applyNumberFormat="1" applyFont="1"/>
    <xf numFmtId="16" fontId="0" fillId="0" borderId="0" xfId="0" applyNumberFormat="1"/>
    <xf numFmtId="2" fontId="14" fillId="6" borderId="1" xfId="0" applyNumberFormat="1" applyFont="1" applyFill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/>
    </xf>
    <xf numFmtId="16" fontId="19" fillId="0" borderId="0" xfId="0" applyNumberFormat="1" applyFont="1" applyAlignment="1">
      <alignment horizontal="center"/>
    </xf>
    <xf numFmtId="0" fontId="22" fillId="7" borderId="3" xfId="0" applyFont="1" applyFill="1" applyBorder="1" applyAlignment="1">
      <alignment horizontal="center"/>
    </xf>
    <xf numFmtId="168" fontId="19" fillId="0" borderId="0" xfId="0" applyNumberFormat="1" applyFont="1"/>
    <xf numFmtId="168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6" fontId="19" fillId="0" borderId="0" xfId="0" applyNumberFormat="1" applyFont="1" applyAlignment="1">
      <alignment horizontal="left"/>
    </xf>
    <xf numFmtId="171" fontId="0" fillId="0" borderId="0" xfId="0" applyNumberFormat="1"/>
    <xf numFmtId="168" fontId="19" fillId="2" borderId="0" xfId="0" applyNumberFormat="1" applyFont="1" applyFill="1" applyAlignment="1">
      <alignment horizontal="center"/>
    </xf>
    <xf numFmtId="16" fontId="19" fillId="2" borderId="0" xfId="0" applyNumberFormat="1" applyFont="1" applyFill="1" applyAlignment="1">
      <alignment horizontal="center"/>
    </xf>
    <xf numFmtId="166" fontId="11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1" fillId="6" borderId="0" xfId="0" applyFont="1" applyFill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8" fillId="11" borderId="1" xfId="0" applyFont="1" applyFill="1" applyBorder="1" applyAlignment="1">
      <alignment horizontal="center"/>
    </xf>
    <xf numFmtId="0" fontId="0" fillId="6" borderId="0" xfId="0" applyFill="1"/>
    <xf numFmtId="0" fontId="12" fillId="12" borderId="1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167" fontId="23" fillId="12" borderId="1" xfId="0" applyNumberFormat="1" applyFont="1" applyFill="1" applyBorder="1"/>
    <xf numFmtId="2" fontId="11" fillId="6" borderId="0" xfId="0" applyNumberFormat="1" applyFont="1" applyFill="1" applyAlignment="1">
      <alignment horizontal="center"/>
    </xf>
    <xf numFmtId="0" fontId="19" fillId="0" borderId="1" xfId="0" applyFont="1" applyBorder="1" applyAlignment="1">
      <alignment horizontal="center"/>
    </xf>
    <xf numFmtId="4" fontId="26" fillId="0" borderId="1" xfId="2" applyNumberFormat="1" applyFont="1" applyBorder="1" applyAlignment="1">
      <alignment horizontal="center"/>
    </xf>
    <xf numFmtId="170" fontId="18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23" fillId="14" borderId="1" xfId="0" applyNumberFormat="1" applyFont="1" applyFill="1" applyBorder="1"/>
    <xf numFmtId="167" fontId="23" fillId="15" borderId="1" xfId="0" applyNumberFormat="1" applyFont="1" applyFill="1" applyBorder="1"/>
    <xf numFmtId="2" fontId="11" fillId="6" borderId="5" xfId="0" applyNumberFormat="1" applyFont="1" applyFill="1" applyBorder="1" applyAlignment="1">
      <alignment horizontal="center"/>
    </xf>
    <xf numFmtId="0" fontId="0" fillId="0" borderId="1" xfId="0" applyBorder="1"/>
    <xf numFmtId="0" fontId="24" fillId="0" borderId="1" xfId="0" applyFont="1" applyBorder="1" applyAlignment="1">
      <alignment horizontal="center"/>
    </xf>
    <xf numFmtId="2" fontId="11" fillId="9" borderId="0" xfId="0" applyNumberFormat="1" applyFont="1" applyFill="1" applyAlignment="1">
      <alignment horizontal="center"/>
    </xf>
    <xf numFmtId="0" fontId="0" fillId="9" borderId="0" xfId="0" applyFill="1"/>
    <xf numFmtId="0" fontId="12" fillId="16" borderId="0" xfId="0" applyFont="1" applyFill="1"/>
    <xf numFmtId="0" fontId="24" fillId="5" borderId="0" xfId="0" applyFont="1" applyFill="1" applyAlignment="1">
      <alignment horizontal="center"/>
    </xf>
    <xf numFmtId="1" fontId="24" fillId="5" borderId="0" xfId="0" applyNumberFormat="1" applyFont="1" applyFill="1" applyAlignment="1">
      <alignment horizontal="center"/>
    </xf>
    <xf numFmtId="0" fontId="12" fillId="15" borderId="2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top"/>
    </xf>
    <xf numFmtId="0" fontId="13" fillId="7" borderId="1" xfId="0" applyFont="1" applyFill="1" applyBorder="1" applyAlignment="1">
      <alignment horizontal="center" wrapText="1"/>
    </xf>
    <xf numFmtId="0" fontId="12" fillId="18" borderId="1" xfId="0" applyFont="1" applyFill="1" applyBorder="1" applyAlignment="1">
      <alignment horizontal="center" vertical="top"/>
    </xf>
    <xf numFmtId="0" fontId="13" fillId="18" borderId="1" xfId="0" applyFont="1" applyFill="1" applyBorder="1" applyAlignment="1">
      <alignment horizontal="center" wrapText="1"/>
    </xf>
    <xf numFmtId="0" fontId="12" fillId="14" borderId="1" xfId="0" applyFont="1" applyFill="1" applyBorder="1" applyAlignment="1">
      <alignment horizontal="center" vertical="top"/>
    </xf>
    <xf numFmtId="0" fontId="13" fillId="14" borderId="1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center" vertical="top"/>
    </xf>
    <xf numFmtId="0" fontId="13" fillId="10" borderId="1" xfId="0" applyFont="1" applyFill="1" applyBorder="1" applyAlignment="1">
      <alignment horizontal="center" wrapText="1"/>
    </xf>
    <xf numFmtId="168" fontId="12" fillId="0" borderId="0" xfId="0" applyNumberFormat="1" applyFont="1"/>
    <xf numFmtId="0" fontId="0" fillId="2" borderId="1" xfId="0" applyFill="1" applyBorder="1"/>
    <xf numFmtId="0" fontId="12" fillId="3" borderId="1" xfId="0" applyFont="1" applyFill="1" applyBorder="1"/>
    <xf numFmtId="168" fontId="12" fillId="3" borderId="1" xfId="0" applyNumberFormat="1" applyFont="1" applyFill="1" applyBorder="1"/>
    <xf numFmtId="0" fontId="12" fillId="19" borderId="1" xfId="0" applyFont="1" applyFill="1" applyBorder="1"/>
    <xf numFmtId="168" fontId="12" fillId="19" borderId="1" xfId="0" applyNumberFormat="1" applyFont="1" applyFill="1" applyBorder="1"/>
    <xf numFmtId="0" fontId="12" fillId="18" borderId="1" xfId="0" applyFont="1" applyFill="1" applyBorder="1"/>
    <xf numFmtId="168" fontId="12" fillId="18" borderId="1" xfId="1" applyNumberFormat="1" applyFont="1" applyFill="1" applyBorder="1" applyAlignment="1">
      <alignment horizontal="right"/>
    </xf>
    <xf numFmtId="168" fontId="0" fillId="0" borderId="0" xfId="0" applyNumberFormat="1"/>
    <xf numFmtId="0" fontId="12" fillId="14" borderId="1" xfId="0" applyFont="1" applyFill="1" applyBorder="1"/>
    <xf numFmtId="168" fontId="12" fillId="14" borderId="1" xfId="0" applyNumberFormat="1" applyFont="1" applyFill="1" applyBorder="1"/>
    <xf numFmtId="0" fontId="12" fillId="20" borderId="1" xfId="0" applyFont="1" applyFill="1" applyBorder="1"/>
    <xf numFmtId="168" fontId="12" fillId="20" borderId="1" xfId="0" applyNumberFormat="1" applyFont="1" applyFill="1" applyBorder="1"/>
    <xf numFmtId="168" fontId="12" fillId="2" borderId="0" xfId="0" applyNumberFormat="1" applyFont="1" applyFill="1"/>
    <xf numFmtId="1" fontId="12" fillId="0" borderId="1" xfId="0" applyNumberFormat="1" applyFont="1" applyBorder="1" applyAlignment="1">
      <alignment horizontal="center"/>
    </xf>
    <xf numFmtId="0" fontId="12" fillId="10" borderId="1" xfId="0" applyFont="1" applyFill="1" applyBorder="1"/>
    <xf numFmtId="168" fontId="12" fillId="10" borderId="1" xfId="0" applyNumberFormat="1" applyFont="1" applyFill="1" applyBorder="1"/>
    <xf numFmtId="0" fontId="12" fillId="4" borderId="1" xfId="0" applyFont="1" applyFill="1" applyBorder="1"/>
    <xf numFmtId="168" fontId="12" fillId="4" borderId="1" xfId="0" applyNumberFormat="1" applyFont="1" applyFill="1" applyBorder="1"/>
    <xf numFmtId="0" fontId="12" fillId="17" borderId="1" xfId="0" applyFont="1" applyFill="1" applyBorder="1"/>
    <xf numFmtId="0" fontId="12" fillId="21" borderId="1" xfId="0" applyFont="1" applyFill="1" applyBorder="1"/>
    <xf numFmtId="0" fontId="12" fillId="22" borderId="1" xfId="0" applyFont="1" applyFill="1" applyBorder="1"/>
    <xf numFmtId="0" fontId="1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2" fontId="27" fillId="0" borderId="1" xfId="0" applyNumberFormat="1" applyFont="1" applyBorder="1" applyAlignment="1">
      <alignment horizontal="center"/>
    </xf>
    <xf numFmtId="169" fontId="0" fillId="0" borderId="0" xfId="0" applyNumberForma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73" fontId="0" fillId="0" borderId="0" xfId="0" applyNumberFormat="1"/>
    <xf numFmtId="0" fontId="17" fillId="0" borderId="1" xfId="0" applyFont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0" fontId="30" fillId="24" borderId="1" xfId="0" applyFont="1" applyFill="1" applyBorder="1"/>
    <xf numFmtId="0" fontId="30" fillId="25" borderId="1" xfId="0" applyFont="1" applyFill="1" applyBorder="1"/>
    <xf numFmtId="168" fontId="30" fillId="17" borderId="1" xfId="0" applyNumberFormat="1" applyFont="1" applyFill="1" applyBorder="1"/>
    <xf numFmtId="168" fontId="30" fillId="21" borderId="1" xfId="0" applyNumberFormat="1" applyFont="1" applyFill="1" applyBorder="1"/>
    <xf numFmtId="168" fontId="30" fillId="22" borderId="1" xfId="0" applyNumberFormat="1" applyFont="1" applyFill="1" applyBorder="1"/>
    <xf numFmtId="173" fontId="30" fillId="24" borderId="1" xfId="0" applyNumberFormat="1" applyFont="1" applyFill="1" applyBorder="1"/>
    <xf numFmtId="173" fontId="30" fillId="25" borderId="1" xfId="0" applyNumberFormat="1" applyFont="1" applyFill="1" applyBorder="1"/>
    <xf numFmtId="16" fontId="0" fillId="0" borderId="0" xfId="0" applyNumberFormat="1" applyAlignment="1">
      <alignment horizontal="right"/>
    </xf>
    <xf numFmtId="173" fontId="28" fillId="0" borderId="0" xfId="1" applyNumberFormat="1"/>
    <xf numFmtId="0" fontId="0" fillId="23" borderId="0" xfId="0" applyFill="1"/>
    <xf numFmtId="0" fontId="19" fillId="0" borderId="0" xfId="0" applyFont="1" applyAlignment="1">
      <alignment horizontal="center"/>
    </xf>
    <xf numFmtId="175" fontId="0" fillId="0" borderId="0" xfId="0" applyNumberFormat="1"/>
    <xf numFmtId="0" fontId="30" fillId="28" borderId="1" xfId="0" applyFont="1" applyFill="1" applyBorder="1"/>
    <xf numFmtId="173" fontId="30" fillId="28" borderId="1" xfId="1" applyNumberFormat="1" applyFont="1" applyFill="1" applyBorder="1"/>
    <xf numFmtId="0" fontId="30" fillId="29" borderId="1" xfId="0" applyFont="1" applyFill="1" applyBorder="1"/>
    <xf numFmtId="173" fontId="30" fillId="29" borderId="1" xfId="1" applyNumberFormat="1" applyFont="1" applyFill="1" applyBorder="1"/>
    <xf numFmtId="0" fontId="30" fillId="30" borderId="1" xfId="0" applyFont="1" applyFill="1" applyBorder="1"/>
    <xf numFmtId="173" fontId="30" fillId="30" borderId="1" xfId="1" applyNumberFormat="1" applyFont="1" applyFill="1" applyBorder="1"/>
    <xf numFmtId="174" fontId="28" fillId="0" borderId="0" xfId="1" applyNumberFormat="1"/>
    <xf numFmtId="174" fontId="16" fillId="0" borderId="0" xfId="0" applyNumberFormat="1" applyFont="1"/>
    <xf numFmtId="174" fontId="0" fillId="0" borderId="0" xfId="0" applyNumberFormat="1"/>
    <xf numFmtId="0" fontId="30" fillId="0" borderId="0" xfId="0" applyFont="1"/>
    <xf numFmtId="0" fontId="29" fillId="0" borderId="0" xfId="0" applyFont="1" applyAlignment="1">
      <alignment horizontal="center"/>
    </xf>
    <xf numFmtId="0" fontId="0" fillId="0" borderId="0" xfId="0" applyAlignment="1">
      <alignment horizontal="left"/>
    </xf>
    <xf numFmtId="2" fontId="32" fillId="0" borderId="1" xfId="0" applyNumberFormat="1" applyFont="1" applyBorder="1" applyAlignment="1">
      <alignment horizontal="center"/>
    </xf>
    <xf numFmtId="0" fontId="17" fillId="26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2" fontId="31" fillId="0" borderId="1" xfId="0" applyNumberFormat="1" applyFont="1" applyBorder="1" applyAlignment="1">
      <alignment horizontal="center"/>
    </xf>
    <xf numFmtId="2" fontId="31" fillId="2" borderId="1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2" fontId="0" fillId="0" borderId="1" xfId="0" applyNumberFormat="1" applyBorder="1"/>
    <xf numFmtId="0" fontId="3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0" fillId="0" borderId="3" xfId="0" applyNumberFormat="1" applyBorder="1"/>
    <xf numFmtId="0" fontId="30" fillId="0" borderId="1" xfId="0" applyFont="1" applyBorder="1" applyAlignment="1">
      <alignment horizontal="center"/>
    </xf>
    <xf numFmtId="2" fontId="14" fillId="33" borderId="1" xfId="0" applyNumberFormat="1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2" fontId="30" fillId="0" borderId="0" xfId="0" applyNumberFormat="1" applyFont="1" applyAlignment="1">
      <alignment horizontal="center"/>
    </xf>
    <xf numFmtId="4" fontId="30" fillId="0" borderId="0" xfId="0" applyNumberFormat="1" applyFont="1" applyAlignment="1">
      <alignment horizontal="center"/>
    </xf>
    <xf numFmtId="170" fontId="33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70" fontId="12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0" fillId="23" borderId="1" xfId="0" applyFill="1" applyBorder="1"/>
    <xf numFmtId="0" fontId="31" fillId="23" borderId="1" xfId="0" applyFont="1" applyFill="1" applyBorder="1"/>
    <xf numFmtId="0" fontId="0" fillId="26" borderId="1" xfId="0" applyFill="1" applyBorder="1"/>
    <xf numFmtId="1" fontId="14" fillId="0" borderId="1" xfId="0" applyNumberFormat="1" applyFont="1" applyBorder="1" applyAlignment="1">
      <alignment horizontal="center"/>
    </xf>
    <xf numFmtId="1" fontId="12" fillId="2" borderId="3" xfId="0" applyNumberFormat="1" applyFont="1" applyFill="1" applyBorder="1" applyAlignment="1">
      <alignment horizontal="center"/>
    </xf>
    <xf numFmtId="1" fontId="14" fillId="6" borderId="1" xfId="0" applyNumberFormat="1" applyFont="1" applyFill="1" applyBorder="1" applyAlignment="1">
      <alignment horizontal="center"/>
    </xf>
    <xf numFmtId="1" fontId="0" fillId="0" borderId="0" xfId="0" applyNumberFormat="1"/>
    <xf numFmtId="1" fontId="12" fillId="2" borderId="1" xfId="0" applyNumberFormat="1" applyFont="1" applyFill="1" applyBorder="1" applyAlignment="1">
      <alignment horizontal="center"/>
    </xf>
    <xf numFmtId="0" fontId="0" fillId="4" borderId="1" xfId="0" applyFill="1" applyBorder="1"/>
    <xf numFmtId="16" fontId="31" fillId="0" borderId="6" xfId="0" applyNumberFormat="1" applyFont="1" applyBorder="1"/>
    <xf numFmtId="16" fontId="0" fillId="0" borderId="6" xfId="0" applyNumberFormat="1" applyBorder="1"/>
    <xf numFmtId="16" fontId="16" fillId="0" borderId="6" xfId="0" applyNumberFormat="1" applyFont="1" applyBorder="1"/>
    <xf numFmtId="173" fontId="0" fillId="0" borderId="1" xfId="0" applyNumberFormat="1" applyBorder="1"/>
    <xf numFmtId="173" fontId="30" fillId="0" borderId="1" xfId="0" applyNumberFormat="1" applyFont="1" applyBorder="1" applyAlignment="1">
      <alignment horizontal="center"/>
    </xf>
    <xf numFmtId="0" fontId="30" fillId="31" borderId="7" xfId="0" applyFont="1" applyFill="1" applyBorder="1" applyAlignment="1">
      <alignment horizontal="center"/>
    </xf>
    <xf numFmtId="16" fontId="0" fillId="0" borderId="0" xfId="0" applyNumberFormat="1" applyAlignment="1">
      <alignment horizontal="left"/>
    </xf>
    <xf numFmtId="0" fontId="14" fillId="31" borderId="1" xfId="0" applyFont="1" applyFill="1" applyBorder="1" applyAlignment="1">
      <alignment horizontal="center"/>
    </xf>
    <xf numFmtId="0" fontId="0" fillId="0" borderId="0" xfId="0" quotePrefix="1"/>
    <xf numFmtId="173" fontId="30" fillId="23" borderId="3" xfId="0" applyNumberFormat="1" applyFont="1" applyFill="1" applyBorder="1"/>
    <xf numFmtId="171" fontId="30" fillId="0" borderId="1" xfId="0" applyNumberFormat="1" applyFont="1" applyBorder="1"/>
    <xf numFmtId="0" fontId="11" fillId="0" borderId="4" xfId="0" applyFont="1" applyBorder="1" applyAlignment="1">
      <alignment horizontal="center"/>
    </xf>
    <xf numFmtId="0" fontId="37" fillId="34" borderId="0" xfId="0" applyFont="1" applyFill="1" applyAlignment="1">
      <alignment horizontal="center"/>
    </xf>
    <xf numFmtId="0" fontId="38" fillId="34" borderId="0" xfId="0" applyFont="1" applyFill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65" fontId="39" fillId="23" borderId="0" xfId="0" applyNumberFormat="1" applyFont="1" applyFill="1" applyAlignment="1">
      <alignment horizontal="center"/>
    </xf>
    <xf numFmtId="2" fontId="0" fillId="4" borderId="1" xfId="0" applyNumberFormat="1" applyFill="1" applyBorder="1" applyAlignment="1">
      <alignment horizontal="right"/>
    </xf>
    <xf numFmtId="0" fontId="31" fillId="23" borderId="1" xfId="1" applyNumberFormat="1" applyFont="1" applyFill="1" applyBorder="1"/>
    <xf numFmtId="0" fontId="31" fillId="27" borderId="1" xfId="0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24" fillId="0" borderId="1" xfId="0" applyNumberFormat="1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2" fontId="24" fillId="0" borderId="4" xfId="0" applyNumberFormat="1" applyFont="1" applyBorder="1" applyAlignment="1">
      <alignment horizontal="center"/>
    </xf>
    <xf numFmtId="2" fontId="24" fillId="0" borderId="1" xfId="0" applyNumberFormat="1" applyFont="1" applyBorder="1" applyAlignment="1">
      <alignment horizontal="center"/>
    </xf>
    <xf numFmtId="2" fontId="24" fillId="35" borderId="0" xfId="0" applyNumberFormat="1" applyFont="1" applyFill="1" applyAlignment="1">
      <alignment horizontal="center"/>
    </xf>
    <xf numFmtId="0" fontId="0" fillId="0" borderId="9" xfId="0" applyBorder="1"/>
    <xf numFmtId="0" fontId="29" fillId="26" borderId="0" xfId="0" applyFont="1" applyFill="1" applyAlignment="1">
      <alignment horizontal="center"/>
    </xf>
    <xf numFmtId="0" fontId="30" fillId="26" borderId="0" xfId="0" applyFont="1" applyFill="1" applyAlignment="1">
      <alignment horizontal="center"/>
    </xf>
    <xf numFmtId="164" fontId="0" fillId="0" borderId="0" xfId="0" applyNumberFormat="1"/>
    <xf numFmtId="0" fontId="11" fillId="0" borderId="1" xfId="0" applyFont="1" applyBorder="1" applyAlignment="1">
      <alignment horizontal="center"/>
    </xf>
    <xf numFmtId="2" fontId="22" fillId="0" borderId="0" xfId="0" applyNumberFormat="1" applyFont="1" applyAlignment="1">
      <alignment horizontal="center"/>
    </xf>
    <xf numFmtId="2" fontId="23" fillId="0" borderId="1" xfId="0" applyNumberFormat="1" applyFont="1" applyBorder="1" applyAlignment="1">
      <alignment horizontal="center"/>
    </xf>
    <xf numFmtId="167" fontId="23" fillId="31" borderId="1" xfId="0" applyNumberFormat="1" applyFont="1" applyFill="1" applyBorder="1"/>
    <xf numFmtId="0" fontId="0" fillId="31" borderId="1" xfId="0" applyFill="1" applyBorder="1" applyAlignment="1">
      <alignment horizontal="left"/>
    </xf>
    <xf numFmtId="167" fontId="40" fillId="2" borderId="1" xfId="0" applyNumberFormat="1" applyFont="1" applyFill="1" applyBorder="1" applyAlignment="1">
      <alignment horizontal="center"/>
    </xf>
    <xf numFmtId="2" fontId="12" fillId="2" borderId="9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7" fontId="23" fillId="0" borderId="1" xfId="0" applyNumberFormat="1" applyFont="1" applyBorder="1"/>
    <xf numFmtId="0" fontId="42" fillId="36" borderId="2" xfId="0" applyFont="1" applyFill="1" applyBorder="1" applyAlignment="1">
      <alignment horizontal="center"/>
    </xf>
    <xf numFmtId="14" fontId="0" fillId="0" borderId="3" xfId="0" applyNumberFormat="1" applyBorder="1"/>
    <xf numFmtId="2" fontId="0" fillId="0" borderId="3" xfId="0" applyNumberFormat="1" applyBorder="1" applyAlignment="1">
      <alignment horizontal="center"/>
    </xf>
    <xf numFmtId="165" fontId="0" fillId="0" borderId="3" xfId="1" applyNumberFormat="1" applyFont="1" applyBorder="1"/>
    <xf numFmtId="2" fontId="42" fillId="36" borderId="3" xfId="0" applyNumberFormat="1" applyFont="1" applyFill="1" applyBorder="1" applyAlignment="1">
      <alignment horizontal="center"/>
    </xf>
    <xf numFmtId="165" fontId="42" fillId="36" borderId="3" xfId="0" applyNumberFormat="1" applyFont="1" applyFill="1" applyBorder="1" applyAlignment="1">
      <alignment horizontal="center"/>
    </xf>
    <xf numFmtId="0" fontId="42" fillId="31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165" fontId="30" fillId="31" borderId="1" xfId="0" applyNumberFormat="1" applyFont="1" applyFill="1" applyBorder="1"/>
    <xf numFmtId="0" fontId="30" fillId="31" borderId="4" xfId="0" applyFont="1" applyFill="1" applyBorder="1" applyAlignment="1">
      <alignment horizontal="center"/>
    </xf>
    <xf numFmtId="0" fontId="30" fillId="23" borderId="4" xfId="0" applyFont="1" applyFill="1" applyBorder="1" applyAlignment="1">
      <alignment horizontal="center"/>
    </xf>
    <xf numFmtId="173" fontId="30" fillId="31" borderId="17" xfId="0" applyNumberFormat="1" applyFont="1" applyFill="1" applyBorder="1" applyAlignment="1">
      <alignment horizontal="center"/>
    </xf>
    <xf numFmtId="171" fontId="30" fillId="37" borderId="1" xfId="0" applyNumberFormat="1" applyFont="1" applyFill="1" applyBorder="1"/>
    <xf numFmtId="173" fontId="36" fillId="37" borderId="1" xfId="0" applyNumberFormat="1" applyFont="1" applyFill="1" applyBorder="1" applyAlignment="1">
      <alignment horizontal="center"/>
    </xf>
    <xf numFmtId="173" fontId="30" fillId="37" borderId="1" xfId="0" applyNumberFormat="1" applyFont="1" applyFill="1" applyBorder="1"/>
    <xf numFmtId="171" fontId="30" fillId="37" borderId="1" xfId="0" applyNumberFormat="1" applyFont="1" applyFill="1" applyBorder="1" applyAlignment="1">
      <alignment horizontal="center"/>
    </xf>
    <xf numFmtId="171" fontId="30" fillId="23" borderId="1" xfId="0" applyNumberFormat="1" applyFont="1" applyFill="1" applyBorder="1" applyAlignment="1">
      <alignment horizontal="center"/>
    </xf>
    <xf numFmtId="173" fontId="30" fillId="23" borderId="1" xfId="0" applyNumberFormat="1" applyFont="1" applyFill="1" applyBorder="1"/>
    <xf numFmtId="173" fontId="30" fillId="31" borderId="1" xfId="0" applyNumberFormat="1" applyFont="1" applyFill="1" applyBorder="1" applyAlignment="1">
      <alignment horizontal="right"/>
    </xf>
    <xf numFmtId="173" fontId="30" fillId="31" borderId="1" xfId="0" applyNumberFormat="1" applyFont="1" applyFill="1" applyBorder="1" applyAlignment="1">
      <alignment horizontal="center"/>
    </xf>
    <xf numFmtId="171" fontId="30" fillId="31" borderId="1" xfId="0" applyNumberFormat="1" applyFont="1" applyFill="1" applyBorder="1" applyAlignment="1">
      <alignment horizontal="center"/>
    </xf>
    <xf numFmtId="173" fontId="30" fillId="31" borderId="18" xfId="0" applyNumberFormat="1" applyFont="1" applyFill="1" applyBorder="1"/>
    <xf numFmtId="173" fontId="30" fillId="37" borderId="1" xfId="0" applyNumberFormat="1" applyFont="1" applyFill="1" applyBorder="1" applyAlignment="1">
      <alignment horizontal="center"/>
    </xf>
    <xf numFmtId="173" fontId="30" fillId="23" borderId="1" xfId="0" applyNumberFormat="1" applyFont="1" applyFill="1" applyBorder="1" applyAlignment="1">
      <alignment horizontal="center"/>
    </xf>
    <xf numFmtId="173" fontId="30" fillId="0" borderId="0" xfId="1" applyNumberFormat="1" applyFont="1"/>
    <xf numFmtId="173" fontId="30" fillId="31" borderId="19" xfId="0" applyNumberFormat="1" applyFont="1" applyFill="1" applyBorder="1" applyAlignment="1">
      <alignment horizontal="center"/>
    </xf>
    <xf numFmtId="0" fontId="0" fillId="38" borderId="0" xfId="0" applyFill="1"/>
    <xf numFmtId="0" fontId="40" fillId="0" borderId="1" xfId="0" applyFont="1" applyBorder="1" applyAlignment="1">
      <alignment horizontal="center"/>
    </xf>
    <xf numFmtId="1" fontId="41" fillId="0" borderId="1" xfId="0" applyNumberFormat="1" applyFont="1" applyBorder="1" applyAlignment="1">
      <alignment horizontal="center"/>
    </xf>
    <xf numFmtId="16" fontId="31" fillId="0" borderId="0" xfId="0" applyNumberFormat="1" applyFont="1" applyAlignment="1">
      <alignment horizontal="left"/>
    </xf>
    <xf numFmtId="0" fontId="17" fillId="23" borderId="1" xfId="0" applyFont="1" applyFill="1" applyBorder="1" applyAlignment="1">
      <alignment horizontal="center"/>
    </xf>
    <xf numFmtId="6" fontId="0" fillId="0" borderId="0" xfId="0" applyNumberFormat="1"/>
    <xf numFmtId="173" fontId="14" fillId="32" borderId="1" xfId="0" applyNumberFormat="1" applyFont="1" applyFill="1" applyBorder="1" applyAlignment="1">
      <alignment horizontal="center"/>
    </xf>
    <xf numFmtId="173" fontId="14" fillId="33" borderId="1" xfId="0" applyNumberFormat="1" applyFont="1" applyFill="1" applyBorder="1" applyAlignment="1">
      <alignment horizontal="center"/>
    </xf>
    <xf numFmtId="173" fontId="18" fillId="8" borderId="1" xfId="0" applyNumberFormat="1" applyFont="1" applyFill="1" applyBorder="1" applyAlignment="1">
      <alignment horizontal="center"/>
    </xf>
    <xf numFmtId="173" fontId="31" fillId="32" borderId="1" xfId="0" applyNumberFormat="1" applyFont="1" applyFill="1" applyBorder="1" applyAlignment="1">
      <alignment horizontal="center"/>
    </xf>
    <xf numFmtId="173" fontId="41" fillId="33" borderId="1" xfId="0" applyNumberFormat="1" applyFont="1" applyFill="1" applyBorder="1" applyAlignment="1">
      <alignment horizontal="center"/>
    </xf>
    <xf numFmtId="173" fontId="14" fillId="39" borderId="1" xfId="0" applyNumberFormat="1" applyFont="1" applyFill="1" applyBorder="1" applyAlignment="1">
      <alignment horizontal="center"/>
    </xf>
    <xf numFmtId="173" fontId="14" fillId="40" borderId="1" xfId="0" applyNumberFormat="1" applyFont="1" applyFill="1" applyBorder="1" applyAlignment="1">
      <alignment horizontal="center"/>
    </xf>
    <xf numFmtId="173" fontId="18" fillId="41" borderId="1" xfId="0" applyNumberFormat="1" applyFont="1" applyFill="1" applyBorder="1" applyAlignment="1">
      <alignment horizontal="center"/>
    </xf>
    <xf numFmtId="0" fontId="11" fillId="42" borderId="1" xfId="0" applyFont="1" applyFill="1" applyBorder="1" applyAlignment="1">
      <alignment horizontal="center"/>
    </xf>
    <xf numFmtId="176" fontId="28" fillId="32" borderId="1" xfId="1" applyNumberFormat="1" applyFill="1" applyBorder="1"/>
    <xf numFmtId="16" fontId="14" fillId="0" borderId="1" xfId="0" applyNumberFormat="1" applyFont="1" applyBorder="1" applyAlignment="1">
      <alignment horizontal="center"/>
    </xf>
    <xf numFmtId="2" fontId="12" fillId="23" borderId="0" xfId="0" applyNumberFormat="1" applyFont="1" applyFill="1" applyAlignment="1">
      <alignment horizontal="center"/>
    </xf>
    <xf numFmtId="6" fontId="16" fillId="0" borderId="0" xfId="0" applyNumberFormat="1" applyFont="1"/>
    <xf numFmtId="0" fontId="16" fillId="0" borderId="0" xfId="0" applyFont="1"/>
    <xf numFmtId="44" fontId="14" fillId="32" borderId="1" xfId="0" applyNumberFormat="1" applyFont="1" applyFill="1" applyBorder="1" applyAlignment="1">
      <alignment horizontal="center"/>
    </xf>
    <xf numFmtId="44" fontId="14" fillId="33" borderId="1" xfId="0" applyNumberFormat="1" applyFont="1" applyFill="1" applyBorder="1" applyAlignment="1">
      <alignment horizontal="center"/>
    </xf>
    <xf numFmtId="44" fontId="18" fillId="8" borderId="1" xfId="0" applyNumberFormat="1" applyFont="1" applyFill="1" applyBorder="1" applyAlignment="1">
      <alignment horizontal="center"/>
    </xf>
    <xf numFmtId="44" fontId="31" fillId="32" borderId="1" xfId="0" applyNumberFormat="1" applyFont="1" applyFill="1" applyBorder="1" applyAlignment="1">
      <alignment horizontal="center"/>
    </xf>
    <xf numFmtId="44" fontId="41" fillId="33" borderId="1" xfId="0" applyNumberFormat="1" applyFont="1" applyFill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16" fontId="0" fillId="23" borderId="0" xfId="0" applyNumberFormat="1" applyFill="1"/>
    <xf numFmtId="172" fontId="28" fillId="0" borderId="0" xfId="1"/>
    <xf numFmtId="176" fontId="31" fillId="32" borderId="1" xfId="0" applyNumberFormat="1" applyFont="1" applyFill="1" applyBorder="1" applyAlignment="1">
      <alignment horizontal="center"/>
    </xf>
    <xf numFmtId="176" fontId="41" fillId="33" borderId="1" xfId="0" applyNumberFormat="1" applyFont="1" applyFill="1" applyBorder="1" applyAlignment="1">
      <alignment horizontal="center"/>
    </xf>
    <xf numFmtId="176" fontId="44" fillId="8" borderId="1" xfId="0" applyNumberFormat="1" applyFont="1" applyFill="1" applyBorder="1" applyAlignment="1">
      <alignment horizontal="center"/>
    </xf>
    <xf numFmtId="173" fontId="44" fillId="8" borderId="1" xfId="0" applyNumberFormat="1" applyFont="1" applyFill="1" applyBorder="1" applyAlignment="1">
      <alignment horizontal="center"/>
    </xf>
    <xf numFmtId="173" fontId="31" fillId="8" borderId="1" xfId="0" applyNumberFormat="1" applyFont="1" applyFill="1" applyBorder="1" applyAlignment="1">
      <alignment horizontal="center"/>
    </xf>
    <xf numFmtId="0" fontId="45" fillId="2" borderId="1" xfId="0" applyFont="1" applyFill="1" applyBorder="1" applyAlignment="1">
      <alignment horizontal="center"/>
    </xf>
    <xf numFmtId="16" fontId="16" fillId="0" borderId="0" xfId="0" applyNumberFormat="1" applyFont="1"/>
    <xf numFmtId="173" fontId="28" fillId="32" borderId="1" xfId="1" applyNumberFormat="1" applyFill="1" applyBorder="1"/>
    <xf numFmtId="165" fontId="30" fillId="23" borderId="2" xfId="0" applyNumberFormat="1" applyFont="1" applyFill="1" applyBorder="1" applyAlignment="1">
      <alignment horizontal="center"/>
    </xf>
    <xf numFmtId="0" fontId="30" fillId="23" borderId="0" xfId="0" applyFont="1" applyFill="1" applyAlignment="1">
      <alignment horizontal="center"/>
    </xf>
    <xf numFmtId="167" fontId="40" fillId="0" borderId="1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4" fontId="10" fillId="0" borderId="3" xfId="0" applyNumberFormat="1" applyFont="1" applyBorder="1" applyAlignment="1">
      <alignment horizontal="center"/>
    </xf>
    <xf numFmtId="173" fontId="0" fillId="23" borderId="0" xfId="0" applyNumberFormat="1" applyFill="1"/>
    <xf numFmtId="0" fontId="9" fillId="0" borderId="3" xfId="0" applyFont="1" applyBorder="1" applyAlignment="1">
      <alignment horizontal="left"/>
    </xf>
    <xf numFmtId="0" fontId="42" fillId="36" borderId="12" xfId="0" applyFont="1" applyFill="1" applyBorder="1" applyAlignment="1">
      <alignment horizontal="center"/>
    </xf>
    <xf numFmtId="0" fontId="0" fillId="0" borderId="2" xfId="0" applyBorder="1"/>
    <xf numFmtId="0" fontId="11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5" fontId="30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73" fontId="30" fillId="0" borderId="0" xfId="0" applyNumberFormat="1" applyFont="1"/>
    <xf numFmtId="1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14" fillId="43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/>
    <xf numFmtId="14" fontId="40" fillId="2" borderId="1" xfId="0" applyNumberFormat="1" applyFont="1" applyFill="1" applyBorder="1" applyAlignment="1">
      <alignment horizontal="center"/>
    </xf>
    <xf numFmtId="0" fontId="17" fillId="31" borderId="1" xfId="0" applyFont="1" applyFill="1" applyBorder="1" applyAlignment="1">
      <alignment horizontal="center"/>
    </xf>
    <xf numFmtId="1" fontId="14" fillId="31" borderId="1" xfId="0" applyNumberFormat="1" applyFont="1" applyFill="1" applyBorder="1" applyAlignment="1">
      <alignment horizontal="center"/>
    </xf>
    <xf numFmtId="0" fontId="15" fillId="43" borderId="1" xfId="0" applyFont="1" applyFill="1" applyBorder="1" applyAlignment="1">
      <alignment horizontal="center"/>
    </xf>
    <xf numFmtId="1" fontId="14" fillId="43" borderId="1" xfId="0" applyNumberFormat="1" applyFont="1" applyFill="1" applyBorder="1" applyAlignment="1">
      <alignment horizontal="center"/>
    </xf>
    <xf numFmtId="0" fontId="17" fillId="43" borderId="1" xfId="0" applyFont="1" applyFill="1" applyBorder="1" applyAlignment="1">
      <alignment horizontal="center"/>
    </xf>
    <xf numFmtId="0" fontId="34" fillId="44" borderId="1" xfId="0" applyFont="1" applyFill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0" fontId="40" fillId="45" borderId="1" xfId="0" applyFont="1" applyFill="1" applyBorder="1" applyAlignment="1">
      <alignment horizontal="center"/>
    </xf>
    <xf numFmtId="0" fontId="35" fillId="43" borderId="1" xfId="0" applyFont="1" applyFill="1" applyBorder="1" applyAlignment="1">
      <alignment horizontal="center"/>
    </xf>
    <xf numFmtId="0" fontId="40" fillId="43" borderId="1" xfId="0" applyFont="1" applyFill="1" applyBorder="1" applyAlignment="1">
      <alignment horizontal="center"/>
    </xf>
    <xf numFmtId="0" fontId="14" fillId="44" borderId="1" xfId="0" applyFont="1" applyFill="1" applyBorder="1" applyAlignment="1">
      <alignment horizontal="center"/>
    </xf>
    <xf numFmtId="0" fontId="40" fillId="27" borderId="1" xfId="0" applyFont="1" applyFill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35" fillId="31" borderId="1" xfId="0" applyFont="1" applyFill="1" applyBorder="1" applyAlignment="1">
      <alignment horizontal="center"/>
    </xf>
    <xf numFmtId="0" fontId="40" fillId="23" borderId="1" xfId="0" applyFont="1" applyFill="1" applyBorder="1" applyAlignment="1">
      <alignment horizontal="center"/>
    </xf>
    <xf numFmtId="0" fontId="40" fillId="31" borderId="1" xfId="0" applyFont="1" applyFill="1" applyBorder="1" applyAlignment="1">
      <alignment horizontal="center"/>
    </xf>
    <xf numFmtId="0" fontId="21" fillId="31" borderId="1" xfId="0" applyFont="1" applyFill="1" applyBorder="1" applyAlignment="1">
      <alignment horizontal="center"/>
    </xf>
    <xf numFmtId="0" fontId="42" fillId="0" borderId="10" xfId="0" applyFont="1" applyBorder="1"/>
    <xf numFmtId="0" fontId="42" fillId="0" borderId="11" xfId="0" applyFont="1" applyBorder="1"/>
    <xf numFmtId="0" fontId="42" fillId="0" borderId="8" xfId="0" applyFont="1" applyBorder="1"/>
    <xf numFmtId="0" fontId="42" fillId="0" borderId="12" xfId="0" applyFont="1" applyBorder="1"/>
    <xf numFmtId="0" fontId="42" fillId="0" borderId="0" xfId="0" applyFont="1"/>
    <xf numFmtId="0" fontId="42" fillId="0" borderId="13" xfId="0" applyFont="1" applyBorder="1"/>
    <xf numFmtId="0" fontId="0" fillId="0" borderId="12" xfId="0" applyBorder="1"/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1" fillId="2" borderId="1" xfId="0" applyFont="1" applyFill="1" applyBorder="1" applyAlignment="1">
      <alignment horizontal="center"/>
    </xf>
  </cellXfs>
  <cellStyles count="83">
    <cellStyle name="Moneda" xfId="1" builtinId="4"/>
    <cellStyle name="Normal" xfId="0" builtinId="0"/>
    <cellStyle name="Normal 10" xfId="11" xr:uid="{00000000-0005-0000-0000-000002000000}"/>
    <cellStyle name="Normal 11" xfId="12" xr:uid="{00000000-0005-0000-0000-000003000000}"/>
    <cellStyle name="Normal 12" xfId="13" xr:uid="{00000000-0005-0000-0000-000004000000}"/>
    <cellStyle name="Normal 13" xfId="14" xr:uid="{00000000-0005-0000-0000-000005000000}"/>
    <cellStyle name="Normal 14" xfId="15" xr:uid="{00000000-0005-0000-0000-000006000000}"/>
    <cellStyle name="Normal 15" xfId="16" xr:uid="{00000000-0005-0000-0000-000007000000}"/>
    <cellStyle name="Normal 16" xfId="17" xr:uid="{00000000-0005-0000-0000-000008000000}"/>
    <cellStyle name="Normal 17" xfId="18" xr:uid="{00000000-0005-0000-0000-000009000000}"/>
    <cellStyle name="Normal 18" xfId="19" xr:uid="{00000000-0005-0000-0000-00000A000000}"/>
    <cellStyle name="Normal 19" xfId="20" xr:uid="{00000000-0005-0000-0000-00000B000000}"/>
    <cellStyle name="Normal 2 10" xfId="30" xr:uid="{00000000-0005-0000-0000-00000C000000}"/>
    <cellStyle name="Normal 2 11" xfId="31" xr:uid="{00000000-0005-0000-0000-00000D000000}"/>
    <cellStyle name="Normal 2 12" xfId="32" xr:uid="{00000000-0005-0000-0000-00000E000000}"/>
    <cellStyle name="Normal 2 13" xfId="33" xr:uid="{00000000-0005-0000-0000-00000F000000}"/>
    <cellStyle name="Normal 2 14" xfId="34" xr:uid="{00000000-0005-0000-0000-000010000000}"/>
    <cellStyle name="Normal 2 15" xfId="35" xr:uid="{00000000-0005-0000-0000-000011000000}"/>
    <cellStyle name="Normal 2 16" xfId="36" xr:uid="{00000000-0005-0000-0000-000012000000}"/>
    <cellStyle name="Normal 2 17" xfId="37" xr:uid="{00000000-0005-0000-0000-000013000000}"/>
    <cellStyle name="Normal 2 18" xfId="38" xr:uid="{00000000-0005-0000-0000-000014000000}"/>
    <cellStyle name="Normal 2 19" xfId="39" xr:uid="{00000000-0005-0000-0000-000015000000}"/>
    <cellStyle name="Normal 2 2" xfId="3" xr:uid="{00000000-0005-0000-0000-000016000000}"/>
    <cellStyle name="Normal 2 20" xfId="40" xr:uid="{00000000-0005-0000-0000-000017000000}"/>
    <cellStyle name="Normal 2 21" xfId="41" xr:uid="{00000000-0005-0000-0000-000018000000}"/>
    <cellStyle name="Normal 2 22" xfId="42" xr:uid="{00000000-0005-0000-0000-000019000000}"/>
    <cellStyle name="Normal 2 23" xfId="43" xr:uid="{00000000-0005-0000-0000-00001A000000}"/>
    <cellStyle name="Normal 2 24" xfId="51" xr:uid="{00000000-0005-0000-0000-00001B000000}"/>
    <cellStyle name="Normal 2 25" xfId="80" xr:uid="{00000000-0005-0000-0000-00001C000000}"/>
    <cellStyle name="Normal 2 26" xfId="48" xr:uid="{00000000-0005-0000-0000-00001D000000}"/>
    <cellStyle name="Normal 2 27" xfId="81" xr:uid="{00000000-0005-0000-0000-00001E000000}"/>
    <cellStyle name="Normal 2 28" xfId="49" xr:uid="{00000000-0005-0000-0000-00001F000000}"/>
    <cellStyle name="Normal 2 29" xfId="78" xr:uid="{00000000-0005-0000-0000-000020000000}"/>
    <cellStyle name="Normal 2 3" xfId="23" xr:uid="{00000000-0005-0000-0000-000021000000}"/>
    <cellStyle name="Normal 2 30" xfId="46" xr:uid="{00000000-0005-0000-0000-000022000000}"/>
    <cellStyle name="Normal 2 31" xfId="52" xr:uid="{00000000-0005-0000-0000-000023000000}"/>
    <cellStyle name="Normal 2 32" xfId="55" xr:uid="{00000000-0005-0000-0000-000024000000}"/>
    <cellStyle name="Normal 2 33" xfId="82" xr:uid="{00000000-0005-0000-0000-000025000000}"/>
    <cellStyle name="Normal 2 34" xfId="50" xr:uid="{00000000-0005-0000-0000-000026000000}"/>
    <cellStyle name="Normal 2 35" xfId="79" xr:uid="{00000000-0005-0000-0000-000027000000}"/>
    <cellStyle name="Normal 2 36" xfId="47" xr:uid="{00000000-0005-0000-0000-000028000000}"/>
    <cellStyle name="Normal 2 37" xfId="76" xr:uid="{00000000-0005-0000-0000-000029000000}"/>
    <cellStyle name="Normal 2 38" xfId="44" xr:uid="{00000000-0005-0000-0000-00002A000000}"/>
    <cellStyle name="Normal 2 39" xfId="54" xr:uid="{00000000-0005-0000-0000-00002B000000}"/>
    <cellStyle name="Normal 2 4" xfId="24" xr:uid="{00000000-0005-0000-0000-00002C000000}"/>
    <cellStyle name="Normal 2 40" xfId="77" xr:uid="{00000000-0005-0000-0000-00002D000000}"/>
    <cellStyle name="Normal 2 41" xfId="45" xr:uid="{00000000-0005-0000-0000-00002E000000}"/>
    <cellStyle name="Normal 2 42" xfId="53" xr:uid="{00000000-0005-0000-0000-00002F000000}"/>
    <cellStyle name="Normal 2 43" xfId="75" xr:uid="{00000000-0005-0000-0000-000030000000}"/>
    <cellStyle name="Normal 2 5" xfId="25" xr:uid="{00000000-0005-0000-0000-000031000000}"/>
    <cellStyle name="Normal 2 6" xfId="26" xr:uid="{00000000-0005-0000-0000-000032000000}"/>
    <cellStyle name="Normal 2 7" xfId="27" xr:uid="{00000000-0005-0000-0000-000033000000}"/>
    <cellStyle name="Normal 2 8" xfId="28" xr:uid="{00000000-0005-0000-0000-000034000000}"/>
    <cellStyle name="Normal 2 9" xfId="29" xr:uid="{00000000-0005-0000-0000-000035000000}"/>
    <cellStyle name="Normal 20" xfId="21" xr:uid="{00000000-0005-0000-0000-000036000000}"/>
    <cellStyle name="Normal 21" xfId="22" xr:uid="{00000000-0005-0000-0000-000037000000}"/>
    <cellStyle name="Normal 22" xfId="56" xr:uid="{00000000-0005-0000-0000-000038000000}"/>
    <cellStyle name="Normal 23" xfId="57" xr:uid="{00000000-0005-0000-0000-000039000000}"/>
    <cellStyle name="Normal 24" xfId="60" xr:uid="{00000000-0005-0000-0000-00003A000000}"/>
    <cellStyle name="Normal 25" xfId="68" xr:uid="{00000000-0005-0000-0000-00003B000000}"/>
    <cellStyle name="Normal 26" xfId="65" xr:uid="{00000000-0005-0000-0000-00003C000000}"/>
    <cellStyle name="Normal 27" xfId="72" xr:uid="{00000000-0005-0000-0000-00003D000000}"/>
    <cellStyle name="Normal 28" xfId="61" xr:uid="{00000000-0005-0000-0000-00003E000000}"/>
    <cellStyle name="Normal 3" xfId="4" xr:uid="{00000000-0005-0000-0000-00003F000000}"/>
    <cellStyle name="Normal 30" xfId="69" xr:uid="{00000000-0005-0000-0000-000040000000}"/>
    <cellStyle name="Normal 31" xfId="64" xr:uid="{00000000-0005-0000-0000-000041000000}"/>
    <cellStyle name="Normal 32" xfId="58" xr:uid="{00000000-0005-0000-0000-000042000000}"/>
    <cellStyle name="Normal 33" xfId="59" xr:uid="{00000000-0005-0000-0000-000043000000}"/>
    <cellStyle name="Normal 34" xfId="66" xr:uid="{00000000-0005-0000-0000-000044000000}"/>
    <cellStyle name="Normal 35" xfId="71" xr:uid="{00000000-0005-0000-0000-000045000000}"/>
    <cellStyle name="Normal 36" xfId="62" xr:uid="{00000000-0005-0000-0000-000046000000}"/>
    <cellStyle name="Normal 37" xfId="67" xr:uid="{00000000-0005-0000-0000-000047000000}"/>
    <cellStyle name="Normal 38" xfId="70" xr:uid="{00000000-0005-0000-0000-000048000000}"/>
    <cellStyle name="Normal 39" xfId="63" xr:uid="{00000000-0005-0000-0000-000049000000}"/>
    <cellStyle name="Normal 4" xfId="5" xr:uid="{00000000-0005-0000-0000-00004A000000}"/>
    <cellStyle name="Normal 40" xfId="73" xr:uid="{00000000-0005-0000-0000-00004B000000}"/>
    <cellStyle name="Normal 41" xfId="74" xr:uid="{00000000-0005-0000-0000-00004C000000}"/>
    <cellStyle name="Normal 5" xfId="6" xr:uid="{00000000-0005-0000-0000-00004D000000}"/>
    <cellStyle name="Normal 6" xfId="7" xr:uid="{00000000-0005-0000-0000-00004E000000}"/>
    <cellStyle name="Normal 7" xfId="8" xr:uid="{00000000-0005-0000-0000-00004F000000}"/>
    <cellStyle name="Normal 8" xfId="9" xr:uid="{00000000-0005-0000-0000-000050000000}"/>
    <cellStyle name="Normal 9" xfId="10" xr:uid="{00000000-0005-0000-0000-000051000000}"/>
    <cellStyle name="TableStyleLight1" xfId="2" xr:uid="{00000000-0005-0000-0000-00005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AE614"/>
      <rgbColor rgb="FF0000FF"/>
      <rgbColor rgb="FFFFFF00"/>
      <rgbColor rgb="FFFF66FF"/>
      <rgbColor rgb="FF00FFFF"/>
      <rgbColor rgb="FF800000"/>
      <rgbColor rgb="FF007826"/>
      <rgbColor rgb="FF000080"/>
      <rgbColor rgb="FF77933C"/>
      <rgbColor rgb="FF800080"/>
      <rgbColor rgb="FF008080"/>
      <rgbColor rgb="FFBFBFBF"/>
      <rgbColor rgb="FF808080"/>
      <rgbColor rgb="FF9999FF"/>
      <rgbColor rgb="FFFF3333"/>
      <rgbColor rgb="FFFFFF66"/>
      <rgbColor rgb="FFD9D9D9"/>
      <rgbColor rgb="FF660066"/>
      <rgbColor rgb="FFFF6666"/>
      <rgbColor rgb="FF0066CC"/>
      <rgbColor rgb="FFCCC1DA"/>
      <rgbColor rgb="FF000080"/>
      <rgbColor rgb="FFFF00FF"/>
      <rgbColor rgb="FFC3D69B"/>
      <rgbColor rgb="FF00FFFF"/>
      <rgbColor rgb="FF800080"/>
      <rgbColor rgb="FF800000"/>
      <rgbColor rgb="FF008080"/>
      <rgbColor rgb="FF0000FF"/>
      <rgbColor rgb="FF00CCFF"/>
      <rgbColor rgb="FFDDD9C3"/>
      <rgbColor rgb="FFDDDDDD"/>
      <rgbColor rgb="FFFFFF99"/>
      <rgbColor rgb="FF93CDDD"/>
      <rgbColor rgb="FFE6B9B8"/>
      <rgbColor rgb="FFB3A2C7"/>
      <rgbColor rgb="FFFAC090"/>
      <rgbColor rgb="FF3366FF"/>
      <rgbColor rgb="FF33FF99"/>
      <rgbColor rgb="FF92D050"/>
      <rgbColor rgb="FFFFC000"/>
      <rgbColor rgb="FFFF9900"/>
      <rgbColor rgb="FFFF6600"/>
      <rgbColor rgb="FFC4BD97"/>
      <rgbColor rgb="FF9BBB59"/>
      <rgbColor rgb="FF003366"/>
      <rgbColor rgb="FFCCCCCC"/>
      <rgbColor rgb="FF003300"/>
      <rgbColor rgb="FF333300"/>
      <rgbColor rgb="FFFF420E"/>
      <rgbColor rgb="FFE46C0A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zoomScale="110" zoomScaleNormal="110" workbookViewId="0">
      <selection activeCell="B10" sqref="B10:I11"/>
    </sheetView>
  </sheetViews>
  <sheetFormatPr baseColWidth="10" defaultRowHeight="15" x14ac:dyDescent="0.25"/>
  <cols>
    <col min="1" max="1" width="10.28515625" customWidth="1"/>
    <col min="2" max="2" width="12.7109375" customWidth="1"/>
    <col min="3" max="3" width="12.28515625" customWidth="1"/>
    <col min="4" max="5" width="10.7109375"/>
    <col min="8" max="8" width="12.42578125" customWidth="1"/>
    <col min="9" max="9" width="14.28515625" bestFit="1" customWidth="1"/>
    <col min="10" max="10" width="12.42578125" customWidth="1"/>
    <col min="11" max="11" width="15.85546875" customWidth="1"/>
    <col min="12" max="1023" width="10.7109375"/>
  </cols>
  <sheetData>
    <row r="1" spans="1:11" x14ac:dyDescent="0.25">
      <c r="D1" s="172" t="s">
        <v>78</v>
      </c>
      <c r="E1" t="s">
        <v>164</v>
      </c>
      <c r="F1" t="s">
        <v>165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174" t="s">
        <v>65</v>
      </c>
      <c r="K2" s="225" t="s">
        <v>6</v>
      </c>
    </row>
    <row r="3" spans="1:11" ht="15.75" x14ac:dyDescent="0.25">
      <c r="A3" s="91">
        <v>46143</v>
      </c>
      <c r="B3" s="124" t="s">
        <v>385</v>
      </c>
      <c r="C3" s="124" t="s">
        <v>9</v>
      </c>
      <c r="D3" s="82">
        <v>1070</v>
      </c>
      <c r="E3" s="82"/>
      <c r="F3" s="82"/>
      <c r="G3" s="82"/>
      <c r="H3" s="83" t="s">
        <v>66</v>
      </c>
      <c r="I3" s="90"/>
      <c r="J3" s="174"/>
      <c r="K3" s="225"/>
    </row>
    <row r="4" spans="1:11" ht="15.75" x14ac:dyDescent="0.25">
      <c r="A4" s="91">
        <v>46146</v>
      </c>
      <c r="B4" s="82" t="s">
        <v>9</v>
      </c>
      <c r="C4" s="124" t="s">
        <v>352</v>
      </c>
      <c r="D4" s="82">
        <v>420</v>
      </c>
      <c r="E4" s="82"/>
      <c r="F4" s="82"/>
      <c r="G4" s="82"/>
      <c r="H4" s="90">
        <v>769486</v>
      </c>
      <c r="I4" s="90"/>
      <c r="J4" s="174"/>
      <c r="K4" s="225"/>
    </row>
    <row r="5" spans="1:11" ht="15.75" x14ac:dyDescent="0.25">
      <c r="A5" s="91">
        <v>46147</v>
      </c>
      <c r="B5" s="82" t="s">
        <v>352</v>
      </c>
      <c r="C5" s="124" t="s">
        <v>118</v>
      </c>
      <c r="D5" s="82">
        <v>150</v>
      </c>
      <c r="E5" s="82"/>
      <c r="F5" s="82"/>
      <c r="G5" s="82"/>
      <c r="H5" s="83" t="s">
        <v>66</v>
      </c>
      <c r="I5" s="90"/>
      <c r="J5" s="174"/>
      <c r="K5" s="225"/>
    </row>
    <row r="6" spans="1:11" ht="15.75" x14ac:dyDescent="0.25">
      <c r="A6" s="91">
        <v>46147</v>
      </c>
      <c r="B6" s="82" t="s">
        <v>118</v>
      </c>
      <c r="C6" s="124" t="s">
        <v>146</v>
      </c>
      <c r="D6" s="82">
        <v>1430</v>
      </c>
      <c r="E6" s="82"/>
      <c r="F6" s="82"/>
      <c r="G6" s="82"/>
      <c r="H6" s="90">
        <v>125232</v>
      </c>
      <c r="I6" s="90" t="s">
        <v>147</v>
      </c>
      <c r="J6" s="174"/>
      <c r="K6" s="225"/>
    </row>
    <row r="7" spans="1:11" ht="15.75" x14ac:dyDescent="0.25">
      <c r="A7" s="91">
        <v>46150</v>
      </c>
      <c r="B7" s="82" t="s">
        <v>146</v>
      </c>
      <c r="C7" s="124" t="s">
        <v>9</v>
      </c>
      <c r="D7" s="82">
        <v>940</v>
      </c>
      <c r="E7" s="82"/>
      <c r="F7" s="82"/>
      <c r="G7" s="82"/>
      <c r="H7" s="83" t="s">
        <v>66</v>
      </c>
      <c r="I7" s="90"/>
      <c r="J7" s="174"/>
      <c r="K7" s="225"/>
    </row>
    <row r="8" spans="1:11" ht="15.75" x14ac:dyDescent="0.25">
      <c r="A8" s="91">
        <v>46153</v>
      </c>
      <c r="B8" s="82" t="s">
        <v>9</v>
      </c>
      <c r="C8" s="124" t="s">
        <v>393</v>
      </c>
      <c r="D8" s="82">
        <v>390</v>
      </c>
      <c r="E8" s="82"/>
      <c r="F8" s="82"/>
      <c r="G8" s="82"/>
      <c r="H8" s="123">
        <v>771149</v>
      </c>
      <c r="I8" s="90"/>
      <c r="J8" s="174"/>
      <c r="K8" s="225"/>
    </row>
    <row r="9" spans="1:11" ht="15.75" x14ac:dyDescent="0.25">
      <c r="A9" s="91">
        <v>46154</v>
      </c>
      <c r="B9" s="82" t="s">
        <v>393</v>
      </c>
      <c r="C9" s="124" t="s">
        <v>118</v>
      </c>
      <c r="D9" s="82">
        <v>170</v>
      </c>
      <c r="E9" s="82"/>
      <c r="F9" s="82"/>
      <c r="G9" s="82"/>
      <c r="H9" s="128" t="s">
        <v>66</v>
      </c>
      <c r="I9" s="90"/>
      <c r="J9" s="174"/>
      <c r="K9" s="225"/>
    </row>
    <row r="10" spans="1:11" ht="15.75" x14ac:dyDescent="0.25">
      <c r="A10" s="91">
        <v>46154</v>
      </c>
      <c r="B10" s="82" t="s">
        <v>118</v>
      </c>
      <c r="C10" s="124" t="s">
        <v>505</v>
      </c>
      <c r="D10" s="82">
        <v>1470</v>
      </c>
      <c r="E10" s="82"/>
      <c r="F10" s="82"/>
      <c r="G10" s="82"/>
      <c r="H10" s="90">
        <v>12583</v>
      </c>
      <c r="I10" s="90" t="s">
        <v>506</v>
      </c>
      <c r="J10" s="174"/>
      <c r="K10" s="225"/>
    </row>
    <row r="11" spans="1:11" ht="15.75" x14ac:dyDescent="0.25">
      <c r="A11" s="91">
        <v>46157</v>
      </c>
      <c r="B11" s="82" t="s">
        <v>505</v>
      </c>
      <c r="C11" s="124" t="s">
        <v>9</v>
      </c>
      <c r="D11" s="82">
        <v>950</v>
      </c>
      <c r="E11" s="2"/>
      <c r="F11" s="2"/>
      <c r="G11" s="2"/>
      <c r="H11" s="306" t="s">
        <v>66</v>
      </c>
      <c r="I11" s="2"/>
      <c r="J11" s="174"/>
      <c r="K11" s="225"/>
    </row>
    <row r="12" spans="1:11" ht="15.75" x14ac:dyDescent="0.25">
      <c r="A12" s="91">
        <v>46158</v>
      </c>
      <c r="B12" s="227" t="s">
        <v>9</v>
      </c>
      <c r="C12" s="124" t="s">
        <v>300</v>
      </c>
      <c r="D12" s="82">
        <v>420</v>
      </c>
      <c r="E12" s="82"/>
      <c r="F12" s="82"/>
      <c r="G12" s="82">
        <v>36.49</v>
      </c>
      <c r="H12" s="123">
        <v>621736</v>
      </c>
      <c r="I12" s="90" t="s">
        <v>257</v>
      </c>
      <c r="J12" s="174"/>
      <c r="K12" s="225"/>
    </row>
    <row r="13" spans="1:11" ht="15.75" x14ac:dyDescent="0.25">
      <c r="A13" s="91">
        <v>46160</v>
      </c>
      <c r="B13" s="82"/>
      <c r="C13" s="124"/>
      <c r="D13" s="82"/>
      <c r="E13" s="2"/>
      <c r="F13" s="2"/>
      <c r="G13" s="2"/>
      <c r="H13" s="90"/>
      <c r="I13" s="90"/>
      <c r="J13" s="174"/>
      <c r="K13" s="225"/>
    </row>
    <row r="14" spans="1:11" ht="15.75" x14ac:dyDescent="0.25">
      <c r="A14" s="91"/>
      <c r="B14" s="82"/>
      <c r="C14" s="124"/>
      <c r="D14" s="82"/>
      <c r="E14" s="2"/>
      <c r="F14" s="2"/>
      <c r="G14" s="2"/>
      <c r="H14" s="306"/>
      <c r="I14" s="2"/>
      <c r="J14" s="174"/>
      <c r="K14" s="225"/>
    </row>
    <row r="15" spans="1:11" ht="15.75" x14ac:dyDescent="0.25">
      <c r="A15" s="91"/>
      <c r="B15" s="82"/>
      <c r="C15" s="124"/>
      <c r="D15" s="82"/>
      <c r="E15" s="2"/>
      <c r="F15" s="2"/>
      <c r="G15" s="2"/>
      <c r="H15" s="128"/>
      <c r="I15" s="90"/>
      <c r="J15" s="174"/>
      <c r="K15" s="225"/>
    </row>
    <row r="16" spans="1:11" ht="15.75" x14ac:dyDescent="0.25">
      <c r="A16" s="91"/>
      <c r="B16" s="82"/>
      <c r="C16" s="124"/>
      <c r="D16" s="82"/>
      <c r="E16" s="2"/>
      <c r="F16" s="2"/>
      <c r="G16" s="2"/>
      <c r="H16" s="90"/>
      <c r="I16" s="90"/>
      <c r="J16" s="174"/>
      <c r="K16" s="225"/>
    </row>
    <row r="17" spans="1:11" ht="15.75" x14ac:dyDescent="0.25">
      <c r="A17" s="91"/>
      <c r="B17" s="82"/>
      <c r="C17" s="124"/>
      <c r="D17" s="82"/>
      <c r="E17" s="2"/>
      <c r="F17" s="2"/>
      <c r="G17" s="2"/>
      <c r="H17" s="306"/>
      <c r="I17" s="2"/>
      <c r="J17" s="174"/>
      <c r="K17" s="225"/>
    </row>
    <row r="18" spans="1:11" ht="15.75" x14ac:dyDescent="0.25">
      <c r="A18" s="91"/>
      <c r="B18" s="82"/>
      <c r="C18" s="124"/>
      <c r="D18" s="82"/>
      <c r="E18" s="2"/>
      <c r="F18" s="2"/>
      <c r="G18" s="2"/>
      <c r="H18" s="128"/>
      <c r="I18" s="90"/>
      <c r="J18" s="174"/>
      <c r="K18" s="225"/>
    </row>
    <row r="19" spans="1:11" ht="15.75" x14ac:dyDescent="0.25">
      <c r="A19" s="91"/>
      <c r="B19" s="82"/>
      <c r="C19" s="124"/>
      <c r="D19" s="82"/>
      <c r="E19" s="2"/>
      <c r="F19" s="2"/>
      <c r="G19" s="2"/>
      <c r="H19" s="90"/>
      <c r="I19" s="90"/>
      <c r="J19" s="174"/>
      <c r="K19" s="225"/>
    </row>
    <row r="20" spans="1:11" ht="15.75" x14ac:dyDescent="0.25">
      <c r="A20" s="91"/>
      <c r="B20" s="82"/>
      <c r="C20" s="124"/>
      <c r="D20" s="82"/>
      <c r="E20" s="2"/>
      <c r="F20" s="2"/>
      <c r="G20" s="2"/>
      <c r="H20" s="306"/>
      <c r="I20" s="2"/>
      <c r="J20" s="174"/>
      <c r="K20" s="225"/>
    </row>
    <row r="21" spans="1:11" x14ac:dyDescent="0.25">
      <c r="A21" s="91"/>
      <c r="B21" s="82"/>
      <c r="C21" s="124"/>
      <c r="D21" s="82"/>
      <c r="E21" s="82"/>
      <c r="F21" s="82"/>
      <c r="G21" s="82"/>
      <c r="H21" s="128"/>
      <c r="I21" s="90"/>
      <c r="J21" s="82"/>
      <c r="K21" s="226"/>
    </row>
    <row r="22" spans="1:11" x14ac:dyDescent="0.25">
      <c r="A22" s="91"/>
      <c r="B22" s="82"/>
      <c r="C22" s="124"/>
      <c r="D22" s="82"/>
      <c r="E22" s="82"/>
      <c r="F22" s="82"/>
      <c r="G22" s="82"/>
      <c r="H22" s="90"/>
      <c r="I22" s="90"/>
      <c r="J22" s="82"/>
      <c r="K22" s="226"/>
    </row>
    <row r="23" spans="1:11" ht="15.75" x14ac:dyDescent="0.25">
      <c r="A23" s="91"/>
      <c r="B23" s="227"/>
      <c r="C23" s="124"/>
      <c r="D23" s="82"/>
      <c r="E23" s="82"/>
      <c r="F23" s="82"/>
      <c r="G23" s="82"/>
      <c r="H23" s="306"/>
      <c r="I23" s="2"/>
      <c r="J23" s="82"/>
      <c r="K23" s="226"/>
    </row>
    <row r="24" spans="1:11" x14ac:dyDescent="0.25">
      <c r="A24" s="91"/>
      <c r="B24" s="227"/>
      <c r="C24" s="124"/>
      <c r="D24" s="82"/>
      <c r="E24" s="82"/>
      <c r="F24" s="82"/>
      <c r="G24" s="82"/>
      <c r="H24" s="128"/>
      <c r="I24" s="90"/>
      <c r="J24" s="82"/>
      <c r="K24" s="226"/>
    </row>
    <row r="25" spans="1:11" x14ac:dyDescent="0.25">
      <c r="A25" s="91"/>
      <c r="B25" s="227"/>
      <c r="C25" s="124"/>
      <c r="D25" s="82"/>
      <c r="E25" s="82"/>
      <c r="F25" s="82"/>
      <c r="G25" s="82"/>
      <c r="H25" s="90"/>
      <c r="I25" s="90"/>
      <c r="J25" s="82"/>
      <c r="K25" s="226"/>
    </row>
    <row r="26" spans="1:11" ht="15.75" x14ac:dyDescent="0.25">
      <c r="A26" s="91"/>
      <c r="B26" s="227"/>
      <c r="C26" s="124"/>
      <c r="D26" s="82"/>
      <c r="E26" s="82"/>
      <c r="F26" s="82"/>
      <c r="G26" s="82"/>
      <c r="H26" s="306"/>
      <c r="I26" s="2"/>
      <c r="J26" s="82"/>
      <c r="K26" s="226"/>
    </row>
    <row r="27" spans="1:11" x14ac:dyDescent="0.25">
      <c r="A27" s="91"/>
      <c r="B27" s="227"/>
      <c r="C27" s="124"/>
      <c r="D27" s="82"/>
      <c r="E27" s="82"/>
      <c r="F27" s="82"/>
      <c r="G27" s="82"/>
      <c r="H27" s="128"/>
      <c r="I27" s="90"/>
      <c r="J27" s="82"/>
      <c r="K27" s="226"/>
    </row>
    <row r="28" spans="1:11" x14ac:dyDescent="0.25">
      <c r="A28" s="91">
        <v>46116</v>
      </c>
      <c r="B28" s="227" t="s">
        <v>9</v>
      </c>
      <c r="C28" s="124" t="s">
        <v>300</v>
      </c>
      <c r="D28" s="82">
        <v>420</v>
      </c>
      <c r="E28" s="82"/>
      <c r="F28" s="82"/>
      <c r="G28" s="82">
        <v>36.42</v>
      </c>
      <c r="H28" s="123">
        <v>619012</v>
      </c>
      <c r="I28" s="90" t="s">
        <v>257</v>
      </c>
      <c r="J28" s="82"/>
      <c r="K28" s="226"/>
    </row>
    <row r="29" spans="1:11" x14ac:dyDescent="0.25">
      <c r="A29" s="91">
        <v>46118</v>
      </c>
      <c r="B29" s="227" t="s">
        <v>300</v>
      </c>
      <c r="C29" s="82" t="s">
        <v>357</v>
      </c>
      <c r="D29" s="82">
        <v>10</v>
      </c>
      <c r="E29" s="82"/>
      <c r="F29" s="82"/>
      <c r="G29" s="82"/>
      <c r="H29" s="128" t="s">
        <v>66</v>
      </c>
      <c r="I29" s="90"/>
      <c r="J29" s="82"/>
      <c r="K29" s="226"/>
    </row>
    <row r="30" spans="1:11" x14ac:dyDescent="0.25">
      <c r="A30" s="91">
        <v>46119</v>
      </c>
      <c r="B30" s="82" t="s">
        <v>357</v>
      </c>
      <c r="C30" s="124" t="s">
        <v>356</v>
      </c>
      <c r="D30" s="82">
        <v>990</v>
      </c>
      <c r="E30" s="82"/>
      <c r="F30" s="82"/>
      <c r="G30" s="82">
        <v>36.04</v>
      </c>
      <c r="H30" s="90">
        <v>153050</v>
      </c>
      <c r="I30" s="90" t="s">
        <v>357</v>
      </c>
      <c r="J30" s="82"/>
      <c r="K30" s="226">
        <v>1766494.11</v>
      </c>
    </row>
    <row r="31" spans="1:11" x14ac:dyDescent="0.25">
      <c r="A31" s="91">
        <v>46120</v>
      </c>
      <c r="B31" s="82" t="s">
        <v>356</v>
      </c>
      <c r="C31" s="124" t="s">
        <v>340</v>
      </c>
      <c r="D31" s="82">
        <v>380</v>
      </c>
      <c r="E31" s="82"/>
      <c r="F31" s="82"/>
      <c r="G31" s="82"/>
      <c r="H31" s="90">
        <v>503424</v>
      </c>
      <c r="I31" s="90"/>
      <c r="J31" s="82"/>
      <c r="K31" s="226">
        <v>1119388.32</v>
      </c>
    </row>
    <row r="32" spans="1:11" x14ac:dyDescent="0.25">
      <c r="A32" s="91">
        <v>46121</v>
      </c>
      <c r="B32" s="227" t="s">
        <v>340</v>
      </c>
      <c r="C32" s="82" t="s">
        <v>337</v>
      </c>
      <c r="D32" s="82">
        <v>50</v>
      </c>
      <c r="E32" s="82"/>
      <c r="F32" s="82"/>
      <c r="G32" s="82"/>
      <c r="H32" s="128" t="s">
        <v>66</v>
      </c>
      <c r="I32" s="90"/>
      <c r="J32" s="82"/>
      <c r="K32" s="226"/>
    </row>
    <row r="33" spans="1:11" x14ac:dyDescent="0.25">
      <c r="A33" s="91">
        <v>46121</v>
      </c>
      <c r="B33" s="227" t="s">
        <v>337</v>
      </c>
      <c r="C33" s="82" t="s">
        <v>75</v>
      </c>
      <c r="D33" s="82">
        <v>430</v>
      </c>
      <c r="E33" s="82"/>
      <c r="F33" s="82"/>
      <c r="G33" s="82"/>
      <c r="H33" s="123">
        <v>303243</v>
      </c>
      <c r="I33" s="90" t="s">
        <v>15</v>
      </c>
      <c r="J33" s="82"/>
      <c r="K33" s="226"/>
    </row>
    <row r="34" spans="1:11" x14ac:dyDescent="0.25">
      <c r="A34" s="91">
        <v>46122</v>
      </c>
      <c r="B34" s="82" t="s">
        <v>75</v>
      </c>
      <c r="C34" s="124" t="s">
        <v>10</v>
      </c>
      <c r="D34" s="82">
        <v>80</v>
      </c>
      <c r="E34" s="82"/>
      <c r="F34" s="82"/>
      <c r="G34" s="82"/>
      <c r="H34" s="83" t="s">
        <v>66</v>
      </c>
      <c r="I34" s="90"/>
      <c r="J34" s="82"/>
      <c r="K34" s="226"/>
    </row>
    <row r="35" spans="1:11" x14ac:dyDescent="0.25">
      <c r="A35" s="91">
        <v>46123</v>
      </c>
      <c r="B35" s="82" t="s">
        <v>10</v>
      </c>
      <c r="C35" s="82" t="s">
        <v>9</v>
      </c>
      <c r="D35" s="82">
        <v>500</v>
      </c>
      <c r="E35" s="82"/>
      <c r="F35" s="82"/>
      <c r="G35" s="82">
        <v>36.18</v>
      </c>
      <c r="H35" s="123">
        <v>1064632</v>
      </c>
      <c r="I35" s="90" t="s">
        <v>368</v>
      </c>
      <c r="J35" s="82"/>
      <c r="K35" s="226"/>
    </row>
    <row r="36" spans="1:11" x14ac:dyDescent="0.25">
      <c r="A36" s="91">
        <v>46125</v>
      </c>
      <c r="B36" s="82" t="s">
        <v>9</v>
      </c>
      <c r="C36" s="82" t="s">
        <v>363</v>
      </c>
      <c r="D36" s="82">
        <v>370</v>
      </c>
      <c r="E36" s="82"/>
      <c r="F36" s="82"/>
      <c r="G36" s="82"/>
      <c r="H36" s="123">
        <v>766061</v>
      </c>
      <c r="I36" s="90"/>
      <c r="J36" s="82"/>
      <c r="K36" s="226"/>
    </row>
    <row r="37" spans="1:11" x14ac:dyDescent="0.25">
      <c r="A37" s="91">
        <v>46125</v>
      </c>
      <c r="B37" s="82" t="s">
        <v>363</v>
      </c>
      <c r="C37" s="82" t="s">
        <v>9</v>
      </c>
      <c r="D37" s="82">
        <v>370</v>
      </c>
      <c r="E37" s="82"/>
      <c r="F37" s="82"/>
      <c r="G37" s="82"/>
      <c r="H37" s="128" t="s">
        <v>66</v>
      </c>
      <c r="I37" s="90"/>
      <c r="J37" s="82"/>
      <c r="K37" s="226"/>
    </row>
    <row r="38" spans="1:11" x14ac:dyDescent="0.25">
      <c r="A38" s="91">
        <v>46126</v>
      </c>
      <c r="B38" s="82" t="s">
        <v>9</v>
      </c>
      <c r="C38" s="82" t="s">
        <v>382</v>
      </c>
      <c r="D38" s="82">
        <v>420</v>
      </c>
      <c r="E38" s="82"/>
      <c r="F38" s="82"/>
      <c r="G38" s="82"/>
      <c r="H38" s="123">
        <v>766275</v>
      </c>
      <c r="I38" s="90"/>
      <c r="J38" s="82"/>
      <c r="K38" s="226"/>
    </row>
    <row r="39" spans="1:11" x14ac:dyDescent="0.25">
      <c r="A39" s="91">
        <v>46127</v>
      </c>
      <c r="B39" s="82" t="s">
        <v>352</v>
      </c>
      <c r="C39" s="82" t="s">
        <v>118</v>
      </c>
      <c r="D39" s="82">
        <v>150</v>
      </c>
      <c r="E39" s="82"/>
      <c r="F39" s="82"/>
      <c r="G39" s="82"/>
      <c r="H39" s="128" t="s">
        <v>66</v>
      </c>
      <c r="I39" s="90"/>
      <c r="J39" s="82"/>
      <c r="K39" s="226"/>
    </row>
    <row r="40" spans="1:11" x14ac:dyDescent="0.25">
      <c r="A40" s="91">
        <v>46127</v>
      </c>
      <c r="B40" s="82" t="s">
        <v>118</v>
      </c>
      <c r="C40" s="124" t="s">
        <v>385</v>
      </c>
      <c r="D40" s="82">
        <v>1560</v>
      </c>
      <c r="E40" s="82"/>
      <c r="F40" s="82"/>
      <c r="G40" s="82"/>
      <c r="H40" s="90">
        <v>121254</v>
      </c>
      <c r="I40" s="90" t="s">
        <v>386</v>
      </c>
      <c r="J40" s="82"/>
      <c r="K40" s="226"/>
    </row>
    <row r="41" spans="1:11" x14ac:dyDescent="0.25">
      <c r="A41" s="91">
        <v>46130</v>
      </c>
      <c r="B41" s="124" t="s">
        <v>385</v>
      </c>
      <c r="C41" s="124" t="s">
        <v>227</v>
      </c>
      <c r="D41" s="82">
        <v>270</v>
      </c>
      <c r="E41" s="82"/>
      <c r="F41" s="82"/>
      <c r="G41" s="82"/>
      <c r="H41" s="83" t="s">
        <v>66</v>
      </c>
      <c r="I41" s="90"/>
      <c r="J41" s="82"/>
      <c r="K41" s="226"/>
    </row>
    <row r="42" spans="1:11" x14ac:dyDescent="0.25">
      <c r="A42" s="91">
        <v>46132</v>
      </c>
      <c r="B42" s="82" t="s">
        <v>296</v>
      </c>
      <c r="C42" s="124" t="s">
        <v>9</v>
      </c>
      <c r="D42" s="82">
        <v>820</v>
      </c>
      <c r="E42" s="82"/>
      <c r="F42" s="82"/>
      <c r="G42" s="82">
        <v>35.5</v>
      </c>
      <c r="H42" s="90">
        <v>189570</v>
      </c>
      <c r="I42" s="90" t="s">
        <v>304</v>
      </c>
      <c r="J42" s="82"/>
      <c r="K42" s="226"/>
    </row>
    <row r="43" spans="1:11" x14ac:dyDescent="0.25">
      <c r="A43" s="91">
        <v>46134</v>
      </c>
      <c r="B43" s="82" t="s">
        <v>9</v>
      </c>
      <c r="C43" s="124" t="s">
        <v>351</v>
      </c>
      <c r="D43" s="82">
        <v>1010</v>
      </c>
      <c r="E43" s="82"/>
      <c r="F43" s="82"/>
      <c r="G43" s="82">
        <v>35.29</v>
      </c>
      <c r="H43" s="90">
        <v>620124</v>
      </c>
      <c r="I43" s="90" t="s">
        <v>257</v>
      </c>
      <c r="J43" s="82"/>
      <c r="K43" s="226"/>
    </row>
    <row r="44" spans="1:11" x14ac:dyDescent="0.25">
      <c r="A44" s="91">
        <v>46135</v>
      </c>
      <c r="B44" s="82" t="s">
        <v>351</v>
      </c>
      <c r="C44" s="124" t="s">
        <v>227</v>
      </c>
      <c r="D44" s="82">
        <v>240</v>
      </c>
      <c r="E44" s="82"/>
      <c r="F44" s="82"/>
      <c r="G44" s="82"/>
      <c r="H44" s="83" t="s">
        <v>66</v>
      </c>
      <c r="I44" s="90"/>
      <c r="J44" s="82"/>
      <c r="K44" s="226"/>
    </row>
    <row r="45" spans="1:11" x14ac:dyDescent="0.25">
      <c r="A45" s="91">
        <v>46136</v>
      </c>
      <c r="B45" s="82" t="s">
        <v>296</v>
      </c>
      <c r="C45" s="124" t="s">
        <v>9</v>
      </c>
      <c r="D45" s="82">
        <v>820</v>
      </c>
      <c r="E45" s="82"/>
      <c r="F45" s="82"/>
      <c r="G45" s="82">
        <v>35.1</v>
      </c>
      <c r="H45" s="90">
        <v>189848</v>
      </c>
      <c r="I45" s="90" t="s">
        <v>304</v>
      </c>
      <c r="J45" s="82"/>
      <c r="K45" s="226"/>
    </row>
    <row r="46" spans="1:11" x14ac:dyDescent="0.25">
      <c r="A46" s="91">
        <v>46137</v>
      </c>
      <c r="B46" s="82" t="s">
        <v>9</v>
      </c>
      <c r="C46" s="82" t="s">
        <v>382</v>
      </c>
      <c r="D46" s="82">
        <v>420</v>
      </c>
      <c r="E46" s="82"/>
      <c r="F46" s="82"/>
      <c r="G46" s="82">
        <v>35.340000000000003</v>
      </c>
      <c r="H46" s="123">
        <v>249561</v>
      </c>
      <c r="I46" s="90" t="s">
        <v>344</v>
      </c>
      <c r="J46" s="82"/>
      <c r="K46" s="226"/>
    </row>
    <row r="47" spans="1:11" x14ac:dyDescent="0.25">
      <c r="A47" s="91">
        <v>46139</v>
      </c>
      <c r="B47" s="82" t="s">
        <v>352</v>
      </c>
      <c r="C47" s="82" t="s">
        <v>118</v>
      </c>
      <c r="D47" s="82">
        <v>150</v>
      </c>
      <c r="E47" s="82"/>
      <c r="F47" s="82"/>
      <c r="G47" s="82"/>
      <c r="H47" s="128" t="s">
        <v>66</v>
      </c>
      <c r="I47" s="90"/>
      <c r="J47" s="82"/>
      <c r="K47" s="226"/>
    </row>
    <row r="48" spans="1:11" x14ac:dyDescent="0.25">
      <c r="A48" s="91">
        <v>46140</v>
      </c>
      <c r="B48" s="82" t="s">
        <v>118</v>
      </c>
      <c r="C48" s="124" t="s">
        <v>385</v>
      </c>
      <c r="D48" s="82">
        <v>1560</v>
      </c>
      <c r="E48" s="82"/>
      <c r="F48" s="82"/>
      <c r="G48" s="82"/>
      <c r="H48" s="90">
        <v>121254</v>
      </c>
      <c r="I48" s="90" t="s">
        <v>386</v>
      </c>
      <c r="J48" s="82"/>
      <c r="K48" s="226"/>
    </row>
    <row r="49" spans="1:11" x14ac:dyDescent="0.25">
      <c r="A49" s="91"/>
      <c r="B49" s="82"/>
      <c r="C49" s="82"/>
      <c r="D49" s="151" t="s">
        <v>445</v>
      </c>
      <c r="E49" s="82"/>
      <c r="F49" s="82"/>
      <c r="G49" s="82"/>
      <c r="H49" s="123"/>
      <c r="I49" s="90"/>
      <c r="J49" s="82"/>
      <c r="K49" s="226"/>
    </row>
    <row r="50" spans="1:11" x14ac:dyDescent="0.25">
      <c r="A50" s="5"/>
      <c r="B50" s="6"/>
      <c r="C50" s="6"/>
      <c r="D50" s="6"/>
      <c r="E50" s="6"/>
      <c r="F50" s="6"/>
      <c r="G50" s="6"/>
      <c r="H50" s="117"/>
      <c r="I50" s="6"/>
      <c r="J50" s="6"/>
      <c r="K50" s="127"/>
    </row>
    <row r="51" spans="1:11" x14ac:dyDescent="0.25">
      <c r="D51" s="8">
        <f>SUM(D21:D50)</f>
        <v>11020</v>
      </c>
      <c r="E51" s="13"/>
      <c r="F51" s="13"/>
      <c r="G51" s="13">
        <f>AVERAGE(G21:G49)</f>
        <v>35.695714285714288</v>
      </c>
      <c r="H51" s="118"/>
      <c r="I51" s="118"/>
      <c r="J51" s="142">
        <f>SUM(J21:J50)</f>
        <v>0</v>
      </c>
      <c r="K51" s="226">
        <f>SUM(K21:K49)</f>
        <v>2885882.43</v>
      </c>
    </row>
    <row r="52" spans="1:11" x14ac:dyDescent="0.25">
      <c r="D52" s="132"/>
      <c r="E52" s="133"/>
      <c r="F52" s="133"/>
      <c r="G52" s="133"/>
      <c r="H52" s="118"/>
      <c r="I52" s="118"/>
      <c r="J52" s="9"/>
      <c r="K52" s="134"/>
    </row>
    <row r="53" spans="1:11" x14ac:dyDescent="0.25">
      <c r="B53">
        <v>-1768.41</v>
      </c>
      <c r="C53" t="s">
        <v>182</v>
      </c>
      <c r="D53" s="132"/>
      <c r="E53" s="133"/>
      <c r="F53" s="133"/>
      <c r="G53" s="133"/>
      <c r="H53" s="118"/>
      <c r="I53" s="118"/>
      <c r="J53" s="9"/>
      <c r="K53" s="134"/>
    </row>
    <row r="54" spans="1:11" x14ac:dyDescent="0.25">
      <c r="A54" s="10"/>
      <c r="B54">
        <v>-300</v>
      </c>
      <c r="C54" t="s">
        <v>13</v>
      </c>
      <c r="D54" s="11">
        <v>44083</v>
      </c>
      <c r="H54" s="11"/>
      <c r="I54" s="11"/>
    </row>
    <row r="55" spans="1:11" x14ac:dyDescent="0.25">
      <c r="A55" s="10"/>
      <c r="B55">
        <v>140</v>
      </c>
      <c r="C55" t="s">
        <v>12</v>
      </c>
      <c r="D55" s="11"/>
      <c r="H55" s="11"/>
      <c r="I55" s="11"/>
    </row>
    <row r="56" spans="1:11" x14ac:dyDescent="0.25">
      <c r="A56" s="10"/>
      <c r="B56">
        <v>490</v>
      </c>
      <c r="C56" t="s">
        <v>12</v>
      </c>
      <c r="D56" s="11"/>
      <c r="H56" s="11"/>
      <c r="I56" s="11"/>
    </row>
    <row r="57" spans="1:11" x14ac:dyDescent="0.25">
      <c r="A57" s="10"/>
      <c r="B57">
        <v>-500</v>
      </c>
      <c r="C57" t="s">
        <v>13</v>
      </c>
      <c r="D57" s="11">
        <v>44104</v>
      </c>
      <c r="H57" s="11"/>
      <c r="I57" s="11"/>
    </row>
    <row r="58" spans="1:11" x14ac:dyDescent="0.25">
      <c r="A58" s="10"/>
      <c r="B58">
        <v>795</v>
      </c>
      <c r="C58" t="s">
        <v>12</v>
      </c>
      <c r="D58" s="11">
        <v>44123</v>
      </c>
      <c r="H58" s="11"/>
      <c r="I58" s="11"/>
    </row>
    <row r="59" spans="1:11" x14ac:dyDescent="0.25">
      <c r="A59" s="10"/>
      <c r="B59">
        <v>-900</v>
      </c>
      <c r="C59" t="s">
        <v>13</v>
      </c>
      <c r="D59" s="11">
        <v>44123</v>
      </c>
      <c r="H59" s="11"/>
      <c r="I59" s="11"/>
    </row>
    <row r="60" spans="1:11" x14ac:dyDescent="0.25">
      <c r="A60" s="10"/>
      <c r="B60">
        <v>480</v>
      </c>
      <c r="C60" t="s">
        <v>12</v>
      </c>
      <c r="D60" s="11"/>
      <c r="H60" s="11"/>
      <c r="I60" s="11"/>
    </row>
    <row r="61" spans="1:11" x14ac:dyDescent="0.25">
      <c r="A61" s="10"/>
      <c r="B61">
        <v>-500</v>
      </c>
      <c r="C61" t="s">
        <v>13</v>
      </c>
      <c r="D61" s="11"/>
      <c r="H61" s="11"/>
      <c r="I61" s="11"/>
    </row>
    <row r="62" spans="1:11" x14ac:dyDescent="0.25">
      <c r="A62" s="10"/>
      <c r="B62">
        <v>490</v>
      </c>
      <c r="C62" t="s">
        <v>12</v>
      </c>
      <c r="D62" s="11">
        <v>44224</v>
      </c>
      <c r="H62" s="11"/>
      <c r="I62" s="11"/>
    </row>
    <row r="63" spans="1:11" x14ac:dyDescent="0.25">
      <c r="A63" s="10"/>
      <c r="B63">
        <v>-500</v>
      </c>
      <c r="C63" t="s">
        <v>13</v>
      </c>
      <c r="D63" s="11">
        <v>44224</v>
      </c>
      <c r="H63" s="11"/>
      <c r="I63" s="11"/>
    </row>
    <row r="64" spans="1:11" x14ac:dyDescent="0.25">
      <c r="A64" s="10"/>
      <c r="B64">
        <v>300</v>
      </c>
      <c r="C64" t="s">
        <v>148</v>
      </c>
      <c r="D64" s="11">
        <v>44250</v>
      </c>
      <c r="H64" s="11"/>
      <c r="I64" s="11"/>
    </row>
    <row r="65" spans="1:9" x14ac:dyDescent="0.25">
      <c r="A65" s="10"/>
      <c r="B65">
        <v>-300</v>
      </c>
      <c r="C65" t="s">
        <v>13</v>
      </c>
      <c r="D65" s="11"/>
      <c r="H65" s="11"/>
      <c r="I65" s="11"/>
    </row>
    <row r="66" spans="1:9" x14ac:dyDescent="0.25">
      <c r="A66" s="10"/>
      <c r="B66">
        <v>300</v>
      </c>
      <c r="C66" t="s">
        <v>94</v>
      </c>
      <c r="D66" s="11">
        <v>44257</v>
      </c>
      <c r="H66" s="11"/>
      <c r="I66" s="11"/>
    </row>
    <row r="67" spans="1:9" x14ac:dyDescent="0.25">
      <c r="A67" s="10"/>
      <c r="B67">
        <v>-300</v>
      </c>
      <c r="C67" t="s">
        <v>13</v>
      </c>
      <c r="D67" s="11"/>
      <c r="H67" s="11"/>
      <c r="I67" s="11"/>
    </row>
    <row r="68" spans="1:9" x14ac:dyDescent="0.25">
      <c r="A68" s="10"/>
      <c r="B68">
        <v>260</v>
      </c>
      <c r="C68" t="s">
        <v>12</v>
      </c>
      <c r="D68" s="11">
        <v>44292</v>
      </c>
      <c r="H68" s="11"/>
      <c r="I68" s="11"/>
    </row>
    <row r="69" spans="1:9" x14ac:dyDescent="0.25">
      <c r="A69" s="10"/>
      <c r="B69">
        <v>-200</v>
      </c>
      <c r="C69" t="s">
        <v>13</v>
      </c>
      <c r="D69" s="11">
        <v>44292</v>
      </c>
      <c r="H69" s="11"/>
      <c r="I69" s="11"/>
    </row>
    <row r="70" spans="1:9" x14ac:dyDescent="0.25">
      <c r="A70" s="10"/>
      <c r="B70">
        <v>315</v>
      </c>
      <c r="C70" t="s">
        <v>12</v>
      </c>
      <c r="D70" s="11">
        <v>44321</v>
      </c>
      <c r="H70" s="11"/>
      <c r="I70" s="11"/>
    </row>
    <row r="71" spans="1:9" x14ac:dyDescent="0.25">
      <c r="A71" s="10"/>
      <c r="B71">
        <v>-400</v>
      </c>
      <c r="C71" t="s">
        <v>13</v>
      </c>
      <c r="D71" s="11"/>
      <c r="H71" s="11"/>
      <c r="I71" s="11"/>
    </row>
    <row r="72" spans="1:9" x14ac:dyDescent="0.25">
      <c r="A72" s="10"/>
      <c r="B72">
        <v>995</v>
      </c>
      <c r="C72" t="s">
        <v>12</v>
      </c>
      <c r="D72" s="11"/>
      <c r="H72" s="11"/>
      <c r="I72" s="11"/>
    </row>
    <row r="73" spans="1:9" x14ac:dyDescent="0.25">
      <c r="A73" s="10"/>
      <c r="B73">
        <v>-1000</v>
      </c>
      <c r="C73" t="s">
        <v>13</v>
      </c>
      <c r="D73" s="11">
        <v>44373</v>
      </c>
      <c r="H73" s="11"/>
      <c r="I73" s="11"/>
    </row>
    <row r="74" spans="1:9" x14ac:dyDescent="0.25">
      <c r="A74" s="10"/>
      <c r="B74">
        <v>520</v>
      </c>
      <c r="C74" t="s">
        <v>12</v>
      </c>
      <c r="D74" s="11">
        <v>44394</v>
      </c>
      <c r="H74" s="11"/>
      <c r="I74" s="11"/>
    </row>
    <row r="75" spans="1:9" x14ac:dyDescent="0.25">
      <c r="A75" s="10"/>
      <c r="B75">
        <v>-500</v>
      </c>
      <c r="C75" t="s">
        <v>13</v>
      </c>
      <c r="D75" s="11"/>
      <c r="H75" s="11"/>
      <c r="I75" s="11"/>
    </row>
    <row r="76" spans="1:9" x14ac:dyDescent="0.25">
      <c r="A76" s="10"/>
      <c r="B76">
        <v>880</v>
      </c>
      <c r="C76" t="s">
        <v>12</v>
      </c>
      <c r="D76" s="11">
        <v>44580</v>
      </c>
      <c r="H76" s="11"/>
      <c r="I76" s="11"/>
    </row>
    <row r="77" spans="1:9" x14ac:dyDescent="0.25">
      <c r="A77" s="10"/>
      <c r="B77">
        <v>-800</v>
      </c>
      <c r="C77" t="s">
        <v>13</v>
      </c>
      <c r="D77" s="11"/>
      <c r="H77" s="11"/>
      <c r="I77" s="11"/>
    </row>
    <row r="78" spans="1:9" x14ac:dyDescent="0.25">
      <c r="A78" s="10"/>
      <c r="B78">
        <v>360</v>
      </c>
      <c r="C78" t="s">
        <v>74</v>
      </c>
      <c r="D78" s="11">
        <v>44582</v>
      </c>
      <c r="H78" s="11"/>
      <c r="I78" s="11"/>
    </row>
    <row r="79" spans="1:9" x14ac:dyDescent="0.25">
      <c r="A79" s="10"/>
      <c r="B79">
        <v>-400</v>
      </c>
      <c r="C79" t="s">
        <v>93</v>
      </c>
      <c r="D79" s="11"/>
      <c r="H79" s="11"/>
      <c r="I79" s="11"/>
    </row>
    <row r="80" spans="1:9" x14ac:dyDescent="0.25">
      <c r="A80" s="10"/>
      <c r="B80">
        <v>400</v>
      </c>
      <c r="C80" t="s">
        <v>12</v>
      </c>
      <c r="D80" s="11"/>
      <c r="H80" s="11"/>
      <c r="I80" s="11"/>
    </row>
    <row r="81" spans="1:9" x14ac:dyDescent="0.25">
      <c r="A81" s="10"/>
      <c r="B81">
        <v>-400</v>
      </c>
      <c r="C81" t="s">
        <v>13</v>
      </c>
      <c r="D81" s="11"/>
      <c r="H81" s="11"/>
      <c r="I81" s="11"/>
    </row>
    <row r="82" spans="1:9" x14ac:dyDescent="0.25">
      <c r="A82" s="10"/>
      <c r="B82">
        <v>360</v>
      </c>
      <c r="C82" t="s">
        <v>12</v>
      </c>
      <c r="D82" s="11">
        <v>44596</v>
      </c>
      <c r="H82" s="11"/>
      <c r="I82" s="11"/>
    </row>
    <row r="83" spans="1:9" x14ac:dyDescent="0.25">
      <c r="A83" s="10"/>
      <c r="B83">
        <v>-400</v>
      </c>
      <c r="C83" t="s">
        <v>13</v>
      </c>
      <c r="D83" s="11">
        <v>44596</v>
      </c>
      <c r="H83" s="11"/>
      <c r="I83" s="11"/>
    </row>
    <row r="84" spans="1:9" x14ac:dyDescent="0.25">
      <c r="A84" s="10"/>
      <c r="B84">
        <v>600</v>
      </c>
      <c r="C84" t="s">
        <v>12</v>
      </c>
      <c r="D84" s="11">
        <v>44600</v>
      </c>
      <c r="H84" s="11"/>
      <c r="I84" s="11"/>
    </row>
    <row r="85" spans="1:9" x14ac:dyDescent="0.25">
      <c r="A85" s="10"/>
      <c r="B85">
        <v>-600</v>
      </c>
      <c r="C85" t="s">
        <v>13</v>
      </c>
      <c r="D85" s="11">
        <v>44600</v>
      </c>
      <c r="H85" s="11"/>
      <c r="I85" s="11"/>
    </row>
    <row r="86" spans="1:9" x14ac:dyDescent="0.25">
      <c r="A86" s="10"/>
      <c r="B86">
        <v>1130</v>
      </c>
      <c r="C86" t="s">
        <v>12</v>
      </c>
      <c r="D86" s="11">
        <v>44609</v>
      </c>
      <c r="H86" s="11"/>
      <c r="I86" s="11"/>
    </row>
    <row r="87" spans="1:9" x14ac:dyDescent="0.25">
      <c r="A87" s="10"/>
      <c r="B87">
        <v>-1100</v>
      </c>
      <c r="C87" t="s">
        <v>13</v>
      </c>
      <c r="D87" s="11"/>
      <c r="H87" s="11"/>
      <c r="I87" s="11"/>
    </row>
    <row r="88" spans="1:9" x14ac:dyDescent="0.25">
      <c r="A88" s="10"/>
      <c r="B88">
        <v>680</v>
      </c>
      <c r="C88" t="s">
        <v>12</v>
      </c>
      <c r="D88" s="11">
        <v>44692</v>
      </c>
      <c r="H88" s="11"/>
      <c r="I88" s="11"/>
    </row>
    <row r="89" spans="1:9" x14ac:dyDescent="0.25">
      <c r="A89" s="10"/>
      <c r="B89">
        <v>-700</v>
      </c>
      <c r="C89" t="s">
        <v>13</v>
      </c>
      <c r="D89" s="11"/>
      <c r="H89" s="11"/>
      <c r="I89" s="11"/>
    </row>
    <row r="90" spans="1:9" x14ac:dyDescent="0.25">
      <c r="A90" s="10"/>
      <c r="B90">
        <v>280</v>
      </c>
      <c r="C90" t="s">
        <v>12</v>
      </c>
      <c r="D90" s="11"/>
      <c r="H90" s="11"/>
      <c r="I90" s="11"/>
    </row>
    <row r="91" spans="1:9" x14ac:dyDescent="0.25">
      <c r="A91" s="10"/>
      <c r="B91">
        <v>-300</v>
      </c>
      <c r="C91" t="s">
        <v>13</v>
      </c>
      <c r="D91" s="11"/>
      <c r="H91" s="11"/>
      <c r="I91" s="11"/>
    </row>
    <row r="92" spans="1:9" x14ac:dyDescent="0.25">
      <c r="A92" s="10"/>
      <c r="B92">
        <v>-560</v>
      </c>
      <c r="C92" s="11" t="s">
        <v>175</v>
      </c>
      <c r="D92" s="11">
        <v>44714</v>
      </c>
      <c r="H92" s="11"/>
      <c r="I92" s="11"/>
    </row>
    <row r="93" spans="1:9" x14ac:dyDescent="0.25">
      <c r="A93" s="10"/>
      <c r="B93">
        <v>720</v>
      </c>
      <c r="C93" s="11" t="s">
        <v>12</v>
      </c>
      <c r="D93" s="11">
        <v>44757</v>
      </c>
      <c r="H93" s="11"/>
      <c r="I93" s="11"/>
    </row>
    <row r="94" spans="1:9" x14ac:dyDescent="0.25">
      <c r="A94" s="10"/>
      <c r="B94">
        <v>720</v>
      </c>
      <c r="C94" s="11" t="s">
        <v>12</v>
      </c>
      <c r="D94" s="11">
        <v>44770</v>
      </c>
      <c r="H94" s="11"/>
      <c r="I94" s="11"/>
    </row>
    <row r="95" spans="1:9" x14ac:dyDescent="0.25">
      <c r="A95" s="10"/>
      <c r="B95">
        <v>-800</v>
      </c>
      <c r="C95" s="11" t="s">
        <v>13</v>
      </c>
      <c r="D95" s="11">
        <v>44770</v>
      </c>
      <c r="H95" s="11"/>
      <c r="I95" s="11"/>
    </row>
    <row r="96" spans="1:9" x14ac:dyDescent="0.25">
      <c r="A96" s="10"/>
      <c r="B96">
        <v>-1000</v>
      </c>
      <c r="C96" s="11" t="s">
        <v>13</v>
      </c>
      <c r="D96" s="11">
        <v>44795</v>
      </c>
      <c r="H96" s="11"/>
      <c r="I96" s="11"/>
    </row>
    <row r="97" spans="1:9" x14ac:dyDescent="0.25">
      <c r="A97" s="10"/>
      <c r="B97">
        <v>2720</v>
      </c>
      <c r="C97" s="11" t="s">
        <v>12</v>
      </c>
      <c r="D97" s="11">
        <v>44797</v>
      </c>
      <c r="H97" s="11"/>
      <c r="I97" s="11"/>
    </row>
    <row r="98" spans="1:9" x14ac:dyDescent="0.25">
      <c r="A98" s="10"/>
      <c r="B98">
        <v>-2800</v>
      </c>
      <c r="C98" s="11" t="s">
        <v>13</v>
      </c>
      <c r="D98" s="11">
        <v>44797</v>
      </c>
      <c r="H98" s="11"/>
      <c r="I98" s="11"/>
    </row>
    <row r="99" spans="1:9" x14ac:dyDescent="0.25">
      <c r="A99" s="10"/>
      <c r="B99">
        <v>920</v>
      </c>
      <c r="C99" s="11" t="s">
        <v>12</v>
      </c>
      <c r="D99" s="11"/>
      <c r="H99" s="11"/>
      <c r="I99" s="11"/>
    </row>
    <row r="100" spans="1:9" x14ac:dyDescent="0.25">
      <c r="A100" s="10"/>
      <c r="B100">
        <v>-920</v>
      </c>
      <c r="C100" s="11" t="s">
        <v>13</v>
      </c>
      <c r="D100" s="11"/>
      <c r="H100" s="11"/>
      <c r="I100" s="11"/>
    </row>
    <row r="101" spans="1:9" x14ac:dyDescent="0.25">
      <c r="A101" s="10"/>
      <c r="B101">
        <v>400</v>
      </c>
      <c r="C101" s="11" t="s">
        <v>12</v>
      </c>
      <c r="D101" s="11">
        <v>44861</v>
      </c>
      <c r="H101" s="11"/>
      <c r="I101" s="11"/>
    </row>
    <row r="102" spans="1:9" x14ac:dyDescent="0.25">
      <c r="A102" s="10"/>
      <c r="B102">
        <v>400</v>
      </c>
      <c r="C102" s="11" t="s">
        <v>12</v>
      </c>
      <c r="D102" s="11">
        <v>44863</v>
      </c>
      <c r="H102" s="11"/>
      <c r="I102" s="11"/>
    </row>
    <row r="103" spans="1:9" x14ac:dyDescent="0.25">
      <c r="A103" s="10"/>
      <c r="B103">
        <v>-400</v>
      </c>
      <c r="C103" s="11" t="s">
        <v>13</v>
      </c>
      <c r="D103" s="11"/>
      <c r="H103" s="11"/>
      <c r="I103" s="11"/>
    </row>
    <row r="104" spans="1:9" x14ac:dyDescent="0.25">
      <c r="A104" s="10"/>
      <c r="B104">
        <v>400</v>
      </c>
      <c r="C104" s="11" t="s">
        <v>12</v>
      </c>
      <c r="D104" s="11">
        <v>44876</v>
      </c>
      <c r="H104" s="11"/>
      <c r="I104" s="11"/>
    </row>
    <row r="105" spans="1:9" x14ac:dyDescent="0.25">
      <c r="A105" s="10"/>
      <c r="B105">
        <v>-500</v>
      </c>
      <c r="C105" s="11" t="s">
        <v>13</v>
      </c>
      <c r="D105" s="11"/>
      <c r="H105" s="11"/>
      <c r="I105" s="11"/>
    </row>
    <row r="106" spans="1:9" x14ac:dyDescent="0.25">
      <c r="A106" s="10"/>
      <c r="B106">
        <v>800</v>
      </c>
      <c r="C106" s="11" t="s">
        <v>12</v>
      </c>
      <c r="D106" s="11"/>
      <c r="H106" s="11"/>
      <c r="I106" s="11"/>
    </row>
    <row r="107" spans="1:9" x14ac:dyDescent="0.25">
      <c r="A107" s="10"/>
      <c r="B107">
        <v>-800</v>
      </c>
      <c r="C107" s="11" t="s">
        <v>13</v>
      </c>
      <c r="D107" s="11"/>
      <c r="H107" s="11"/>
      <c r="I107" s="11"/>
    </row>
    <row r="108" spans="1:9" x14ac:dyDescent="0.25">
      <c r="A108" s="10"/>
      <c r="B108">
        <v>1600</v>
      </c>
      <c r="C108" s="11" t="s">
        <v>12</v>
      </c>
      <c r="D108" s="11"/>
      <c r="H108" s="11"/>
      <c r="I108" s="11"/>
    </row>
    <row r="109" spans="1:9" x14ac:dyDescent="0.25">
      <c r="A109" s="10"/>
      <c r="B109">
        <v>-900</v>
      </c>
      <c r="C109" s="11" t="s">
        <v>13</v>
      </c>
      <c r="D109" s="11"/>
      <c r="H109" s="11"/>
      <c r="I109" s="11"/>
    </row>
    <row r="110" spans="1:9" x14ac:dyDescent="0.25">
      <c r="A110" s="10"/>
      <c r="B110">
        <v>400</v>
      </c>
      <c r="C110" s="11" t="s">
        <v>12</v>
      </c>
      <c r="D110" s="11"/>
      <c r="H110" s="11"/>
      <c r="I110" s="11"/>
    </row>
    <row r="111" spans="1:9" x14ac:dyDescent="0.25">
      <c r="A111" s="10"/>
      <c r="B111">
        <v>-400</v>
      </c>
      <c r="C111" s="11" t="s">
        <v>13</v>
      </c>
      <c r="D111" s="11"/>
      <c r="H111" s="11"/>
      <c r="I111" s="11"/>
    </row>
    <row r="112" spans="1:9" x14ac:dyDescent="0.25">
      <c r="A112" s="10"/>
      <c r="B112">
        <v>800</v>
      </c>
      <c r="C112" s="11" t="s">
        <v>12</v>
      </c>
      <c r="D112" s="11"/>
      <c r="H112" s="11"/>
      <c r="I112" s="11"/>
    </row>
    <row r="113" spans="1:9" x14ac:dyDescent="0.25">
      <c r="A113" s="10"/>
      <c r="B113">
        <v>-800</v>
      </c>
      <c r="C113" s="11" t="s">
        <v>13</v>
      </c>
      <c r="D113" s="11"/>
      <c r="H113" s="11"/>
      <c r="I113" s="11"/>
    </row>
    <row r="114" spans="1:9" x14ac:dyDescent="0.25">
      <c r="A114" s="10"/>
      <c r="B114">
        <v>-300</v>
      </c>
      <c r="C114" s="11" t="s">
        <v>175</v>
      </c>
      <c r="D114" s="11"/>
      <c r="H114" s="11"/>
      <c r="I114" s="11"/>
    </row>
    <row r="115" spans="1:9" x14ac:dyDescent="0.25">
      <c r="A115" s="10"/>
      <c r="B115">
        <v>1200</v>
      </c>
      <c r="C115" s="11" t="s">
        <v>12</v>
      </c>
      <c r="D115" s="11">
        <v>45065</v>
      </c>
      <c r="H115" s="11"/>
      <c r="I115" s="11"/>
    </row>
    <row r="116" spans="1:9" x14ac:dyDescent="0.25">
      <c r="A116" s="10"/>
      <c r="B116">
        <v>-1200</v>
      </c>
      <c r="C116" s="11" t="s">
        <v>13</v>
      </c>
      <c r="D116" s="11"/>
      <c r="H116" s="11"/>
      <c r="I116" s="11"/>
    </row>
    <row r="117" spans="1:9" x14ac:dyDescent="0.25">
      <c r="A117" s="10"/>
      <c r="B117">
        <v>600</v>
      </c>
      <c r="C117" s="11" t="s">
        <v>12</v>
      </c>
      <c r="D117" s="11">
        <v>45101</v>
      </c>
      <c r="H117" s="11"/>
      <c r="I117" s="11"/>
    </row>
    <row r="118" spans="1:9" x14ac:dyDescent="0.25">
      <c r="A118" s="10"/>
      <c r="B118">
        <v>-600</v>
      </c>
      <c r="C118" s="11" t="s">
        <v>13</v>
      </c>
      <c r="D118" s="11">
        <v>45101</v>
      </c>
      <c r="H118" s="11"/>
      <c r="I118" s="11"/>
    </row>
    <row r="119" spans="1:9" x14ac:dyDescent="0.25">
      <c r="A119" s="10"/>
      <c r="B119">
        <v>3200</v>
      </c>
      <c r="C119" s="11" t="s">
        <v>12</v>
      </c>
      <c r="D119" s="11"/>
      <c r="H119" s="11"/>
      <c r="I119" s="11"/>
    </row>
    <row r="120" spans="1:9" x14ac:dyDescent="0.25">
      <c r="A120" s="10"/>
      <c r="B120">
        <v>-3000</v>
      </c>
      <c r="C120" s="11" t="s">
        <v>13</v>
      </c>
      <c r="D120" s="11"/>
      <c r="H120" s="11"/>
      <c r="I120" s="11"/>
    </row>
    <row r="121" spans="1:9" x14ac:dyDescent="0.25">
      <c r="A121" s="10"/>
      <c r="B121">
        <v>1600</v>
      </c>
      <c r="C121" s="11" t="s">
        <v>12</v>
      </c>
      <c r="D121" s="11">
        <v>45166</v>
      </c>
      <c r="H121" s="11"/>
      <c r="I121" s="11"/>
    </row>
    <row r="122" spans="1:9" x14ac:dyDescent="0.25">
      <c r="A122" s="10"/>
      <c r="B122">
        <v>-1600</v>
      </c>
      <c r="C122" s="11" t="s">
        <v>13</v>
      </c>
      <c r="D122" s="11">
        <v>45166</v>
      </c>
      <c r="H122" s="11"/>
      <c r="I122" s="11"/>
    </row>
    <row r="123" spans="1:9" x14ac:dyDescent="0.25">
      <c r="A123" s="10"/>
      <c r="B123">
        <v>1600</v>
      </c>
      <c r="C123" s="11" t="s">
        <v>74</v>
      </c>
      <c r="D123" s="11">
        <v>45184</v>
      </c>
      <c r="H123" s="11"/>
      <c r="I123" s="11"/>
    </row>
    <row r="124" spans="1:9" x14ac:dyDescent="0.25">
      <c r="A124" s="10"/>
      <c r="B124">
        <v>-1600</v>
      </c>
      <c r="C124" s="11" t="s">
        <v>13</v>
      </c>
      <c r="D124" s="11">
        <v>45184</v>
      </c>
      <c r="H124" s="11"/>
      <c r="I124" s="11"/>
    </row>
    <row r="125" spans="1:9" x14ac:dyDescent="0.25">
      <c r="A125" s="10"/>
      <c r="B125">
        <v>1600</v>
      </c>
      <c r="C125" s="11" t="s">
        <v>74</v>
      </c>
      <c r="D125" s="11"/>
      <c r="H125" s="11"/>
      <c r="I125" s="11"/>
    </row>
    <row r="126" spans="1:9" x14ac:dyDescent="0.25">
      <c r="A126" s="10"/>
      <c r="B126">
        <v>-1600</v>
      </c>
      <c r="C126" s="11" t="s">
        <v>13</v>
      </c>
      <c r="D126" s="11"/>
      <c r="H126" s="11"/>
      <c r="I126" s="11"/>
    </row>
    <row r="127" spans="1:9" x14ac:dyDescent="0.25">
      <c r="A127" s="10"/>
      <c r="B127">
        <v>-1000</v>
      </c>
      <c r="C127" s="11" t="s">
        <v>190</v>
      </c>
      <c r="D127" s="11">
        <v>45385</v>
      </c>
      <c r="H127" s="11"/>
      <c r="I127" s="11"/>
    </row>
    <row r="128" spans="1:9" x14ac:dyDescent="0.25">
      <c r="A128" s="10"/>
      <c r="B128">
        <v>-50000</v>
      </c>
      <c r="C128" s="11" t="s">
        <v>13</v>
      </c>
      <c r="D128" s="11">
        <v>45516</v>
      </c>
      <c r="H128" s="11"/>
      <c r="I128" s="11"/>
    </row>
    <row r="129" spans="1:9" x14ac:dyDescent="0.25">
      <c r="A129" s="10"/>
      <c r="B129">
        <v>23500</v>
      </c>
      <c r="C129" s="11" t="s">
        <v>12</v>
      </c>
      <c r="D129" s="11">
        <v>45520</v>
      </c>
      <c r="H129" s="11"/>
      <c r="I129" s="11"/>
    </row>
    <row r="130" spans="1:9" x14ac:dyDescent="0.25">
      <c r="A130" s="10"/>
      <c r="B130">
        <v>-21000</v>
      </c>
      <c r="C130" s="11" t="s">
        <v>13</v>
      </c>
      <c r="D130" s="11"/>
      <c r="H130" s="11"/>
      <c r="I130" s="11"/>
    </row>
    <row r="131" spans="1:9" x14ac:dyDescent="0.25">
      <c r="A131" s="10"/>
      <c r="B131">
        <v>28000</v>
      </c>
      <c r="C131" s="11" t="s">
        <v>12</v>
      </c>
      <c r="D131" s="11"/>
      <c r="H131" s="11"/>
      <c r="I131" s="11"/>
    </row>
    <row r="132" spans="1:9" x14ac:dyDescent="0.25">
      <c r="A132" s="10"/>
      <c r="B132">
        <v>-1000</v>
      </c>
      <c r="C132" s="11" t="s">
        <v>190</v>
      </c>
      <c r="D132" s="11">
        <v>45721</v>
      </c>
      <c r="H132" s="11"/>
      <c r="I132" s="11"/>
    </row>
    <row r="133" spans="1:9" x14ac:dyDescent="0.25">
      <c r="A133" s="10"/>
      <c r="B133">
        <v>42600</v>
      </c>
      <c r="C133" s="11" t="s">
        <v>12</v>
      </c>
      <c r="D133" s="11">
        <v>45772</v>
      </c>
      <c r="H133" s="11"/>
      <c r="I133" s="11"/>
    </row>
    <row r="134" spans="1:9" x14ac:dyDescent="0.25">
      <c r="A134" s="10"/>
      <c r="B134">
        <v>-42600</v>
      </c>
      <c r="C134" s="11" t="s">
        <v>13</v>
      </c>
      <c r="D134" s="11"/>
      <c r="H134" s="11"/>
      <c r="I134" s="11"/>
    </row>
    <row r="135" spans="1:9" x14ac:dyDescent="0.25">
      <c r="A135" s="10"/>
      <c r="B135">
        <v>-1000</v>
      </c>
      <c r="C135" s="11" t="s">
        <v>334</v>
      </c>
      <c r="D135" s="11">
        <v>46072</v>
      </c>
      <c r="H135" s="11"/>
      <c r="I135" s="11"/>
    </row>
    <row r="136" spans="1:9" x14ac:dyDescent="0.25">
      <c r="A136" s="10"/>
      <c r="B136" s="162">
        <f>SUM(B53:B135)</f>
        <v>-24693.410000000003</v>
      </c>
      <c r="C136" s="145">
        <v>46072</v>
      </c>
      <c r="D136" s="152"/>
      <c r="I136" s="11"/>
    </row>
    <row r="137" spans="1:9" x14ac:dyDescent="0.25">
      <c r="A137" s="10"/>
    </row>
    <row r="138" spans="1:9" x14ac:dyDescent="0.25">
      <c r="A138" s="10"/>
    </row>
    <row r="139" spans="1:9" x14ac:dyDescent="0.25">
      <c r="A139" s="10"/>
    </row>
    <row r="140" spans="1:9" x14ac:dyDescent="0.25">
      <c r="A140" s="10"/>
    </row>
    <row r="141" spans="1:9" x14ac:dyDescent="0.25">
      <c r="A141" s="10"/>
    </row>
    <row r="142" spans="1:9" x14ac:dyDescent="0.25">
      <c r="A142" s="10"/>
    </row>
    <row r="143" spans="1:9" x14ac:dyDescent="0.25">
      <c r="A143" s="10"/>
    </row>
    <row r="144" spans="1:9" x14ac:dyDescent="0.25">
      <c r="A144" s="10"/>
    </row>
    <row r="145" spans="1:10" x14ac:dyDescent="0.25">
      <c r="A145" s="10"/>
    </row>
    <row r="146" spans="1:10" x14ac:dyDescent="0.25">
      <c r="A146" s="10"/>
    </row>
    <row r="147" spans="1:10" x14ac:dyDescent="0.25">
      <c r="A147" s="10"/>
    </row>
    <row r="148" spans="1:10" x14ac:dyDescent="0.25">
      <c r="A148" s="10"/>
      <c r="J148" s="11"/>
    </row>
    <row r="149" spans="1:10" x14ac:dyDescent="0.25">
      <c r="A149" s="10"/>
      <c r="J149" s="11"/>
    </row>
    <row r="150" spans="1:10" x14ac:dyDescent="0.25">
      <c r="A150" s="10"/>
      <c r="J150" s="11"/>
    </row>
    <row r="151" spans="1:10" x14ac:dyDescent="0.25">
      <c r="A151" s="10"/>
      <c r="J151" s="11"/>
    </row>
    <row r="152" spans="1:10" x14ac:dyDescent="0.25">
      <c r="A152" s="10"/>
      <c r="J152" s="11"/>
    </row>
    <row r="153" spans="1:10" x14ac:dyDescent="0.25">
      <c r="A153" s="10"/>
      <c r="J153" s="11"/>
    </row>
    <row r="154" spans="1:10" x14ac:dyDescent="0.25">
      <c r="A154" s="10"/>
      <c r="J154" s="11"/>
    </row>
    <row r="155" spans="1:10" x14ac:dyDescent="0.25">
      <c r="A155" s="10"/>
      <c r="J155" s="11"/>
    </row>
    <row r="156" spans="1:10" x14ac:dyDescent="0.25">
      <c r="A156" s="10"/>
      <c r="J156" s="11"/>
    </row>
    <row r="157" spans="1:10" x14ac:dyDescent="0.25">
      <c r="A157" s="10"/>
      <c r="J157" s="11"/>
    </row>
    <row r="158" spans="1:10" x14ac:dyDescent="0.25">
      <c r="A158" s="10"/>
      <c r="J158" s="11"/>
    </row>
    <row r="159" spans="1:10" x14ac:dyDescent="0.25">
      <c r="A159" s="10"/>
      <c r="J159" s="11"/>
    </row>
    <row r="160" spans="1:10" x14ac:dyDescent="0.25">
      <c r="A160" s="10"/>
      <c r="J160" s="11"/>
    </row>
    <row r="161" spans="1:10" x14ac:dyDescent="0.25">
      <c r="A161" s="10"/>
      <c r="J161" s="11"/>
    </row>
    <row r="162" spans="1:10" x14ac:dyDescent="0.25">
      <c r="A162" s="10"/>
      <c r="J162" s="11"/>
    </row>
    <row r="163" spans="1:10" x14ac:dyDescent="0.25">
      <c r="A163" s="10"/>
      <c r="J163" s="11"/>
    </row>
    <row r="164" spans="1:10" x14ac:dyDescent="0.25">
      <c r="A164" s="10"/>
      <c r="J164" s="11"/>
    </row>
    <row r="165" spans="1:10" x14ac:dyDescent="0.25">
      <c r="A165" s="10"/>
      <c r="J165" s="11"/>
    </row>
    <row r="166" spans="1:10" x14ac:dyDescent="0.25">
      <c r="A166" s="10"/>
      <c r="J166" s="11"/>
    </row>
    <row r="167" spans="1:10" x14ac:dyDescent="0.25">
      <c r="A167" s="10"/>
      <c r="J167" s="11"/>
    </row>
    <row r="168" spans="1:10" x14ac:dyDescent="0.25">
      <c r="A168" s="10"/>
      <c r="J168" s="11"/>
    </row>
    <row r="169" spans="1:10" x14ac:dyDescent="0.25">
      <c r="A169" s="10"/>
      <c r="J169" s="11"/>
    </row>
    <row r="170" spans="1:10" x14ac:dyDescent="0.25">
      <c r="A170" s="10"/>
      <c r="J170" s="11"/>
    </row>
    <row r="171" spans="1:10" x14ac:dyDescent="0.25">
      <c r="A171" s="10"/>
      <c r="J171" s="11"/>
    </row>
    <row r="172" spans="1:10" x14ac:dyDescent="0.25">
      <c r="A172" s="10"/>
      <c r="J172" s="11"/>
    </row>
    <row r="173" spans="1:10" x14ac:dyDescent="0.25">
      <c r="A173" s="10"/>
      <c r="J173" s="11"/>
    </row>
    <row r="174" spans="1:10" x14ac:dyDescent="0.25">
      <c r="A174" s="10"/>
      <c r="J174" s="11"/>
    </row>
    <row r="175" spans="1:10" x14ac:dyDescent="0.25">
      <c r="A175" s="10"/>
      <c r="J175" s="11"/>
    </row>
    <row r="176" spans="1:10" x14ac:dyDescent="0.25">
      <c r="A176" s="10"/>
      <c r="J176" s="11"/>
    </row>
    <row r="177" spans="1:10" x14ac:dyDescent="0.25">
      <c r="A177" s="10"/>
      <c r="J177" s="11"/>
    </row>
    <row r="178" spans="1:10" x14ac:dyDescent="0.25">
      <c r="A178" s="10"/>
      <c r="J178" s="11"/>
    </row>
    <row r="179" spans="1:10" x14ac:dyDescent="0.25">
      <c r="A179" s="10"/>
      <c r="J179" s="11"/>
    </row>
    <row r="180" spans="1:10" x14ac:dyDescent="0.25">
      <c r="A180" s="10"/>
      <c r="J180" s="11"/>
    </row>
    <row r="181" spans="1:10" x14ac:dyDescent="0.25">
      <c r="A181" s="10"/>
      <c r="J181" s="11"/>
    </row>
    <row r="182" spans="1:10" x14ac:dyDescent="0.25">
      <c r="A182" s="10"/>
      <c r="J182" s="11"/>
    </row>
    <row r="183" spans="1:10" x14ac:dyDescent="0.25">
      <c r="A183" s="10"/>
      <c r="J183" s="11"/>
    </row>
    <row r="184" spans="1:10" x14ac:dyDescent="0.25">
      <c r="A184" s="10"/>
      <c r="J184" s="11"/>
    </row>
    <row r="185" spans="1:10" x14ac:dyDescent="0.25">
      <c r="A185" s="10"/>
      <c r="J185" s="11"/>
    </row>
    <row r="186" spans="1:10" x14ac:dyDescent="0.25">
      <c r="A186" s="10"/>
      <c r="J186" s="11"/>
    </row>
    <row r="187" spans="1:10" x14ac:dyDescent="0.25">
      <c r="A187" s="10"/>
      <c r="J187" s="11"/>
    </row>
    <row r="188" spans="1:10" x14ac:dyDescent="0.25">
      <c r="A188" s="10"/>
      <c r="J188" s="11"/>
    </row>
    <row r="189" spans="1:10" x14ac:dyDescent="0.25">
      <c r="A189" s="10"/>
      <c r="J189" s="11"/>
    </row>
    <row r="190" spans="1:10" x14ac:dyDescent="0.25">
      <c r="A190" s="10"/>
      <c r="J190" s="11"/>
    </row>
    <row r="191" spans="1:10" x14ac:dyDescent="0.25">
      <c r="A191" s="10"/>
      <c r="J191" s="11"/>
    </row>
    <row r="192" spans="1:10" x14ac:dyDescent="0.25">
      <c r="A192" s="10"/>
      <c r="J192" s="11"/>
    </row>
    <row r="193" spans="1:10" x14ac:dyDescent="0.25">
      <c r="A193" s="10"/>
      <c r="J193" s="11"/>
    </row>
    <row r="194" spans="1:10" x14ac:dyDescent="0.25">
      <c r="A194" s="10"/>
      <c r="J194" s="11"/>
    </row>
    <row r="195" spans="1:10" x14ac:dyDescent="0.25">
      <c r="A195" s="10"/>
      <c r="J195" s="11"/>
    </row>
    <row r="196" spans="1:10" x14ac:dyDescent="0.25">
      <c r="A196" s="10"/>
      <c r="J196" s="11"/>
    </row>
    <row r="197" spans="1:10" x14ac:dyDescent="0.25">
      <c r="A197" s="10"/>
      <c r="J197" s="11"/>
    </row>
    <row r="198" spans="1:10" x14ac:dyDescent="0.25">
      <c r="A198" s="10"/>
      <c r="J198" s="11"/>
    </row>
    <row r="199" spans="1:10" x14ac:dyDescent="0.25">
      <c r="A199" s="10"/>
      <c r="J199" s="11"/>
    </row>
    <row r="200" spans="1:10" x14ac:dyDescent="0.25">
      <c r="A200" s="10"/>
      <c r="J200" s="11"/>
    </row>
    <row r="201" spans="1:10" x14ac:dyDescent="0.25">
      <c r="A201" s="10"/>
      <c r="J201" s="11"/>
    </row>
    <row r="202" spans="1:10" x14ac:dyDescent="0.25">
      <c r="A202" s="10"/>
      <c r="J202" s="11"/>
    </row>
    <row r="203" spans="1:10" x14ac:dyDescent="0.25">
      <c r="A203" s="10"/>
      <c r="J203" s="11"/>
    </row>
    <row r="204" spans="1:10" x14ac:dyDescent="0.25">
      <c r="A204" s="10"/>
      <c r="J204" s="11"/>
    </row>
    <row r="205" spans="1:10" x14ac:dyDescent="0.25">
      <c r="A205" s="10"/>
      <c r="J205" s="11"/>
    </row>
    <row r="206" spans="1:10" x14ac:dyDescent="0.25">
      <c r="A206" s="10"/>
      <c r="J206" s="11"/>
    </row>
    <row r="207" spans="1:10" x14ac:dyDescent="0.25">
      <c r="A207" s="10"/>
      <c r="J207" s="11"/>
    </row>
    <row r="208" spans="1:10" x14ac:dyDescent="0.25">
      <c r="A208" s="10"/>
      <c r="J208" s="11"/>
    </row>
    <row r="209" spans="1:10" x14ac:dyDescent="0.25">
      <c r="A209" s="10"/>
      <c r="J209" s="11"/>
    </row>
    <row r="210" spans="1:10" x14ac:dyDescent="0.25">
      <c r="A210" s="10"/>
      <c r="J210" s="11"/>
    </row>
    <row r="211" spans="1:10" x14ac:dyDescent="0.25">
      <c r="A211" s="10"/>
      <c r="J211" s="11"/>
    </row>
    <row r="212" spans="1:10" x14ac:dyDescent="0.25">
      <c r="A212" s="10"/>
      <c r="I212" s="11"/>
    </row>
    <row r="213" spans="1:10" x14ac:dyDescent="0.25">
      <c r="A213" s="10"/>
      <c r="I213" s="11"/>
    </row>
    <row r="214" spans="1:10" x14ac:dyDescent="0.25">
      <c r="A214" s="10"/>
      <c r="I214" s="11"/>
    </row>
    <row r="215" spans="1:10" x14ac:dyDescent="0.25">
      <c r="A215" s="10"/>
      <c r="I215" s="11"/>
    </row>
    <row r="216" spans="1:10" x14ac:dyDescent="0.25">
      <c r="A216" s="10"/>
      <c r="I216" s="11"/>
    </row>
    <row r="217" spans="1:10" x14ac:dyDescent="0.25">
      <c r="A217" s="10"/>
      <c r="I217" s="11"/>
    </row>
    <row r="218" spans="1:10" x14ac:dyDescent="0.25">
      <c r="A218" s="10"/>
      <c r="J218" s="11"/>
    </row>
    <row r="219" spans="1:10" x14ac:dyDescent="0.25">
      <c r="A219" s="10"/>
      <c r="J219" s="11"/>
    </row>
    <row r="220" spans="1:10" x14ac:dyDescent="0.25">
      <c r="A220" s="10"/>
      <c r="J220" s="11"/>
    </row>
    <row r="221" spans="1:10" x14ac:dyDescent="0.25">
      <c r="A221" s="10"/>
      <c r="J221" s="11"/>
    </row>
    <row r="222" spans="1:10" x14ac:dyDescent="0.25">
      <c r="A222" s="10"/>
      <c r="J222" s="11"/>
    </row>
    <row r="223" spans="1:10" x14ac:dyDescent="0.25">
      <c r="A223" s="10"/>
      <c r="J223" s="11"/>
    </row>
    <row r="224" spans="1:10" x14ac:dyDescent="0.25">
      <c r="A224" s="10"/>
      <c r="J224" s="11"/>
    </row>
    <row r="225" spans="1:10" x14ac:dyDescent="0.25">
      <c r="A225" s="10"/>
      <c r="J225" s="11"/>
    </row>
    <row r="226" spans="1:10" x14ac:dyDescent="0.25">
      <c r="A226" s="10"/>
      <c r="J226" s="11"/>
    </row>
    <row r="227" spans="1:10" x14ac:dyDescent="0.25">
      <c r="A227" s="10"/>
      <c r="J227" s="11"/>
    </row>
    <row r="228" spans="1:10" x14ac:dyDescent="0.25">
      <c r="A228" s="10"/>
      <c r="J228" s="11"/>
    </row>
    <row r="229" spans="1:10" x14ac:dyDescent="0.25">
      <c r="A229" s="10"/>
      <c r="J229" s="11"/>
    </row>
    <row r="230" spans="1:10" x14ac:dyDescent="0.25">
      <c r="A230" s="10"/>
      <c r="J230" s="11"/>
    </row>
    <row r="231" spans="1:10" x14ac:dyDescent="0.25">
      <c r="A231" s="10"/>
      <c r="J231" s="11"/>
    </row>
    <row r="232" spans="1:10" x14ac:dyDescent="0.25">
      <c r="A232" s="10"/>
    </row>
    <row r="233" spans="1:10" x14ac:dyDescent="0.25">
      <c r="A233" s="10"/>
    </row>
    <row r="234" spans="1:10" x14ac:dyDescent="0.25">
      <c r="A234" s="10"/>
    </row>
    <row r="235" spans="1:10" x14ac:dyDescent="0.25">
      <c r="A235" s="10"/>
    </row>
    <row r="236" spans="1:10" x14ac:dyDescent="0.25">
      <c r="A236" s="10"/>
    </row>
    <row r="237" spans="1:10" x14ac:dyDescent="0.25">
      <c r="A237" s="10"/>
    </row>
    <row r="238" spans="1:10" x14ac:dyDescent="0.25">
      <c r="A238" s="10"/>
    </row>
    <row r="239" spans="1:10" x14ac:dyDescent="0.25">
      <c r="A239" s="10"/>
    </row>
    <row r="240" spans="1:10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</sheetData>
  <pageMargins left="0.7" right="0.7" top="0.75" bottom="0.75" header="0.51180555555555496" footer="0.51180555555555496"/>
  <pageSetup paperSize="9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84"/>
  <sheetViews>
    <sheetView zoomScale="110" zoomScaleNormal="110" workbookViewId="0">
      <selection activeCell="B5" sqref="B5:I7"/>
    </sheetView>
  </sheetViews>
  <sheetFormatPr baseColWidth="10" defaultRowHeight="15" x14ac:dyDescent="0.25"/>
  <cols>
    <col min="1" max="1" width="10.7109375"/>
    <col min="2" max="2" width="13" customWidth="1"/>
    <col min="3" max="3" width="13.42578125" customWidth="1"/>
    <col min="4" max="4" width="10.7109375"/>
    <col min="5" max="5" width="11.42578125" bestFit="1" customWidth="1"/>
    <col min="6" max="6" width="10.7109375"/>
    <col min="7" max="7" width="11.42578125" customWidth="1"/>
    <col min="8" max="8" width="12.28515625" customWidth="1"/>
    <col min="9" max="9" width="13.7109375" bestFit="1" customWidth="1"/>
    <col min="10" max="10" width="10.7109375"/>
    <col min="11" max="11" width="12.7109375" bestFit="1" customWidth="1"/>
    <col min="12" max="1022" width="10.7109375"/>
  </cols>
  <sheetData>
    <row r="1" spans="1:11" x14ac:dyDescent="0.25">
      <c r="D1" s="172"/>
      <c r="E1" s="87"/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174" t="s">
        <v>65</v>
      </c>
      <c r="K2" s="126" t="s">
        <v>6</v>
      </c>
    </row>
    <row r="3" spans="1:11" x14ac:dyDescent="0.25">
      <c r="A3" s="91">
        <v>46142</v>
      </c>
      <c r="B3" s="227" t="s">
        <v>9</v>
      </c>
      <c r="C3" s="124" t="s">
        <v>10</v>
      </c>
      <c r="D3" s="82">
        <v>500</v>
      </c>
      <c r="E3" s="82"/>
      <c r="F3" s="82"/>
      <c r="G3" s="82"/>
      <c r="H3" s="123">
        <v>620592</v>
      </c>
      <c r="I3" s="90"/>
      <c r="J3" s="82"/>
      <c r="K3" s="217"/>
    </row>
    <row r="4" spans="1:11" x14ac:dyDescent="0.25">
      <c r="A4" s="91">
        <v>46144</v>
      </c>
      <c r="B4" s="82" t="s">
        <v>10</v>
      </c>
      <c r="C4" s="82" t="s">
        <v>9</v>
      </c>
      <c r="D4" s="82">
        <v>500</v>
      </c>
      <c r="E4" s="82"/>
      <c r="F4" s="82">
        <v>34.33</v>
      </c>
      <c r="G4" s="82"/>
      <c r="H4" s="123">
        <v>1068078</v>
      </c>
      <c r="I4" s="90" t="s">
        <v>176</v>
      </c>
      <c r="J4" s="82"/>
      <c r="K4" s="217"/>
    </row>
    <row r="5" spans="1:11" x14ac:dyDescent="0.25">
      <c r="A5" s="91">
        <v>46146</v>
      </c>
      <c r="B5" s="82" t="s">
        <v>9</v>
      </c>
      <c r="C5" s="124" t="s">
        <v>351</v>
      </c>
      <c r="D5" s="82">
        <v>1010</v>
      </c>
      <c r="E5" s="82"/>
      <c r="F5" s="82"/>
      <c r="G5" s="82"/>
      <c r="H5" s="90">
        <v>620763</v>
      </c>
      <c r="I5" s="90" t="s">
        <v>257</v>
      </c>
      <c r="J5" s="82"/>
      <c r="K5" s="217"/>
    </row>
    <row r="6" spans="1:11" x14ac:dyDescent="0.25">
      <c r="A6" s="91">
        <v>46148</v>
      </c>
      <c r="B6" s="82" t="s">
        <v>351</v>
      </c>
      <c r="C6" s="124" t="s">
        <v>227</v>
      </c>
      <c r="D6" s="82">
        <v>240</v>
      </c>
      <c r="E6" s="82"/>
      <c r="F6" s="82"/>
      <c r="G6" s="82"/>
      <c r="H6" s="83" t="s">
        <v>66</v>
      </c>
      <c r="I6" s="90"/>
      <c r="J6" s="82"/>
      <c r="K6" s="217"/>
    </row>
    <row r="7" spans="1:11" x14ac:dyDescent="0.25">
      <c r="A7" s="91">
        <v>46148</v>
      </c>
      <c r="B7" s="82" t="s">
        <v>296</v>
      </c>
      <c r="C7" s="124" t="s">
        <v>9</v>
      </c>
      <c r="D7" s="82">
        <v>820</v>
      </c>
      <c r="E7" s="82"/>
      <c r="F7" s="82">
        <v>34.1</v>
      </c>
      <c r="G7" s="82"/>
      <c r="H7" s="90">
        <v>190230</v>
      </c>
      <c r="I7" s="90" t="s">
        <v>304</v>
      </c>
      <c r="J7" s="82"/>
      <c r="K7" s="217"/>
    </row>
    <row r="8" spans="1:11" x14ac:dyDescent="0.25">
      <c r="A8" s="91">
        <v>46151</v>
      </c>
      <c r="B8" s="82" t="s">
        <v>9</v>
      </c>
      <c r="C8" s="124" t="s">
        <v>351</v>
      </c>
      <c r="D8" s="82">
        <v>1010</v>
      </c>
      <c r="E8" s="82"/>
      <c r="F8" s="82"/>
      <c r="G8" s="82"/>
      <c r="H8" s="90">
        <v>621109</v>
      </c>
      <c r="I8" s="90" t="s">
        <v>257</v>
      </c>
      <c r="J8" s="82"/>
      <c r="K8" s="217"/>
    </row>
    <row r="9" spans="1:11" x14ac:dyDescent="0.25">
      <c r="A9" s="91">
        <v>46153</v>
      </c>
      <c r="B9" s="82" t="s">
        <v>351</v>
      </c>
      <c r="C9" s="124" t="s">
        <v>227</v>
      </c>
      <c r="D9" s="82">
        <v>240</v>
      </c>
      <c r="E9" s="82"/>
      <c r="F9" s="82"/>
      <c r="G9" s="82"/>
      <c r="H9" s="83" t="s">
        <v>66</v>
      </c>
      <c r="I9" s="90"/>
      <c r="J9" s="82"/>
      <c r="K9" s="217"/>
    </row>
    <row r="10" spans="1:11" x14ac:dyDescent="0.25">
      <c r="A10" s="91">
        <v>46154</v>
      </c>
      <c r="B10" s="82" t="s">
        <v>296</v>
      </c>
      <c r="C10" s="124" t="s">
        <v>9</v>
      </c>
      <c r="D10" s="82">
        <v>820</v>
      </c>
      <c r="E10" s="82"/>
      <c r="F10" s="82">
        <v>34.299999999999997</v>
      </c>
      <c r="G10" s="82"/>
      <c r="H10" s="90">
        <v>190426</v>
      </c>
      <c r="I10" s="90" t="s">
        <v>304</v>
      </c>
      <c r="J10" s="82"/>
      <c r="K10" s="217"/>
    </row>
    <row r="11" spans="1:11" x14ac:dyDescent="0.25">
      <c r="A11" s="91">
        <v>46155</v>
      </c>
      <c r="B11" s="227" t="s">
        <v>9</v>
      </c>
      <c r="C11" s="124" t="s">
        <v>389</v>
      </c>
      <c r="D11" s="82">
        <v>320</v>
      </c>
      <c r="E11" s="82"/>
      <c r="F11" s="82">
        <v>35.1</v>
      </c>
      <c r="G11" s="82"/>
      <c r="H11" s="123">
        <v>295923</v>
      </c>
      <c r="I11" s="90" t="s">
        <v>15</v>
      </c>
      <c r="J11" s="82"/>
      <c r="K11" s="217"/>
    </row>
    <row r="12" spans="1:11" x14ac:dyDescent="0.25">
      <c r="A12" s="91">
        <v>46157</v>
      </c>
      <c r="B12" s="227" t="s">
        <v>389</v>
      </c>
      <c r="C12" s="124" t="s">
        <v>103</v>
      </c>
      <c r="D12" s="82">
        <v>350</v>
      </c>
      <c r="E12" s="82"/>
      <c r="F12" s="82"/>
      <c r="G12" s="82"/>
      <c r="H12" s="128" t="s">
        <v>66</v>
      </c>
      <c r="I12" s="90"/>
      <c r="J12" s="82"/>
      <c r="K12" s="217"/>
    </row>
    <row r="13" spans="1:11" x14ac:dyDescent="0.25">
      <c r="A13" s="91"/>
      <c r="B13" s="227"/>
      <c r="C13" s="124"/>
      <c r="D13" s="82"/>
      <c r="E13" s="82"/>
      <c r="F13" s="82"/>
      <c r="G13" s="82"/>
      <c r="H13" s="123"/>
      <c r="I13" s="90"/>
      <c r="J13" s="82"/>
      <c r="K13" s="217"/>
    </row>
    <row r="14" spans="1:11" x14ac:dyDescent="0.25">
      <c r="A14" s="91"/>
      <c r="B14" s="227"/>
      <c r="C14" s="124"/>
      <c r="D14" s="82"/>
      <c r="E14" s="82"/>
      <c r="F14" s="82"/>
      <c r="G14" s="82"/>
      <c r="H14" s="123"/>
      <c r="I14" s="90"/>
      <c r="J14" s="82"/>
      <c r="K14" s="217"/>
    </row>
    <row r="15" spans="1:11" x14ac:dyDescent="0.25">
      <c r="A15" s="91"/>
      <c r="B15" s="227"/>
      <c r="C15" s="124"/>
      <c r="D15" s="82"/>
      <c r="E15" s="82"/>
      <c r="F15" s="82"/>
      <c r="G15" s="82"/>
      <c r="H15" s="123"/>
      <c r="I15" s="90"/>
      <c r="J15" s="82"/>
      <c r="K15" s="217"/>
    </row>
    <row r="16" spans="1:11" x14ac:dyDescent="0.25">
      <c r="A16" s="91"/>
      <c r="B16" s="227"/>
      <c r="C16" s="124"/>
      <c r="D16" s="82"/>
      <c r="E16" s="82"/>
      <c r="F16" s="82"/>
      <c r="G16" s="82"/>
      <c r="H16" s="123"/>
      <c r="I16" s="90"/>
      <c r="J16" s="82"/>
      <c r="K16" s="217"/>
    </row>
    <row r="17" spans="1:11" x14ac:dyDescent="0.25">
      <c r="A17" s="91"/>
      <c r="B17" s="227"/>
      <c r="C17" s="124"/>
      <c r="D17" s="82"/>
      <c r="E17" s="82"/>
      <c r="F17" s="82"/>
      <c r="G17" s="82"/>
      <c r="H17" s="123"/>
      <c r="I17" s="90"/>
      <c r="J17" s="82"/>
      <c r="K17" s="217"/>
    </row>
    <row r="18" spans="1:11" x14ac:dyDescent="0.25">
      <c r="A18" s="91"/>
      <c r="B18" s="227"/>
      <c r="C18" s="82"/>
      <c r="D18" s="82"/>
      <c r="E18" s="82"/>
      <c r="F18" s="82"/>
      <c r="G18" s="82"/>
      <c r="H18" s="128"/>
      <c r="I18" s="90"/>
      <c r="J18" s="82"/>
      <c r="K18" s="217"/>
    </row>
    <row r="19" spans="1:11" x14ac:dyDescent="0.25">
      <c r="A19" s="91"/>
      <c r="B19" s="227"/>
      <c r="C19" s="82"/>
      <c r="D19" s="82"/>
      <c r="E19" s="82"/>
      <c r="F19" s="82"/>
      <c r="G19" s="82"/>
      <c r="H19" s="128"/>
      <c r="I19" s="90"/>
      <c r="J19" s="82"/>
      <c r="K19" s="217"/>
    </row>
    <row r="20" spans="1:11" x14ac:dyDescent="0.25">
      <c r="A20" s="91"/>
      <c r="B20" s="227"/>
      <c r="C20" s="82"/>
      <c r="D20" s="82"/>
      <c r="E20" s="82"/>
      <c r="F20" s="82"/>
      <c r="G20" s="82"/>
      <c r="H20" s="128"/>
      <c r="I20" s="90"/>
      <c r="J20" s="82"/>
      <c r="K20" s="217"/>
    </row>
    <row r="21" spans="1:11" x14ac:dyDescent="0.25">
      <c r="A21" s="91"/>
      <c r="B21" s="227"/>
      <c r="C21" s="82"/>
      <c r="D21" s="82"/>
      <c r="E21" s="82"/>
      <c r="F21" s="82"/>
      <c r="G21" s="82"/>
      <c r="H21" s="128"/>
      <c r="I21" s="90"/>
      <c r="J21" s="82"/>
      <c r="K21" s="217"/>
    </row>
    <row r="22" spans="1:11" x14ac:dyDescent="0.25">
      <c r="A22" s="91"/>
      <c r="B22" s="227"/>
      <c r="C22" s="82"/>
      <c r="D22" s="82"/>
      <c r="E22" s="82"/>
      <c r="F22" s="82"/>
      <c r="G22" s="82"/>
      <c r="H22" s="128"/>
      <c r="I22" s="90"/>
      <c r="J22" s="82"/>
      <c r="K22" s="217"/>
    </row>
    <row r="23" spans="1:11" x14ac:dyDescent="0.25">
      <c r="A23" s="91"/>
      <c r="B23" s="227"/>
      <c r="C23" s="82"/>
      <c r="D23" s="82"/>
      <c r="E23" s="82"/>
      <c r="F23" s="82"/>
      <c r="G23" s="82"/>
      <c r="H23" s="128"/>
      <c r="I23" s="90"/>
      <c r="J23" s="82"/>
      <c r="K23" s="217"/>
    </row>
    <row r="24" spans="1:11" x14ac:dyDescent="0.25">
      <c r="A24" s="91"/>
      <c r="B24" s="227"/>
      <c r="C24" s="82"/>
      <c r="D24" s="82"/>
      <c r="E24" s="82"/>
      <c r="F24" s="82"/>
      <c r="G24" s="82"/>
      <c r="H24" s="128"/>
      <c r="I24" s="90"/>
      <c r="J24" s="82"/>
      <c r="K24" s="217"/>
    </row>
    <row r="25" spans="1:11" x14ac:dyDescent="0.25">
      <c r="A25" s="91">
        <v>46116</v>
      </c>
      <c r="B25" s="227" t="s">
        <v>9</v>
      </c>
      <c r="C25" s="124" t="s">
        <v>300</v>
      </c>
      <c r="D25" s="82">
        <v>420</v>
      </c>
      <c r="E25" s="82"/>
      <c r="F25" s="82">
        <v>35.42</v>
      </c>
      <c r="G25" s="82"/>
      <c r="H25" s="123">
        <v>618968</v>
      </c>
      <c r="I25" s="90" t="s">
        <v>257</v>
      </c>
      <c r="J25" s="82"/>
      <c r="K25" s="217"/>
    </row>
    <row r="26" spans="1:11" x14ac:dyDescent="0.25">
      <c r="A26" s="91">
        <v>46118</v>
      </c>
      <c r="B26" s="227" t="s">
        <v>300</v>
      </c>
      <c r="C26" s="82" t="s">
        <v>357</v>
      </c>
      <c r="D26" s="82">
        <v>10</v>
      </c>
      <c r="E26" s="82"/>
      <c r="F26" s="82"/>
      <c r="G26" s="82"/>
      <c r="H26" s="128" t="s">
        <v>66</v>
      </c>
      <c r="I26" s="90"/>
      <c r="J26" s="82"/>
      <c r="K26" s="217"/>
    </row>
    <row r="27" spans="1:11" x14ac:dyDescent="0.25">
      <c r="A27" s="91">
        <v>46119</v>
      </c>
      <c r="B27" s="82" t="s">
        <v>300</v>
      </c>
      <c r="C27" s="124" t="s">
        <v>356</v>
      </c>
      <c r="D27" s="82">
        <v>990</v>
      </c>
      <c r="E27" s="82"/>
      <c r="F27" s="82">
        <v>34.72</v>
      </c>
      <c r="G27" s="82"/>
      <c r="H27" s="90">
        <v>153029</v>
      </c>
      <c r="I27" s="90" t="s">
        <v>357</v>
      </c>
      <c r="J27" s="82"/>
      <c r="K27" s="217">
        <v>1701794.55</v>
      </c>
    </row>
    <row r="28" spans="1:11" x14ac:dyDescent="0.25">
      <c r="A28" s="91">
        <v>46120</v>
      </c>
      <c r="B28" s="82" t="s">
        <v>356</v>
      </c>
      <c r="C28" s="124" t="s">
        <v>340</v>
      </c>
      <c r="D28" s="82">
        <v>380</v>
      </c>
      <c r="E28" s="82"/>
      <c r="F28" s="82"/>
      <c r="G28" s="82"/>
      <c r="H28" s="90">
        <v>503419</v>
      </c>
      <c r="I28" s="90"/>
      <c r="J28" s="82"/>
      <c r="K28" s="217">
        <v>1057200.08</v>
      </c>
    </row>
    <row r="29" spans="1:11" x14ac:dyDescent="0.25">
      <c r="A29" s="91">
        <v>46121</v>
      </c>
      <c r="B29" s="227" t="s">
        <v>340</v>
      </c>
      <c r="C29" s="82" t="s">
        <v>337</v>
      </c>
      <c r="D29" s="82">
        <v>50</v>
      </c>
      <c r="E29" s="82"/>
      <c r="F29" s="82"/>
      <c r="G29" s="82"/>
      <c r="H29" s="128" t="s">
        <v>66</v>
      </c>
      <c r="I29" s="90"/>
      <c r="J29" s="82"/>
      <c r="K29" s="217"/>
    </row>
    <row r="30" spans="1:11" x14ac:dyDescent="0.25">
      <c r="A30" s="91">
        <v>46121</v>
      </c>
      <c r="B30" s="227" t="s">
        <v>337</v>
      </c>
      <c r="C30" s="82" t="s">
        <v>75</v>
      </c>
      <c r="D30" s="82">
        <v>430</v>
      </c>
      <c r="E30" s="82"/>
      <c r="F30" s="82">
        <v>34.64</v>
      </c>
      <c r="G30" s="82"/>
      <c r="H30" s="123">
        <v>303245</v>
      </c>
      <c r="I30" s="90" t="s">
        <v>15</v>
      </c>
      <c r="J30" s="82"/>
      <c r="K30" s="217"/>
    </row>
    <row r="31" spans="1:11" x14ac:dyDescent="0.25">
      <c r="A31" s="91">
        <v>46122</v>
      </c>
      <c r="B31" s="82" t="s">
        <v>75</v>
      </c>
      <c r="C31" s="124" t="s">
        <v>10</v>
      </c>
      <c r="D31" s="82">
        <v>80</v>
      </c>
      <c r="E31" s="82"/>
      <c r="F31" s="82"/>
      <c r="G31" s="82"/>
      <c r="H31" s="83" t="s">
        <v>66</v>
      </c>
      <c r="I31" s="90"/>
      <c r="J31" s="82"/>
      <c r="K31" s="217"/>
    </row>
    <row r="32" spans="1:11" x14ac:dyDescent="0.25">
      <c r="A32" s="91">
        <v>46123</v>
      </c>
      <c r="B32" s="82" t="s">
        <v>10</v>
      </c>
      <c r="C32" s="82" t="s">
        <v>9</v>
      </c>
      <c r="D32" s="82">
        <v>500</v>
      </c>
      <c r="E32" s="82"/>
      <c r="F32" s="82">
        <v>34.28</v>
      </c>
      <c r="G32" s="82"/>
      <c r="H32" s="123">
        <v>1064638</v>
      </c>
      <c r="I32" s="90" t="s">
        <v>368</v>
      </c>
      <c r="J32" s="82"/>
      <c r="K32" s="217"/>
    </row>
    <row r="33" spans="1:11" x14ac:dyDescent="0.25">
      <c r="A33" s="91">
        <v>46095</v>
      </c>
      <c r="B33" s="82" t="s">
        <v>9</v>
      </c>
      <c r="C33" s="124" t="s">
        <v>351</v>
      </c>
      <c r="D33" s="82">
        <v>1010</v>
      </c>
      <c r="E33" s="82"/>
      <c r="F33" s="82">
        <v>34.49</v>
      </c>
      <c r="G33" s="82"/>
      <c r="H33" s="90">
        <v>619623</v>
      </c>
      <c r="I33" s="90" t="s">
        <v>257</v>
      </c>
      <c r="J33" s="82"/>
      <c r="K33" s="217"/>
    </row>
    <row r="34" spans="1:11" x14ac:dyDescent="0.25">
      <c r="A34" s="91">
        <v>46127</v>
      </c>
      <c r="B34" s="82" t="s">
        <v>351</v>
      </c>
      <c r="C34" s="124" t="s">
        <v>227</v>
      </c>
      <c r="D34" s="82">
        <v>240</v>
      </c>
      <c r="E34" s="82"/>
      <c r="F34" s="82"/>
      <c r="G34" s="82"/>
      <c r="H34" s="83" t="s">
        <v>66</v>
      </c>
      <c r="I34" s="90"/>
      <c r="J34" s="82"/>
      <c r="K34" s="217"/>
    </row>
    <row r="35" spans="1:11" x14ac:dyDescent="0.25">
      <c r="A35" s="91">
        <v>46128</v>
      </c>
      <c r="B35" s="82" t="s">
        <v>296</v>
      </c>
      <c r="C35" s="124" t="s">
        <v>9</v>
      </c>
      <c r="D35" s="82">
        <v>820</v>
      </c>
      <c r="E35" s="82"/>
      <c r="F35" s="82">
        <v>34</v>
      </c>
      <c r="G35" s="82"/>
      <c r="H35" s="90">
        <v>189594</v>
      </c>
      <c r="I35" s="90" t="s">
        <v>304</v>
      </c>
      <c r="J35" s="82"/>
      <c r="K35" s="217"/>
    </row>
    <row r="36" spans="1:11" x14ac:dyDescent="0.25">
      <c r="A36" s="91">
        <v>46129</v>
      </c>
      <c r="B36" s="82" t="s">
        <v>9</v>
      </c>
      <c r="C36" s="82" t="s">
        <v>428</v>
      </c>
      <c r="D36" s="82">
        <v>380</v>
      </c>
      <c r="E36" s="82"/>
      <c r="F36" s="82"/>
      <c r="G36" s="82"/>
      <c r="H36" s="123">
        <v>294009</v>
      </c>
      <c r="I36" s="90" t="s">
        <v>15</v>
      </c>
      <c r="J36" s="82"/>
      <c r="K36" s="217"/>
    </row>
    <row r="37" spans="1:11" x14ac:dyDescent="0.25">
      <c r="A37" s="91">
        <v>46132</v>
      </c>
      <c r="B37" s="82" t="s">
        <v>428</v>
      </c>
      <c r="C37" s="82" t="s">
        <v>118</v>
      </c>
      <c r="D37" s="82">
        <v>170</v>
      </c>
      <c r="E37" s="82"/>
      <c r="F37" s="82"/>
      <c r="G37" s="82"/>
      <c r="H37" s="128" t="s">
        <v>66</v>
      </c>
      <c r="I37" s="90"/>
      <c r="J37" s="82"/>
      <c r="K37" s="217"/>
    </row>
    <row r="38" spans="1:11" x14ac:dyDescent="0.25">
      <c r="A38" s="91">
        <v>46133</v>
      </c>
      <c r="B38" s="82" t="s">
        <v>118</v>
      </c>
      <c r="C38" s="82" t="s">
        <v>10</v>
      </c>
      <c r="D38" s="82">
        <v>230</v>
      </c>
      <c r="E38" s="82"/>
      <c r="F38" s="82"/>
      <c r="G38" s="82"/>
      <c r="H38" s="128" t="s">
        <v>66</v>
      </c>
      <c r="I38" s="90"/>
      <c r="J38" s="82"/>
      <c r="K38" s="217"/>
    </row>
    <row r="39" spans="1:11" x14ac:dyDescent="0.25">
      <c r="A39" s="91">
        <v>46133</v>
      </c>
      <c r="B39" s="82" t="s">
        <v>10</v>
      </c>
      <c r="C39" s="82" t="s">
        <v>9</v>
      </c>
      <c r="D39" s="82">
        <v>500</v>
      </c>
      <c r="E39" s="82"/>
      <c r="F39" s="82">
        <v>34.67</v>
      </c>
      <c r="G39" s="82"/>
      <c r="H39" s="123">
        <v>1066227</v>
      </c>
      <c r="I39" s="90" t="s">
        <v>176</v>
      </c>
      <c r="J39" s="82"/>
      <c r="K39" s="217"/>
    </row>
    <row r="40" spans="1:11" x14ac:dyDescent="0.25">
      <c r="A40" s="91">
        <v>46134</v>
      </c>
      <c r="B40" s="82" t="s">
        <v>9</v>
      </c>
      <c r="C40" s="124" t="s">
        <v>351</v>
      </c>
      <c r="D40" s="82">
        <v>1010</v>
      </c>
      <c r="E40" s="82"/>
      <c r="F40" s="82">
        <v>35.26</v>
      </c>
      <c r="G40" s="82"/>
      <c r="H40" s="90">
        <v>620105</v>
      </c>
      <c r="I40" s="90" t="s">
        <v>257</v>
      </c>
      <c r="J40" s="82"/>
      <c r="K40" s="217"/>
    </row>
    <row r="41" spans="1:11" x14ac:dyDescent="0.25">
      <c r="A41" s="91">
        <v>46135</v>
      </c>
      <c r="B41" s="82" t="s">
        <v>351</v>
      </c>
      <c r="C41" s="124" t="s">
        <v>227</v>
      </c>
      <c r="D41" s="82">
        <v>240</v>
      </c>
      <c r="E41" s="82"/>
      <c r="F41" s="82"/>
      <c r="G41" s="82"/>
      <c r="H41" s="83" t="s">
        <v>66</v>
      </c>
      <c r="I41" s="90"/>
      <c r="J41" s="82"/>
      <c r="K41" s="217"/>
    </row>
    <row r="42" spans="1:11" x14ac:dyDescent="0.25">
      <c r="A42" s="91">
        <v>46136</v>
      </c>
      <c r="B42" s="82" t="s">
        <v>296</v>
      </c>
      <c r="C42" s="124" t="s">
        <v>9</v>
      </c>
      <c r="D42" s="82">
        <v>820</v>
      </c>
      <c r="E42" s="82"/>
      <c r="F42" s="82">
        <v>33.700000000000003</v>
      </c>
      <c r="G42" s="82"/>
      <c r="H42" s="90">
        <v>189877</v>
      </c>
      <c r="I42" s="90" t="s">
        <v>304</v>
      </c>
      <c r="J42" s="82"/>
      <c r="K42" s="217"/>
    </row>
    <row r="43" spans="1:11" x14ac:dyDescent="0.25">
      <c r="A43" s="91">
        <v>46140</v>
      </c>
      <c r="B43" s="227" t="s">
        <v>9</v>
      </c>
      <c r="C43" s="124" t="s">
        <v>300</v>
      </c>
      <c r="D43" s="82">
        <v>420</v>
      </c>
      <c r="E43" s="82"/>
      <c r="F43" s="82">
        <v>34.24</v>
      </c>
      <c r="G43" s="82"/>
      <c r="H43" s="123">
        <v>620423</v>
      </c>
      <c r="I43" s="90" t="s">
        <v>257</v>
      </c>
      <c r="J43" s="82"/>
      <c r="K43" s="217"/>
    </row>
    <row r="44" spans="1:11" x14ac:dyDescent="0.25">
      <c r="A44" s="91">
        <v>46140</v>
      </c>
      <c r="B44" s="82" t="s">
        <v>300</v>
      </c>
      <c r="C44" s="124" t="s">
        <v>229</v>
      </c>
      <c r="D44" s="82">
        <v>150</v>
      </c>
      <c r="E44" s="82"/>
      <c r="F44" s="82"/>
      <c r="G44" s="82"/>
      <c r="H44" s="83" t="s">
        <v>66</v>
      </c>
      <c r="I44" s="90"/>
      <c r="J44" s="82"/>
      <c r="K44" s="217"/>
    </row>
    <row r="45" spans="1:11" x14ac:dyDescent="0.25">
      <c r="A45" s="91">
        <v>46141</v>
      </c>
      <c r="B45" s="82" t="s">
        <v>229</v>
      </c>
      <c r="C45" s="124" t="s">
        <v>10</v>
      </c>
      <c r="D45" s="82">
        <v>10</v>
      </c>
      <c r="E45" s="82"/>
      <c r="F45" s="82"/>
      <c r="G45" s="82"/>
      <c r="H45" s="90">
        <v>1067612</v>
      </c>
      <c r="I45" s="90" t="s">
        <v>360</v>
      </c>
      <c r="J45" s="82"/>
      <c r="K45" s="217"/>
    </row>
    <row r="46" spans="1:11" x14ac:dyDescent="0.25">
      <c r="A46" s="91">
        <v>46141</v>
      </c>
      <c r="B46" s="82" t="s">
        <v>10</v>
      </c>
      <c r="C46" s="124" t="s">
        <v>229</v>
      </c>
      <c r="D46" s="82">
        <v>10</v>
      </c>
      <c r="E46" s="82"/>
      <c r="F46" s="82"/>
      <c r="G46" s="82"/>
      <c r="H46" s="128" t="s">
        <v>66</v>
      </c>
      <c r="I46" s="90"/>
      <c r="J46" s="82"/>
      <c r="K46" s="217"/>
    </row>
    <row r="47" spans="1:11" x14ac:dyDescent="0.25">
      <c r="A47" s="91">
        <v>46141</v>
      </c>
      <c r="B47" s="82" t="s">
        <v>229</v>
      </c>
      <c r="C47" s="124" t="s">
        <v>10</v>
      </c>
      <c r="D47" s="82">
        <v>10</v>
      </c>
      <c r="E47" s="82"/>
      <c r="F47" s="82"/>
      <c r="G47" s="82"/>
      <c r="H47" s="123">
        <v>1067646</v>
      </c>
      <c r="I47" s="90" t="s">
        <v>360</v>
      </c>
      <c r="J47" s="82"/>
      <c r="K47" s="217"/>
    </row>
    <row r="48" spans="1:11" x14ac:dyDescent="0.25">
      <c r="A48" s="91">
        <v>46141</v>
      </c>
      <c r="B48" s="82" t="s">
        <v>10</v>
      </c>
      <c r="C48" s="124" t="s">
        <v>229</v>
      </c>
      <c r="D48" s="82">
        <v>10</v>
      </c>
      <c r="E48" s="82"/>
      <c r="F48" s="82"/>
      <c r="G48" s="82"/>
      <c r="H48" s="128" t="s">
        <v>66</v>
      </c>
      <c r="I48" s="90"/>
      <c r="J48" s="82"/>
      <c r="K48" s="217"/>
    </row>
    <row r="49" spans="1:11" x14ac:dyDescent="0.25">
      <c r="A49" s="91">
        <v>46141</v>
      </c>
      <c r="B49" s="82" t="s">
        <v>229</v>
      </c>
      <c r="C49" s="82" t="s">
        <v>9</v>
      </c>
      <c r="D49" s="82">
        <v>500</v>
      </c>
      <c r="E49" s="82"/>
      <c r="F49" s="82">
        <v>34.21</v>
      </c>
      <c r="G49" s="82"/>
      <c r="H49" s="123">
        <v>1067677</v>
      </c>
      <c r="I49" s="90" t="s">
        <v>176</v>
      </c>
      <c r="J49" s="82"/>
      <c r="K49" s="217"/>
    </row>
    <row r="50" spans="1:11" x14ac:dyDescent="0.25">
      <c r="A50" s="91"/>
      <c r="B50" s="82"/>
      <c r="C50" s="82"/>
      <c r="D50" s="151" t="s">
        <v>446</v>
      </c>
      <c r="E50" s="82"/>
      <c r="F50" s="82"/>
      <c r="G50" s="82"/>
      <c r="H50" s="128"/>
      <c r="I50" s="90"/>
      <c r="J50" s="82"/>
      <c r="K50" s="217"/>
    </row>
    <row r="51" spans="1:11" x14ac:dyDescent="0.25">
      <c r="A51" s="5"/>
      <c r="B51" s="6"/>
      <c r="C51" s="6"/>
      <c r="D51" s="6"/>
      <c r="E51" s="6"/>
      <c r="F51" s="6"/>
      <c r="G51" s="6"/>
      <c r="H51" s="7"/>
      <c r="I51" s="6"/>
      <c r="J51" s="6"/>
      <c r="K51" s="218"/>
    </row>
    <row r="52" spans="1:11" x14ac:dyDescent="0.25">
      <c r="D52" s="8">
        <f>SUM(D3:D51)</f>
        <v>15200</v>
      </c>
      <c r="E52" s="13"/>
      <c r="F52" s="13">
        <f>AVERAGE(F3:F50)</f>
        <v>34.497333333333337</v>
      </c>
      <c r="G52" s="129"/>
      <c r="J52" s="3">
        <f>SUM(J3:J51)</f>
        <v>0</v>
      </c>
      <c r="K52" s="219">
        <f>SUM(K3:K51)</f>
        <v>2758994.63</v>
      </c>
    </row>
    <row r="53" spans="1:11" x14ac:dyDescent="0.25">
      <c r="F53" t="s">
        <v>273</v>
      </c>
    </row>
    <row r="54" spans="1:11" x14ac:dyDescent="0.25">
      <c r="B54">
        <v>-2131.06</v>
      </c>
    </row>
    <row r="55" spans="1:11" x14ac:dyDescent="0.25">
      <c r="B55">
        <v>200</v>
      </c>
      <c r="C55" t="s">
        <v>12</v>
      </c>
      <c r="D55" s="11">
        <v>43756</v>
      </c>
    </row>
    <row r="56" spans="1:11" x14ac:dyDescent="0.25">
      <c r="B56">
        <v>1500</v>
      </c>
      <c r="C56" t="s">
        <v>12</v>
      </c>
      <c r="D56" s="11">
        <v>43760</v>
      </c>
    </row>
    <row r="57" spans="1:11" x14ac:dyDescent="0.25">
      <c r="B57">
        <v>-1600</v>
      </c>
      <c r="C57" t="s">
        <v>71</v>
      </c>
      <c r="D57" s="11"/>
    </row>
    <row r="58" spans="1:11" x14ac:dyDescent="0.25">
      <c r="B58">
        <v>200</v>
      </c>
      <c r="C58" t="s">
        <v>12</v>
      </c>
      <c r="D58" s="11">
        <v>43763</v>
      </c>
    </row>
    <row r="59" spans="1:11" x14ac:dyDescent="0.25">
      <c r="B59">
        <v>-400</v>
      </c>
      <c r="C59" t="s">
        <v>71</v>
      </c>
      <c r="D59" s="11">
        <v>43763</v>
      </c>
    </row>
    <row r="60" spans="1:11" x14ac:dyDescent="0.25">
      <c r="B60">
        <v>1965</v>
      </c>
      <c r="C60" t="s">
        <v>12</v>
      </c>
      <c r="D60" s="11">
        <v>43768</v>
      </c>
    </row>
    <row r="61" spans="1:11" x14ac:dyDescent="0.25">
      <c r="B61">
        <v>-1800</v>
      </c>
      <c r="C61" t="s">
        <v>71</v>
      </c>
      <c r="D61" s="11"/>
    </row>
    <row r="62" spans="1:11" x14ac:dyDescent="0.25">
      <c r="B62">
        <v>2305</v>
      </c>
      <c r="C62" t="s">
        <v>12</v>
      </c>
      <c r="D62" s="11">
        <v>43775</v>
      </c>
    </row>
    <row r="63" spans="1:11" x14ac:dyDescent="0.25">
      <c r="B63">
        <v>-2500</v>
      </c>
      <c r="C63" t="s">
        <v>71</v>
      </c>
      <c r="D63" s="11"/>
    </row>
    <row r="64" spans="1:11" x14ac:dyDescent="0.25">
      <c r="B64">
        <v>700</v>
      </c>
      <c r="C64" t="s">
        <v>12</v>
      </c>
      <c r="D64" s="11">
        <v>43782</v>
      </c>
    </row>
    <row r="65" spans="2:4" x14ac:dyDescent="0.25">
      <c r="B65">
        <v>-700</v>
      </c>
      <c r="C65" t="s">
        <v>71</v>
      </c>
      <c r="D65" s="11">
        <v>43796</v>
      </c>
    </row>
    <row r="66" spans="2:4" x14ac:dyDescent="0.25">
      <c r="B66">
        <v>200</v>
      </c>
      <c r="C66" t="s">
        <v>12</v>
      </c>
      <c r="D66" s="11"/>
    </row>
    <row r="67" spans="2:4" x14ac:dyDescent="0.25">
      <c r="B67">
        <v>200</v>
      </c>
      <c r="C67" t="s">
        <v>12</v>
      </c>
      <c r="D67" s="11">
        <v>43797</v>
      </c>
    </row>
    <row r="68" spans="2:4" x14ac:dyDescent="0.25">
      <c r="B68">
        <v>200</v>
      </c>
      <c r="C68" t="s">
        <v>12</v>
      </c>
      <c r="D68" s="11">
        <v>43813</v>
      </c>
    </row>
    <row r="69" spans="2:4" x14ac:dyDescent="0.25">
      <c r="B69">
        <v>-600</v>
      </c>
      <c r="C69" t="s">
        <v>71</v>
      </c>
      <c r="D69" s="11"/>
    </row>
    <row r="70" spans="2:4" x14ac:dyDescent="0.25">
      <c r="B70">
        <v>200</v>
      </c>
      <c r="C70" t="s">
        <v>12</v>
      </c>
      <c r="D70" s="11"/>
    </row>
    <row r="71" spans="2:4" x14ac:dyDescent="0.25">
      <c r="B71">
        <v>500</v>
      </c>
      <c r="C71" t="s">
        <v>98</v>
      </c>
      <c r="D71" s="11">
        <v>43866</v>
      </c>
    </row>
    <row r="72" spans="2:4" x14ac:dyDescent="0.25">
      <c r="B72">
        <v>350</v>
      </c>
      <c r="C72" t="s">
        <v>12</v>
      </c>
      <c r="D72" s="11"/>
    </row>
    <row r="73" spans="2:4" x14ac:dyDescent="0.25">
      <c r="B73">
        <v>-1000</v>
      </c>
      <c r="C73" t="s">
        <v>71</v>
      </c>
      <c r="D73" s="11"/>
    </row>
    <row r="74" spans="2:4" x14ac:dyDescent="0.25">
      <c r="B74">
        <v>250</v>
      </c>
      <c r="C74" t="s">
        <v>94</v>
      </c>
      <c r="D74" s="11"/>
    </row>
    <row r="75" spans="2:4" x14ac:dyDescent="0.25">
      <c r="B75">
        <v>250</v>
      </c>
      <c r="C75" t="s">
        <v>94</v>
      </c>
      <c r="D75" s="11">
        <v>43893</v>
      </c>
    </row>
    <row r="76" spans="2:4" x14ac:dyDescent="0.25">
      <c r="B76">
        <v>250</v>
      </c>
      <c r="C76" t="s">
        <v>94</v>
      </c>
      <c r="D76" s="11">
        <v>43908</v>
      </c>
    </row>
    <row r="77" spans="2:4" x14ac:dyDescent="0.25">
      <c r="B77">
        <v>-600</v>
      </c>
      <c r="C77" t="s">
        <v>71</v>
      </c>
      <c r="D77" s="11"/>
    </row>
    <row r="78" spans="2:4" x14ac:dyDescent="0.25">
      <c r="B78">
        <v>200</v>
      </c>
      <c r="C78" t="s">
        <v>12</v>
      </c>
      <c r="D78" s="11"/>
    </row>
    <row r="79" spans="2:4" x14ac:dyDescent="0.25">
      <c r="B79">
        <v>-200</v>
      </c>
      <c r="C79" t="s">
        <v>71</v>
      </c>
      <c r="D79" s="11"/>
    </row>
    <row r="80" spans="2:4" x14ac:dyDescent="0.25">
      <c r="B80">
        <v>480</v>
      </c>
      <c r="C80" t="s">
        <v>12</v>
      </c>
      <c r="D80" s="11"/>
    </row>
    <row r="81" spans="2:4" x14ac:dyDescent="0.25">
      <c r="B81">
        <v>-500</v>
      </c>
      <c r="C81" t="s">
        <v>71</v>
      </c>
      <c r="D81" s="11"/>
    </row>
    <row r="82" spans="2:4" x14ac:dyDescent="0.25">
      <c r="B82">
        <v>2610</v>
      </c>
      <c r="C82" t="s">
        <v>12</v>
      </c>
      <c r="D82" s="11">
        <v>44212</v>
      </c>
    </row>
    <row r="83" spans="2:4" x14ac:dyDescent="0.25">
      <c r="B83">
        <v>-2600</v>
      </c>
      <c r="C83" t="s">
        <v>71</v>
      </c>
      <c r="D83" s="11"/>
    </row>
    <row r="84" spans="2:4" x14ac:dyDescent="0.25">
      <c r="B84">
        <v>300</v>
      </c>
      <c r="C84" t="s">
        <v>94</v>
      </c>
      <c r="D84" s="11"/>
    </row>
    <row r="85" spans="2:4" x14ac:dyDescent="0.25">
      <c r="B85">
        <v>-300</v>
      </c>
      <c r="C85" t="s">
        <v>71</v>
      </c>
      <c r="D85" s="11"/>
    </row>
    <row r="86" spans="2:4" x14ac:dyDescent="0.25">
      <c r="B86">
        <v>630</v>
      </c>
      <c r="C86" t="s">
        <v>12</v>
      </c>
      <c r="D86" s="11"/>
    </row>
    <row r="87" spans="2:4" x14ac:dyDescent="0.25">
      <c r="B87">
        <v>-630</v>
      </c>
      <c r="C87" t="s">
        <v>71</v>
      </c>
      <c r="D87" s="11"/>
    </row>
    <row r="88" spans="2:4" x14ac:dyDescent="0.25">
      <c r="B88">
        <v>300</v>
      </c>
      <c r="C88" t="s">
        <v>12</v>
      </c>
      <c r="D88" s="11"/>
    </row>
    <row r="89" spans="2:4" x14ac:dyDescent="0.25">
      <c r="B89">
        <v>-300</v>
      </c>
      <c r="C89" t="s">
        <v>71</v>
      </c>
      <c r="D89" s="11"/>
    </row>
    <row r="90" spans="2:4" x14ac:dyDescent="0.25">
      <c r="B90">
        <v>220</v>
      </c>
      <c r="C90" t="s">
        <v>12</v>
      </c>
      <c r="D90" s="11"/>
    </row>
    <row r="91" spans="2:4" x14ac:dyDescent="0.25">
      <c r="B91">
        <v>-200</v>
      </c>
      <c r="C91" t="s">
        <v>71</v>
      </c>
      <c r="D91" s="11"/>
    </row>
    <row r="92" spans="2:4" x14ac:dyDescent="0.25">
      <c r="B92">
        <v>620</v>
      </c>
      <c r="C92" t="s">
        <v>74</v>
      </c>
      <c r="D92" s="11"/>
    </row>
    <row r="93" spans="2:4" x14ac:dyDescent="0.25">
      <c r="B93">
        <v>-600</v>
      </c>
      <c r="C93" t="s">
        <v>71</v>
      </c>
      <c r="D93" s="11"/>
    </row>
    <row r="94" spans="2:4" x14ac:dyDescent="0.25">
      <c r="B94">
        <v>520</v>
      </c>
      <c r="C94" t="s">
        <v>12</v>
      </c>
      <c r="D94" s="11"/>
    </row>
    <row r="95" spans="2:4" x14ac:dyDescent="0.25">
      <c r="B95">
        <v>-500</v>
      </c>
      <c r="C95" t="s">
        <v>71</v>
      </c>
      <c r="D95" s="11"/>
    </row>
    <row r="96" spans="2:4" x14ac:dyDescent="0.25">
      <c r="B96">
        <v>600</v>
      </c>
      <c r="C96" t="s">
        <v>141</v>
      </c>
      <c r="D96" s="11">
        <v>44525</v>
      </c>
    </row>
    <row r="97" spans="2:4" x14ac:dyDescent="0.25">
      <c r="B97">
        <v>-600</v>
      </c>
      <c r="C97" t="s">
        <v>71</v>
      </c>
      <c r="D97" s="11">
        <v>44531</v>
      </c>
    </row>
    <row r="98" spans="2:4" x14ac:dyDescent="0.25">
      <c r="B98">
        <v>1100</v>
      </c>
      <c r="C98" t="s">
        <v>141</v>
      </c>
      <c r="D98" s="11">
        <v>44575</v>
      </c>
    </row>
    <row r="99" spans="2:4" x14ac:dyDescent="0.25">
      <c r="B99">
        <v>-1100</v>
      </c>
      <c r="C99" t="s">
        <v>183</v>
      </c>
      <c r="D99" s="11"/>
    </row>
    <row r="100" spans="2:4" x14ac:dyDescent="0.25">
      <c r="B100">
        <v>880</v>
      </c>
      <c r="C100" t="s">
        <v>12</v>
      </c>
      <c r="D100" s="11">
        <v>44579</v>
      </c>
    </row>
    <row r="101" spans="2:4" x14ac:dyDescent="0.25">
      <c r="B101">
        <v>-900</v>
      </c>
      <c r="C101" t="s">
        <v>71</v>
      </c>
      <c r="D101" s="11">
        <v>44579</v>
      </c>
    </row>
    <row r="102" spans="2:4" x14ac:dyDescent="0.25">
      <c r="B102">
        <v>1420</v>
      </c>
      <c r="C102" t="s">
        <v>12</v>
      </c>
      <c r="D102" s="11">
        <v>44583</v>
      </c>
    </row>
    <row r="103" spans="2:4" x14ac:dyDescent="0.25">
      <c r="B103">
        <v>-1420</v>
      </c>
      <c r="C103" t="s">
        <v>71</v>
      </c>
      <c r="D103" s="11">
        <v>44583</v>
      </c>
    </row>
    <row r="104" spans="2:4" x14ac:dyDescent="0.25">
      <c r="B104">
        <v>1600</v>
      </c>
      <c r="C104" t="s">
        <v>12</v>
      </c>
      <c r="D104" s="11">
        <v>44590</v>
      </c>
    </row>
    <row r="105" spans="2:4" x14ac:dyDescent="0.25">
      <c r="B105">
        <v>-1600</v>
      </c>
      <c r="C105" t="s">
        <v>71</v>
      </c>
      <c r="D105" s="11">
        <v>44590</v>
      </c>
    </row>
    <row r="106" spans="2:4" x14ac:dyDescent="0.25">
      <c r="B106">
        <v>420</v>
      </c>
      <c r="C106" t="s">
        <v>12</v>
      </c>
      <c r="D106" s="11">
        <v>44600</v>
      </c>
    </row>
    <row r="107" spans="2:4" x14ac:dyDescent="0.25">
      <c r="B107">
        <v>-400</v>
      </c>
      <c r="C107" t="s">
        <v>71</v>
      </c>
      <c r="D107" s="11">
        <v>44600</v>
      </c>
    </row>
    <row r="108" spans="2:4" x14ac:dyDescent="0.25">
      <c r="B108">
        <v>640</v>
      </c>
      <c r="C108" t="s">
        <v>181</v>
      </c>
      <c r="D108" s="11">
        <v>44607</v>
      </c>
    </row>
    <row r="109" spans="2:4" x14ac:dyDescent="0.25">
      <c r="B109">
        <v>-700</v>
      </c>
      <c r="C109" t="s">
        <v>71</v>
      </c>
      <c r="D109" s="11"/>
    </row>
    <row r="110" spans="2:4" x14ac:dyDescent="0.25">
      <c r="B110">
        <v>420</v>
      </c>
      <c r="C110" t="s">
        <v>12</v>
      </c>
      <c r="D110" s="11">
        <v>44622</v>
      </c>
    </row>
    <row r="111" spans="2:4" x14ac:dyDescent="0.25">
      <c r="B111">
        <v>-400</v>
      </c>
      <c r="C111" t="s">
        <v>71</v>
      </c>
      <c r="D111" s="11">
        <v>44622</v>
      </c>
    </row>
    <row r="112" spans="2:4" x14ac:dyDescent="0.25">
      <c r="B112">
        <v>880</v>
      </c>
      <c r="C112" t="s">
        <v>138</v>
      </c>
      <c r="D112" s="11">
        <v>44686</v>
      </c>
    </row>
    <row r="113" spans="2:4" x14ac:dyDescent="0.25">
      <c r="B113">
        <v>-900</v>
      </c>
      <c r="C113" t="s">
        <v>71</v>
      </c>
      <c r="D113" s="11"/>
    </row>
    <row r="114" spans="2:4" x14ac:dyDescent="0.25">
      <c r="B114">
        <v>280</v>
      </c>
      <c r="C114" t="s">
        <v>138</v>
      </c>
      <c r="D114" s="11">
        <v>44720</v>
      </c>
    </row>
    <row r="115" spans="2:4" x14ac:dyDescent="0.25">
      <c r="B115">
        <v>-300</v>
      </c>
      <c r="C115" t="s">
        <v>71</v>
      </c>
      <c r="D115" s="11"/>
    </row>
    <row r="116" spans="2:4" x14ac:dyDescent="0.25">
      <c r="B116">
        <v>880</v>
      </c>
      <c r="C116" t="s">
        <v>74</v>
      </c>
      <c r="D116" s="11">
        <v>44722</v>
      </c>
    </row>
    <row r="117" spans="2:4" x14ac:dyDescent="0.25">
      <c r="B117">
        <v>-800</v>
      </c>
      <c r="C117" t="s">
        <v>71</v>
      </c>
      <c r="D117" s="11">
        <v>44722</v>
      </c>
    </row>
    <row r="118" spans="2:4" x14ac:dyDescent="0.25">
      <c r="B118">
        <v>880</v>
      </c>
      <c r="C118" t="s">
        <v>12</v>
      </c>
      <c r="D118" s="11">
        <v>44726</v>
      </c>
    </row>
    <row r="119" spans="2:4" x14ac:dyDescent="0.25">
      <c r="B119">
        <v>-900</v>
      </c>
      <c r="C119" t="s">
        <v>71</v>
      </c>
      <c r="D119" s="11"/>
    </row>
    <row r="120" spans="2:4" x14ac:dyDescent="0.25">
      <c r="B120">
        <v>200</v>
      </c>
      <c r="C120" t="s">
        <v>12</v>
      </c>
      <c r="D120" s="11">
        <v>44729</v>
      </c>
    </row>
    <row r="121" spans="2:4" x14ac:dyDescent="0.25">
      <c r="B121">
        <v>-200</v>
      </c>
      <c r="C121" t="s">
        <v>71</v>
      </c>
      <c r="D121" s="11">
        <v>44729</v>
      </c>
    </row>
    <row r="122" spans="2:4" x14ac:dyDescent="0.25">
      <c r="B122">
        <v>360</v>
      </c>
      <c r="C122" t="s">
        <v>12</v>
      </c>
      <c r="D122" s="11">
        <v>44747</v>
      </c>
    </row>
    <row r="123" spans="2:4" x14ac:dyDescent="0.25">
      <c r="B123">
        <v>-400</v>
      </c>
      <c r="C123" t="s">
        <v>71</v>
      </c>
      <c r="D123" s="11">
        <v>44747</v>
      </c>
    </row>
    <row r="124" spans="2:4" x14ac:dyDescent="0.25">
      <c r="B124">
        <v>280</v>
      </c>
      <c r="C124" t="s">
        <v>74</v>
      </c>
      <c r="D124" s="11">
        <v>44758</v>
      </c>
    </row>
    <row r="125" spans="2:4" x14ac:dyDescent="0.25">
      <c r="B125">
        <v>1160</v>
      </c>
      <c r="C125" t="s">
        <v>74</v>
      </c>
      <c r="D125" s="11">
        <v>44811</v>
      </c>
    </row>
    <row r="126" spans="2:4" x14ac:dyDescent="0.25">
      <c r="B126">
        <v>-1400</v>
      </c>
      <c r="C126" t="s">
        <v>71</v>
      </c>
      <c r="D126" s="11">
        <v>44811</v>
      </c>
    </row>
    <row r="127" spans="2:4" x14ac:dyDescent="0.25">
      <c r="B127">
        <v>280</v>
      </c>
      <c r="C127" t="s">
        <v>12</v>
      </c>
      <c r="D127" s="11">
        <v>44828</v>
      </c>
    </row>
    <row r="128" spans="2:4" x14ac:dyDescent="0.25">
      <c r="B128">
        <v>-300</v>
      </c>
      <c r="C128" t="s">
        <v>71</v>
      </c>
      <c r="D128" s="11">
        <v>44828</v>
      </c>
    </row>
    <row r="129" spans="2:4" x14ac:dyDescent="0.25">
      <c r="B129">
        <v>1440</v>
      </c>
      <c r="C129" t="s">
        <v>12</v>
      </c>
      <c r="D129" s="11">
        <v>44855</v>
      </c>
    </row>
    <row r="130" spans="2:4" x14ac:dyDescent="0.25">
      <c r="B130">
        <v>-1400</v>
      </c>
      <c r="C130" t="s">
        <v>71</v>
      </c>
      <c r="D130" s="11"/>
    </row>
    <row r="131" spans="2:4" x14ac:dyDescent="0.25">
      <c r="B131">
        <v>400</v>
      </c>
      <c r="C131" t="s">
        <v>138</v>
      </c>
      <c r="D131" s="11">
        <v>44867</v>
      </c>
    </row>
    <row r="132" spans="2:4" x14ac:dyDescent="0.25">
      <c r="B132">
        <v>1280</v>
      </c>
      <c r="C132" t="s">
        <v>12</v>
      </c>
      <c r="D132" s="11">
        <v>44869</v>
      </c>
    </row>
    <row r="133" spans="2:4" x14ac:dyDescent="0.25">
      <c r="B133">
        <v>-1700</v>
      </c>
      <c r="C133" t="s">
        <v>71</v>
      </c>
      <c r="D133" s="11">
        <v>44869</v>
      </c>
    </row>
    <row r="134" spans="2:4" x14ac:dyDescent="0.25">
      <c r="B134">
        <v>800</v>
      </c>
      <c r="C134" t="s">
        <v>12</v>
      </c>
      <c r="D134" s="11">
        <v>44912</v>
      </c>
    </row>
    <row r="135" spans="2:4" x14ac:dyDescent="0.25">
      <c r="B135">
        <v>400</v>
      </c>
      <c r="C135" t="s">
        <v>12</v>
      </c>
      <c r="D135" s="11">
        <v>44932</v>
      </c>
    </row>
    <row r="136" spans="2:4" x14ac:dyDescent="0.25">
      <c r="B136">
        <v>-400</v>
      </c>
      <c r="C136" t="s">
        <v>71</v>
      </c>
      <c r="D136" s="11"/>
    </row>
    <row r="137" spans="2:4" x14ac:dyDescent="0.25">
      <c r="B137">
        <v>400</v>
      </c>
      <c r="C137" t="s">
        <v>74</v>
      </c>
      <c r="D137" s="11"/>
    </row>
    <row r="138" spans="2:4" x14ac:dyDescent="0.25">
      <c r="B138">
        <v>-400</v>
      </c>
      <c r="C138" t="s">
        <v>71</v>
      </c>
      <c r="D138" s="11"/>
    </row>
    <row r="139" spans="2:4" x14ac:dyDescent="0.25">
      <c r="B139">
        <v>800</v>
      </c>
      <c r="C139" t="s">
        <v>12</v>
      </c>
      <c r="D139" s="11">
        <v>44972</v>
      </c>
    </row>
    <row r="140" spans="2:4" x14ac:dyDescent="0.25">
      <c r="B140">
        <v>-1600</v>
      </c>
      <c r="C140" t="s">
        <v>71</v>
      </c>
      <c r="D140" s="11"/>
    </row>
    <row r="141" spans="2:4" x14ac:dyDescent="0.25">
      <c r="B141">
        <v>400</v>
      </c>
      <c r="C141" t="s">
        <v>12</v>
      </c>
      <c r="D141" s="11">
        <v>44984</v>
      </c>
    </row>
    <row r="142" spans="2:4" x14ac:dyDescent="0.25">
      <c r="B142">
        <v>-400</v>
      </c>
      <c r="C142" t="s">
        <v>71</v>
      </c>
      <c r="D142" s="11">
        <v>44984</v>
      </c>
    </row>
    <row r="143" spans="2:4" x14ac:dyDescent="0.25">
      <c r="B143">
        <v>400</v>
      </c>
      <c r="C143" t="s">
        <v>12</v>
      </c>
      <c r="D143" s="11">
        <v>44996</v>
      </c>
    </row>
    <row r="144" spans="2:4" x14ac:dyDescent="0.25">
      <c r="B144">
        <v>-400</v>
      </c>
      <c r="C144" t="s">
        <v>71</v>
      </c>
      <c r="D144" s="11">
        <v>44996</v>
      </c>
    </row>
    <row r="145" spans="2:4" x14ac:dyDescent="0.25">
      <c r="B145">
        <v>800</v>
      </c>
      <c r="C145" t="s">
        <v>12</v>
      </c>
      <c r="D145" s="11">
        <v>44999</v>
      </c>
    </row>
    <row r="146" spans="2:4" x14ac:dyDescent="0.25">
      <c r="B146">
        <v>-800</v>
      </c>
      <c r="C146" t="s">
        <v>71</v>
      </c>
      <c r="D146" s="11"/>
    </row>
    <row r="147" spans="2:4" x14ac:dyDescent="0.25">
      <c r="B147">
        <v>800</v>
      </c>
      <c r="C147" t="s">
        <v>12</v>
      </c>
      <c r="D147" s="11">
        <v>45013</v>
      </c>
    </row>
    <row r="148" spans="2:4" x14ac:dyDescent="0.25">
      <c r="B148">
        <v>-800</v>
      </c>
      <c r="C148" t="s">
        <v>71</v>
      </c>
      <c r="D148" s="11"/>
    </row>
    <row r="149" spans="2:4" x14ac:dyDescent="0.25">
      <c r="B149">
        <v>800</v>
      </c>
      <c r="C149" t="s">
        <v>12</v>
      </c>
      <c r="D149" s="11"/>
    </row>
    <row r="150" spans="2:4" x14ac:dyDescent="0.25">
      <c r="B150">
        <v>-800</v>
      </c>
      <c r="C150" t="s">
        <v>71</v>
      </c>
      <c r="D150" s="11">
        <v>45021</v>
      </c>
    </row>
    <row r="151" spans="2:4" x14ac:dyDescent="0.25">
      <c r="B151">
        <v>2400</v>
      </c>
      <c r="C151" t="s">
        <v>12</v>
      </c>
      <c r="D151" s="11"/>
    </row>
    <row r="152" spans="2:4" x14ac:dyDescent="0.25">
      <c r="B152">
        <v>-2400</v>
      </c>
      <c r="C152" t="s">
        <v>12</v>
      </c>
      <c r="D152" s="11"/>
    </row>
    <row r="153" spans="2:4" x14ac:dyDescent="0.25">
      <c r="B153">
        <v>800</v>
      </c>
      <c r="C153" t="s">
        <v>12</v>
      </c>
      <c r="D153" s="11">
        <v>45049</v>
      </c>
    </row>
    <row r="154" spans="2:4" x14ac:dyDescent="0.25">
      <c r="B154">
        <v>-800</v>
      </c>
      <c r="C154" t="s">
        <v>233</v>
      </c>
      <c r="D154" s="11">
        <v>45049</v>
      </c>
    </row>
    <row r="155" spans="2:4" x14ac:dyDescent="0.25">
      <c r="B155">
        <v>1200</v>
      </c>
      <c r="C155" t="s">
        <v>12</v>
      </c>
      <c r="D155" s="11">
        <v>45052</v>
      </c>
    </row>
    <row r="156" spans="2:4" x14ac:dyDescent="0.25">
      <c r="B156">
        <v>-1200</v>
      </c>
      <c r="C156" t="s">
        <v>71</v>
      </c>
      <c r="D156" s="11">
        <v>45052</v>
      </c>
    </row>
    <row r="157" spans="2:4" x14ac:dyDescent="0.25">
      <c r="B157">
        <v>1200</v>
      </c>
      <c r="C157" t="s">
        <v>12</v>
      </c>
      <c r="D157" s="11">
        <v>45061</v>
      </c>
    </row>
    <row r="158" spans="2:4" x14ac:dyDescent="0.25">
      <c r="B158">
        <v>-1200</v>
      </c>
      <c r="C158" t="s">
        <v>71</v>
      </c>
      <c r="D158" s="11"/>
    </row>
    <row r="159" spans="2:4" x14ac:dyDescent="0.25">
      <c r="B159">
        <v>1600</v>
      </c>
      <c r="C159" t="s">
        <v>12</v>
      </c>
      <c r="D159" s="239" t="s">
        <v>236</v>
      </c>
    </row>
    <row r="160" spans="2:4" x14ac:dyDescent="0.25">
      <c r="B160">
        <v>2400</v>
      </c>
      <c r="C160" t="s">
        <v>12</v>
      </c>
      <c r="D160" s="11">
        <v>45184</v>
      </c>
    </row>
    <row r="161" spans="2:4 16384:16384" x14ac:dyDescent="0.25">
      <c r="B161">
        <v>-2400</v>
      </c>
      <c r="C161" t="s">
        <v>71</v>
      </c>
      <c r="D161" s="11"/>
    </row>
    <row r="162" spans="2:4 16384:16384" x14ac:dyDescent="0.25">
      <c r="B162">
        <v>800</v>
      </c>
      <c r="C162" t="s">
        <v>12</v>
      </c>
      <c r="D162" s="11">
        <v>45247</v>
      </c>
      <c r="XFD162">
        <f>SUM(A162:XFC162)</f>
        <v>46047</v>
      </c>
    </row>
    <row r="163" spans="2:4 16384:16384" x14ac:dyDescent="0.25">
      <c r="B163">
        <v>-800</v>
      </c>
      <c r="C163" t="s">
        <v>71</v>
      </c>
      <c r="D163" s="11"/>
    </row>
    <row r="164" spans="2:4 16384:16384" x14ac:dyDescent="0.25">
      <c r="B164">
        <v>2400</v>
      </c>
      <c r="C164" t="s">
        <v>12</v>
      </c>
      <c r="D164" s="11">
        <v>45272</v>
      </c>
    </row>
    <row r="165" spans="2:4 16384:16384" x14ac:dyDescent="0.25">
      <c r="B165">
        <v>-2400</v>
      </c>
      <c r="C165" t="s">
        <v>71</v>
      </c>
      <c r="D165" s="11"/>
    </row>
    <row r="166" spans="2:4 16384:16384" x14ac:dyDescent="0.25">
      <c r="B166">
        <v>-10000</v>
      </c>
      <c r="C166" t="s">
        <v>74</v>
      </c>
      <c r="D166" s="11">
        <v>45409</v>
      </c>
    </row>
    <row r="167" spans="2:4 16384:16384" x14ac:dyDescent="0.25">
      <c r="B167">
        <v>3600</v>
      </c>
      <c r="C167" t="s">
        <v>12</v>
      </c>
      <c r="D167" s="11">
        <v>45413</v>
      </c>
    </row>
    <row r="168" spans="2:4 16384:16384" x14ac:dyDescent="0.25">
      <c r="B168">
        <v>-3600</v>
      </c>
      <c r="C168" t="s">
        <v>71</v>
      </c>
      <c r="D168" s="11">
        <v>45413</v>
      </c>
    </row>
    <row r="169" spans="2:4 16384:16384" x14ac:dyDescent="0.25">
      <c r="B169">
        <v>35100</v>
      </c>
      <c r="C169" t="s">
        <v>12</v>
      </c>
      <c r="D169" s="11">
        <v>45435</v>
      </c>
    </row>
    <row r="170" spans="2:4 16384:16384" x14ac:dyDescent="0.25">
      <c r="B170">
        <v>-35000</v>
      </c>
      <c r="C170" t="s">
        <v>71</v>
      </c>
      <c r="D170" s="11">
        <v>45435</v>
      </c>
    </row>
    <row r="171" spans="2:4 16384:16384" x14ac:dyDescent="0.25">
      <c r="B171">
        <v>-1000</v>
      </c>
      <c r="C171" t="s">
        <v>190</v>
      </c>
      <c r="D171" s="11">
        <v>45499</v>
      </c>
    </row>
    <row r="172" spans="2:4 16384:16384" x14ac:dyDescent="0.25">
      <c r="B172">
        <v>14000</v>
      </c>
      <c r="C172" t="s">
        <v>12</v>
      </c>
      <c r="D172" s="11">
        <v>45572</v>
      </c>
    </row>
    <row r="173" spans="2:4 16384:16384" x14ac:dyDescent="0.25">
      <c r="B173">
        <v>-14000</v>
      </c>
      <c r="C173" t="s">
        <v>71</v>
      </c>
      <c r="D173" s="11"/>
    </row>
    <row r="174" spans="2:4 16384:16384" x14ac:dyDescent="0.25">
      <c r="B174">
        <v>-1000</v>
      </c>
      <c r="C174" t="s">
        <v>175</v>
      </c>
      <c r="D174" s="11">
        <v>45831</v>
      </c>
    </row>
    <row r="175" spans="2:4 16384:16384" x14ac:dyDescent="0.25">
      <c r="B175">
        <v>2000</v>
      </c>
      <c r="C175" t="s">
        <v>138</v>
      </c>
      <c r="D175" s="11">
        <v>45918</v>
      </c>
    </row>
    <row r="176" spans="2:4 16384:16384" x14ac:dyDescent="0.25">
      <c r="B176">
        <v>-2000</v>
      </c>
      <c r="C176" t="s">
        <v>71</v>
      </c>
      <c r="D176" s="11"/>
    </row>
    <row r="177" spans="2:7" x14ac:dyDescent="0.25">
      <c r="B177" s="135">
        <f>SUM(B54:B176)</f>
        <v>-12331.059999999998</v>
      </c>
      <c r="C177" s="146">
        <v>45918</v>
      </c>
    </row>
    <row r="185" spans="2:7" x14ac:dyDescent="0.25">
      <c r="G185" t="s">
        <v>54</v>
      </c>
    </row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</sheetData>
  <pageMargins left="0.7" right="0.7" top="0.75" bottom="0.75" header="0.51180555555555496" footer="0.51180555555555496"/>
  <pageSetup paperSize="9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2"/>
  <sheetViews>
    <sheetView zoomScale="110" zoomScaleNormal="110" workbookViewId="0">
      <selection activeCell="B4" sqref="B4:H5"/>
    </sheetView>
  </sheetViews>
  <sheetFormatPr baseColWidth="10" defaultRowHeight="15" x14ac:dyDescent="0.25"/>
  <cols>
    <col min="1" max="1" width="10.7109375"/>
    <col min="2" max="2" width="12" customWidth="1"/>
    <col min="3" max="3" width="13.28515625" customWidth="1"/>
    <col min="4" max="4" width="10.7109375"/>
    <col min="6" max="6" width="10.7109375"/>
    <col min="7" max="7" width="12.7109375" bestFit="1" customWidth="1"/>
    <col min="8" max="8" width="12.85546875" bestFit="1" customWidth="1"/>
    <col min="9" max="9" width="13" customWidth="1"/>
    <col min="10" max="10" width="11.42578125" customWidth="1"/>
    <col min="11" max="11" width="14.7109375" bestFit="1" customWidth="1"/>
    <col min="12" max="1022" width="10.7109375"/>
  </cols>
  <sheetData>
    <row r="1" spans="1:11" x14ac:dyDescent="0.25">
      <c r="D1" s="14" t="s">
        <v>163</v>
      </c>
      <c r="E1" s="14"/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46142</v>
      </c>
      <c r="B3" s="236" t="s">
        <v>448</v>
      </c>
      <c r="C3" s="124" t="s">
        <v>9</v>
      </c>
      <c r="D3" s="82">
        <v>380</v>
      </c>
      <c r="E3" s="82"/>
      <c r="F3" s="82"/>
      <c r="G3" s="82"/>
      <c r="H3" s="83" t="s">
        <v>66</v>
      </c>
      <c r="I3" s="90"/>
      <c r="J3" s="138"/>
      <c r="K3" s="218"/>
    </row>
    <row r="4" spans="1:11" x14ac:dyDescent="0.25">
      <c r="A4" s="91">
        <v>46146</v>
      </c>
      <c r="B4" s="227" t="s">
        <v>9</v>
      </c>
      <c r="C4" s="82" t="s">
        <v>104</v>
      </c>
      <c r="D4" s="82">
        <v>320</v>
      </c>
      <c r="E4" s="82"/>
      <c r="F4" s="82">
        <v>34.56</v>
      </c>
      <c r="G4" s="82"/>
      <c r="H4" s="123">
        <v>769524</v>
      </c>
      <c r="I4" s="90"/>
      <c r="J4" s="138"/>
      <c r="K4" s="218"/>
    </row>
    <row r="5" spans="1:11" x14ac:dyDescent="0.25">
      <c r="A5" s="91">
        <v>46147</v>
      </c>
      <c r="B5" s="227" t="s">
        <v>104</v>
      </c>
      <c r="C5" s="82" t="s">
        <v>9</v>
      </c>
      <c r="D5" s="82">
        <v>320</v>
      </c>
      <c r="E5" s="82"/>
      <c r="F5" s="82"/>
      <c r="G5" s="82"/>
      <c r="H5" s="128" t="s">
        <v>66</v>
      </c>
      <c r="I5" s="90"/>
      <c r="J5" s="138"/>
      <c r="K5" s="218"/>
    </row>
    <row r="6" spans="1:11" x14ac:dyDescent="0.25">
      <c r="A6" s="91">
        <v>46147</v>
      </c>
      <c r="B6" s="236" t="s">
        <v>9</v>
      </c>
      <c r="C6" s="124" t="s">
        <v>234</v>
      </c>
      <c r="D6" s="82">
        <v>40</v>
      </c>
      <c r="E6" s="82"/>
      <c r="F6" s="82">
        <v>34.76</v>
      </c>
      <c r="G6" s="82"/>
      <c r="H6" s="123">
        <v>769718</v>
      </c>
      <c r="I6" s="90"/>
      <c r="J6" s="138"/>
      <c r="K6" s="218"/>
    </row>
    <row r="7" spans="1:11" x14ac:dyDescent="0.25">
      <c r="A7" s="91">
        <v>46148</v>
      </c>
      <c r="B7" s="236" t="s">
        <v>234</v>
      </c>
      <c r="C7" s="124" t="s">
        <v>9</v>
      </c>
      <c r="D7" s="82">
        <v>40</v>
      </c>
      <c r="E7" s="82"/>
      <c r="F7" s="82"/>
      <c r="G7" s="82"/>
      <c r="H7" s="128" t="s">
        <v>66</v>
      </c>
      <c r="I7" s="90"/>
      <c r="J7" s="138"/>
      <c r="K7" s="218"/>
    </row>
    <row r="8" spans="1:11" x14ac:dyDescent="0.25">
      <c r="A8" s="91">
        <v>46148</v>
      </c>
      <c r="B8" s="236" t="s">
        <v>9</v>
      </c>
      <c r="C8" s="124" t="s">
        <v>251</v>
      </c>
      <c r="D8" s="82">
        <v>360</v>
      </c>
      <c r="E8" s="82"/>
      <c r="F8" s="82">
        <v>35.020000000000003</v>
      </c>
      <c r="G8" s="82"/>
      <c r="H8" s="90">
        <v>769876</v>
      </c>
      <c r="I8" s="90"/>
      <c r="J8" s="138"/>
      <c r="K8" s="218"/>
    </row>
    <row r="9" spans="1:11" x14ac:dyDescent="0.25">
      <c r="A9" s="91">
        <v>46149</v>
      </c>
      <c r="B9" s="82" t="s">
        <v>251</v>
      </c>
      <c r="C9" s="124" t="s">
        <v>220</v>
      </c>
      <c r="D9" s="82">
        <v>70</v>
      </c>
      <c r="E9" s="82"/>
      <c r="F9" s="82"/>
      <c r="G9" s="82"/>
      <c r="H9" s="83" t="s">
        <v>66</v>
      </c>
      <c r="I9" s="90"/>
      <c r="J9" s="138"/>
      <c r="K9" s="218"/>
    </row>
    <row r="10" spans="1:11" x14ac:dyDescent="0.25">
      <c r="A10" s="91">
        <v>46149</v>
      </c>
      <c r="B10" s="236" t="s">
        <v>220</v>
      </c>
      <c r="C10" s="124" t="s">
        <v>10</v>
      </c>
      <c r="D10" s="82">
        <v>300</v>
      </c>
      <c r="E10" s="82"/>
      <c r="F10" s="82"/>
      <c r="G10" s="82"/>
      <c r="H10" s="90">
        <v>899959</v>
      </c>
      <c r="I10" s="90"/>
      <c r="J10" s="138"/>
      <c r="K10" s="218"/>
    </row>
    <row r="11" spans="1:11" x14ac:dyDescent="0.25">
      <c r="A11" s="91">
        <v>46150</v>
      </c>
      <c r="B11" s="236" t="s">
        <v>10</v>
      </c>
      <c r="C11" s="124" t="s">
        <v>251</v>
      </c>
      <c r="D11" s="82">
        <v>240</v>
      </c>
      <c r="E11" s="82"/>
      <c r="F11" s="82">
        <v>33.18</v>
      </c>
      <c r="G11" s="82"/>
      <c r="H11" s="90">
        <v>279964</v>
      </c>
      <c r="I11" s="90" t="s">
        <v>176</v>
      </c>
      <c r="J11" s="138"/>
      <c r="K11" s="218"/>
    </row>
    <row r="12" spans="1:11" x14ac:dyDescent="0.25">
      <c r="A12" s="91">
        <v>46150</v>
      </c>
      <c r="B12" s="82" t="s">
        <v>251</v>
      </c>
      <c r="C12" s="124" t="s">
        <v>220</v>
      </c>
      <c r="D12" s="82">
        <v>70</v>
      </c>
      <c r="E12" s="82"/>
      <c r="F12" s="82"/>
      <c r="G12" s="82"/>
      <c r="H12" s="83" t="s">
        <v>66</v>
      </c>
      <c r="I12" s="90"/>
      <c r="J12" s="138"/>
      <c r="K12" s="218"/>
    </row>
    <row r="13" spans="1:11" x14ac:dyDescent="0.25">
      <c r="A13" s="91">
        <v>46150</v>
      </c>
      <c r="B13" s="82" t="s">
        <v>220</v>
      </c>
      <c r="C13" s="124" t="s">
        <v>300</v>
      </c>
      <c r="D13" s="82">
        <v>125</v>
      </c>
      <c r="E13" s="82"/>
      <c r="F13" s="82">
        <v>35.18</v>
      </c>
      <c r="G13" s="82"/>
      <c r="H13" s="90">
        <v>900184</v>
      </c>
      <c r="I13" s="90"/>
      <c r="J13" s="138"/>
      <c r="K13" s="218"/>
    </row>
    <row r="14" spans="1:11" x14ac:dyDescent="0.25">
      <c r="A14" s="91">
        <v>46151</v>
      </c>
      <c r="B14" s="82" t="s">
        <v>300</v>
      </c>
      <c r="C14" s="124" t="s">
        <v>10</v>
      </c>
      <c r="D14" s="82">
        <v>150</v>
      </c>
      <c r="E14" s="82"/>
      <c r="F14" s="82"/>
      <c r="G14" s="82"/>
      <c r="H14" s="83" t="s">
        <v>66</v>
      </c>
      <c r="I14" s="90"/>
      <c r="J14" s="138"/>
      <c r="K14" s="218"/>
    </row>
    <row r="15" spans="1:11" x14ac:dyDescent="0.25">
      <c r="A15" s="91">
        <v>46151</v>
      </c>
      <c r="B15" s="236" t="s">
        <v>10</v>
      </c>
      <c r="C15" s="124" t="s">
        <v>220</v>
      </c>
      <c r="D15" s="82">
        <v>300</v>
      </c>
      <c r="E15" s="82"/>
      <c r="F15" s="82"/>
      <c r="G15" s="82"/>
      <c r="H15" s="90">
        <v>280116</v>
      </c>
      <c r="I15" s="90" t="s">
        <v>176</v>
      </c>
      <c r="J15" s="138"/>
      <c r="K15" s="218"/>
    </row>
    <row r="16" spans="1:11" x14ac:dyDescent="0.25">
      <c r="A16" s="91">
        <v>46152</v>
      </c>
      <c r="B16" s="236" t="s">
        <v>220</v>
      </c>
      <c r="C16" s="124" t="s">
        <v>9</v>
      </c>
      <c r="D16" s="82">
        <v>300</v>
      </c>
      <c r="E16" s="82"/>
      <c r="F16" s="82"/>
      <c r="G16" s="82"/>
      <c r="H16" s="128" t="s">
        <v>66</v>
      </c>
      <c r="I16" s="90"/>
      <c r="J16" s="138"/>
      <c r="K16" s="218"/>
    </row>
    <row r="17" spans="1:11" x14ac:dyDescent="0.25">
      <c r="A17" s="91">
        <v>46153</v>
      </c>
      <c r="B17" s="82" t="s">
        <v>9</v>
      </c>
      <c r="C17" s="124" t="s">
        <v>262</v>
      </c>
      <c r="D17" s="82">
        <v>430</v>
      </c>
      <c r="E17" s="82"/>
      <c r="F17" s="82">
        <v>35.020000000000003</v>
      </c>
      <c r="G17" s="82"/>
      <c r="H17" s="90">
        <v>771155</v>
      </c>
      <c r="I17" s="90"/>
      <c r="J17" s="138"/>
      <c r="K17" s="218"/>
    </row>
    <row r="18" spans="1:11" x14ac:dyDescent="0.25">
      <c r="A18" s="91">
        <v>46154</v>
      </c>
      <c r="B18" s="236" t="s">
        <v>272</v>
      </c>
      <c r="C18" s="124" t="s">
        <v>220</v>
      </c>
      <c r="D18" s="82">
        <v>140</v>
      </c>
      <c r="E18" s="82"/>
      <c r="F18" s="82"/>
      <c r="G18" s="82"/>
      <c r="H18" s="83" t="s">
        <v>66</v>
      </c>
      <c r="I18" s="90"/>
      <c r="J18" s="138"/>
      <c r="K18" s="218"/>
    </row>
    <row r="19" spans="1:11" x14ac:dyDescent="0.25">
      <c r="A19" s="91">
        <v>46154</v>
      </c>
      <c r="B19" s="236" t="s">
        <v>220</v>
      </c>
      <c r="C19" s="124" t="s">
        <v>274</v>
      </c>
      <c r="D19" s="82">
        <v>340</v>
      </c>
      <c r="E19" s="82"/>
      <c r="F19" s="82">
        <v>34.75</v>
      </c>
      <c r="G19" s="82"/>
      <c r="H19" s="90">
        <v>900750</v>
      </c>
      <c r="I19" s="90"/>
      <c r="J19" s="138"/>
      <c r="K19" s="218"/>
    </row>
    <row r="20" spans="1:11" x14ac:dyDescent="0.25">
      <c r="A20" s="91">
        <v>46155</v>
      </c>
      <c r="B20" s="236" t="s">
        <v>274</v>
      </c>
      <c r="C20" s="124" t="s">
        <v>10</v>
      </c>
      <c r="D20" s="82">
        <v>80</v>
      </c>
      <c r="E20" s="82"/>
      <c r="F20" s="82"/>
      <c r="G20" s="82"/>
      <c r="H20" s="83" t="s">
        <v>66</v>
      </c>
      <c r="I20" s="90"/>
      <c r="J20" s="138"/>
      <c r="K20" s="218"/>
    </row>
    <row r="21" spans="1:11" x14ac:dyDescent="0.25">
      <c r="A21" s="91">
        <v>46155</v>
      </c>
      <c r="B21" s="236" t="s">
        <v>10</v>
      </c>
      <c r="C21" s="124" t="s">
        <v>220</v>
      </c>
      <c r="D21" s="82">
        <v>300</v>
      </c>
      <c r="E21" s="82"/>
      <c r="F21" s="82"/>
      <c r="G21" s="82"/>
      <c r="H21" s="90">
        <v>280329</v>
      </c>
      <c r="I21" s="90" t="s">
        <v>176</v>
      </c>
      <c r="J21" s="138"/>
      <c r="K21" s="218"/>
    </row>
    <row r="22" spans="1:11" x14ac:dyDescent="0.25">
      <c r="A22" s="91">
        <v>46156</v>
      </c>
      <c r="B22" s="236" t="s">
        <v>220</v>
      </c>
      <c r="C22" s="124" t="s">
        <v>9</v>
      </c>
      <c r="D22" s="82">
        <v>300</v>
      </c>
      <c r="E22" s="82"/>
      <c r="F22" s="82"/>
      <c r="G22" s="82"/>
      <c r="H22" s="128" t="s">
        <v>66</v>
      </c>
      <c r="I22" s="90"/>
      <c r="J22" s="138"/>
      <c r="K22" s="218"/>
    </row>
    <row r="23" spans="1:11" x14ac:dyDescent="0.25">
      <c r="A23" s="91">
        <v>46156</v>
      </c>
      <c r="B23" s="82" t="s">
        <v>9</v>
      </c>
      <c r="C23" s="124" t="s">
        <v>262</v>
      </c>
      <c r="D23" s="82">
        <v>430</v>
      </c>
      <c r="E23" s="82"/>
      <c r="F23" s="82">
        <v>35.04</v>
      </c>
      <c r="G23" s="82"/>
      <c r="H23" s="90">
        <v>771956</v>
      </c>
      <c r="I23" s="90"/>
      <c r="J23" s="138"/>
      <c r="K23" s="218"/>
    </row>
    <row r="24" spans="1:11" x14ac:dyDescent="0.25">
      <c r="A24" s="91">
        <v>46157</v>
      </c>
      <c r="B24" s="82"/>
      <c r="C24" s="124"/>
      <c r="D24" s="82"/>
      <c r="E24" s="82"/>
      <c r="F24" s="82"/>
      <c r="G24" s="82"/>
      <c r="H24" s="83"/>
      <c r="I24" s="90"/>
      <c r="J24" s="138"/>
      <c r="K24" s="218"/>
    </row>
    <row r="25" spans="1:11" x14ac:dyDescent="0.25">
      <c r="A25" s="91"/>
      <c r="B25" s="236"/>
      <c r="C25" s="124"/>
      <c r="D25" s="82"/>
      <c r="E25" s="82"/>
      <c r="F25" s="82"/>
      <c r="G25" s="82"/>
      <c r="H25" s="83"/>
      <c r="I25" s="90"/>
      <c r="J25" s="138"/>
      <c r="K25" s="218"/>
    </row>
    <row r="26" spans="1:11" x14ac:dyDescent="0.25">
      <c r="A26" s="91"/>
      <c r="B26" s="236"/>
      <c r="C26" s="124"/>
      <c r="D26" s="82"/>
      <c r="E26" s="82"/>
      <c r="F26" s="82"/>
      <c r="G26" s="82"/>
      <c r="H26" s="83"/>
      <c r="I26" s="90"/>
      <c r="J26" s="138"/>
      <c r="K26" s="218"/>
    </row>
    <row r="27" spans="1:11" x14ac:dyDescent="0.25">
      <c r="A27" s="91"/>
      <c r="B27" s="236"/>
      <c r="C27" s="124"/>
      <c r="D27" s="82"/>
      <c r="E27" s="82"/>
      <c r="F27" s="82"/>
      <c r="G27" s="82"/>
      <c r="H27" s="83"/>
      <c r="I27" s="90"/>
      <c r="J27" s="138"/>
      <c r="K27" s="218"/>
    </row>
    <row r="28" spans="1:11" x14ac:dyDescent="0.25">
      <c r="A28" s="91"/>
      <c r="B28" s="236"/>
      <c r="C28" s="124"/>
      <c r="D28" s="82"/>
      <c r="E28" s="82"/>
      <c r="F28" s="82"/>
      <c r="G28" s="82"/>
      <c r="H28" s="83"/>
      <c r="I28" s="90"/>
      <c r="J28" s="138"/>
      <c r="K28" s="218"/>
    </row>
    <row r="29" spans="1:11" x14ac:dyDescent="0.25">
      <c r="A29" s="91"/>
      <c r="B29" s="236"/>
      <c r="C29" s="124"/>
      <c r="D29" s="82"/>
      <c r="E29" s="82"/>
      <c r="F29" s="82"/>
      <c r="G29" s="82"/>
      <c r="H29" s="83"/>
      <c r="I29" s="90"/>
      <c r="J29" s="138"/>
      <c r="K29" s="218"/>
    </row>
    <row r="30" spans="1:11" x14ac:dyDescent="0.25">
      <c r="A30" s="91"/>
      <c r="B30" s="236"/>
      <c r="C30" s="124"/>
      <c r="D30" s="82"/>
      <c r="E30" s="82"/>
      <c r="F30" s="82"/>
      <c r="G30" s="82"/>
      <c r="H30" s="83"/>
      <c r="I30" s="90"/>
      <c r="J30" s="138"/>
      <c r="K30" s="218"/>
    </row>
    <row r="31" spans="1:11" x14ac:dyDescent="0.25">
      <c r="A31" s="91"/>
      <c r="B31" s="236"/>
      <c r="C31" s="124"/>
      <c r="D31" s="82"/>
      <c r="E31" s="82"/>
      <c r="F31" s="82"/>
      <c r="G31" s="82"/>
      <c r="H31" s="83"/>
      <c r="I31" s="90"/>
      <c r="J31" s="138"/>
      <c r="K31" s="218"/>
    </row>
    <row r="32" spans="1:11" x14ac:dyDescent="0.25">
      <c r="A32" s="91">
        <v>46113</v>
      </c>
      <c r="B32" s="236" t="s">
        <v>9</v>
      </c>
      <c r="C32" s="124" t="s">
        <v>350</v>
      </c>
      <c r="D32" s="82">
        <v>230</v>
      </c>
      <c r="E32" s="82"/>
      <c r="F32" s="82">
        <v>34.96</v>
      </c>
      <c r="G32" s="82"/>
      <c r="H32" s="90">
        <v>764525</v>
      </c>
      <c r="I32" s="90"/>
      <c r="J32" s="138"/>
      <c r="K32" s="218">
        <v>1196752.1200000001</v>
      </c>
    </row>
    <row r="33" spans="1:11" x14ac:dyDescent="0.25">
      <c r="A33" s="91">
        <v>46118</v>
      </c>
      <c r="B33" s="82" t="s">
        <v>350</v>
      </c>
      <c r="C33" s="124" t="s">
        <v>376</v>
      </c>
      <c r="D33" s="82">
        <v>100</v>
      </c>
      <c r="E33" s="82"/>
      <c r="F33" s="82"/>
      <c r="G33" s="82"/>
      <c r="H33" s="83" t="s">
        <v>384</v>
      </c>
      <c r="I33" s="90"/>
      <c r="J33" s="138"/>
      <c r="K33" s="218"/>
    </row>
    <row r="34" spans="1:11" x14ac:dyDescent="0.25">
      <c r="A34" s="91">
        <v>46119</v>
      </c>
      <c r="B34" s="236" t="s">
        <v>383</v>
      </c>
      <c r="C34" s="124" t="s">
        <v>9</v>
      </c>
      <c r="D34" s="82">
        <v>170</v>
      </c>
      <c r="E34" s="82"/>
      <c r="F34" s="82"/>
      <c r="G34" s="82"/>
      <c r="H34" s="83" t="s">
        <v>66</v>
      </c>
      <c r="I34" s="90"/>
      <c r="J34" s="138"/>
      <c r="K34" s="218"/>
    </row>
    <row r="35" spans="1:11" x14ac:dyDescent="0.25">
      <c r="A35" s="91">
        <v>46120</v>
      </c>
      <c r="B35" s="236" t="s">
        <v>9</v>
      </c>
      <c r="C35" s="124" t="s">
        <v>234</v>
      </c>
      <c r="D35" s="82">
        <v>40</v>
      </c>
      <c r="E35" s="82"/>
      <c r="F35" s="82">
        <v>35.28</v>
      </c>
      <c r="G35" s="82"/>
      <c r="H35" s="123">
        <v>765177</v>
      </c>
      <c r="I35" s="90"/>
      <c r="J35" s="138"/>
      <c r="K35" s="218">
        <v>306705.96999999997</v>
      </c>
    </row>
    <row r="36" spans="1:11" x14ac:dyDescent="0.25">
      <c r="A36" s="91">
        <v>46120</v>
      </c>
      <c r="B36" s="236" t="s">
        <v>234</v>
      </c>
      <c r="C36" s="124" t="s">
        <v>9</v>
      </c>
      <c r="D36" s="82">
        <v>40</v>
      </c>
      <c r="E36" s="82"/>
      <c r="F36" s="82"/>
      <c r="G36" s="82"/>
      <c r="H36" s="128" t="s">
        <v>66</v>
      </c>
      <c r="I36" s="90"/>
      <c r="J36" s="138"/>
      <c r="K36" s="218"/>
    </row>
    <row r="37" spans="1:11" x14ac:dyDescent="0.25">
      <c r="A37" s="91">
        <v>46121</v>
      </c>
      <c r="B37" s="236" t="s">
        <v>9</v>
      </c>
      <c r="C37" s="124" t="s">
        <v>364</v>
      </c>
      <c r="D37" s="82">
        <v>440</v>
      </c>
      <c r="E37" s="82"/>
      <c r="F37" s="82">
        <v>34.68</v>
      </c>
      <c r="G37" s="82"/>
      <c r="H37" s="90">
        <v>765424</v>
      </c>
      <c r="I37" s="90"/>
      <c r="J37" s="138"/>
      <c r="K37" s="218"/>
    </row>
    <row r="38" spans="1:11" x14ac:dyDescent="0.25">
      <c r="A38" s="91">
        <v>46122</v>
      </c>
      <c r="B38" s="236" t="s">
        <v>364</v>
      </c>
      <c r="C38" s="124" t="s">
        <v>10</v>
      </c>
      <c r="D38" s="82">
        <v>140</v>
      </c>
      <c r="E38" s="82"/>
      <c r="F38" s="82"/>
      <c r="G38" s="82"/>
      <c r="H38" s="83" t="s">
        <v>66</v>
      </c>
      <c r="I38" s="90"/>
      <c r="J38" s="138"/>
      <c r="K38" s="218"/>
    </row>
    <row r="39" spans="1:11" x14ac:dyDescent="0.25">
      <c r="A39" s="91">
        <v>46122</v>
      </c>
      <c r="B39" s="236" t="s">
        <v>10</v>
      </c>
      <c r="C39" s="124" t="s">
        <v>220</v>
      </c>
      <c r="D39" s="82">
        <v>300</v>
      </c>
      <c r="E39" s="82"/>
      <c r="F39" s="82"/>
      <c r="G39" s="82"/>
      <c r="H39" s="90">
        <v>178847</v>
      </c>
      <c r="I39" s="90" t="s">
        <v>176</v>
      </c>
      <c r="J39" s="138"/>
      <c r="K39" s="218"/>
    </row>
    <row r="40" spans="1:11" x14ac:dyDescent="0.25">
      <c r="A40" s="91">
        <v>46123</v>
      </c>
      <c r="B40" s="236" t="s">
        <v>220</v>
      </c>
      <c r="C40" s="124" t="s">
        <v>9</v>
      </c>
      <c r="D40" s="82">
        <v>300</v>
      </c>
      <c r="E40" s="82"/>
      <c r="F40" s="82"/>
      <c r="G40" s="82"/>
      <c r="H40" s="128" t="s">
        <v>66</v>
      </c>
      <c r="I40" s="90"/>
      <c r="J40" s="138"/>
      <c r="K40" s="218"/>
    </row>
    <row r="41" spans="1:11" x14ac:dyDescent="0.25">
      <c r="A41" s="91">
        <v>46125</v>
      </c>
      <c r="B41" s="236" t="s">
        <v>9</v>
      </c>
      <c r="C41" s="124" t="s">
        <v>234</v>
      </c>
      <c r="D41" s="82">
        <v>25</v>
      </c>
      <c r="E41" s="82"/>
      <c r="F41" s="82">
        <v>34.979999999999997</v>
      </c>
      <c r="G41" s="82"/>
      <c r="H41" s="123">
        <v>766071</v>
      </c>
      <c r="I41" s="90"/>
      <c r="J41" s="138"/>
      <c r="K41" s="218"/>
    </row>
    <row r="42" spans="1:11" x14ac:dyDescent="0.25">
      <c r="A42" s="91">
        <v>46125</v>
      </c>
      <c r="B42" s="236" t="s">
        <v>234</v>
      </c>
      <c r="C42" s="124" t="s">
        <v>9</v>
      </c>
      <c r="D42" s="82">
        <v>25</v>
      </c>
      <c r="E42" s="82"/>
      <c r="F42" s="82"/>
      <c r="G42" s="82"/>
      <c r="H42" s="128" t="s">
        <v>66</v>
      </c>
      <c r="I42" s="90"/>
      <c r="J42" s="138"/>
      <c r="K42" s="218"/>
    </row>
    <row r="43" spans="1:11" x14ac:dyDescent="0.25">
      <c r="A43" s="91">
        <v>46125</v>
      </c>
      <c r="B43" s="236" t="s">
        <v>9</v>
      </c>
      <c r="C43" s="124" t="s">
        <v>335</v>
      </c>
      <c r="D43" s="82">
        <v>830</v>
      </c>
      <c r="E43" s="82"/>
      <c r="F43" s="82">
        <v>34.96</v>
      </c>
      <c r="G43" s="82"/>
      <c r="H43" s="90">
        <v>766166</v>
      </c>
      <c r="I43" s="90"/>
      <c r="J43" s="138"/>
      <c r="K43" s="218">
        <v>3323016.87</v>
      </c>
    </row>
    <row r="44" spans="1:11" x14ac:dyDescent="0.25">
      <c r="A44" s="91">
        <v>46126</v>
      </c>
      <c r="B44" s="236" t="s">
        <v>335</v>
      </c>
      <c r="C44" s="124" t="s">
        <v>9</v>
      </c>
      <c r="D44" s="82">
        <v>830</v>
      </c>
      <c r="E44" s="82"/>
      <c r="F44" s="82"/>
      <c r="G44" s="82"/>
      <c r="H44" s="83" t="s">
        <v>66</v>
      </c>
      <c r="I44" s="90"/>
      <c r="J44" s="138"/>
      <c r="K44" s="218"/>
    </row>
    <row r="45" spans="1:11" x14ac:dyDescent="0.25">
      <c r="A45" s="91">
        <v>46127</v>
      </c>
      <c r="B45" s="227" t="s">
        <v>9</v>
      </c>
      <c r="C45" s="82" t="s">
        <v>104</v>
      </c>
      <c r="D45" s="82">
        <v>320</v>
      </c>
      <c r="E45" s="82"/>
      <c r="F45" s="82">
        <v>35.24</v>
      </c>
      <c r="G45" s="82"/>
      <c r="H45" s="123">
        <v>766440</v>
      </c>
      <c r="I45" s="90"/>
      <c r="J45" s="138"/>
      <c r="K45" s="218"/>
    </row>
    <row r="46" spans="1:11" x14ac:dyDescent="0.25">
      <c r="A46" s="91">
        <v>46128</v>
      </c>
      <c r="B46" s="227" t="s">
        <v>104</v>
      </c>
      <c r="C46" s="82" t="s">
        <v>9</v>
      </c>
      <c r="D46" s="82">
        <v>320</v>
      </c>
      <c r="E46" s="82"/>
      <c r="F46" s="82"/>
      <c r="G46" s="82"/>
      <c r="H46" s="128" t="s">
        <v>66</v>
      </c>
      <c r="I46" s="90"/>
      <c r="J46" s="138"/>
      <c r="K46" s="218"/>
    </row>
    <row r="47" spans="1:11" x14ac:dyDescent="0.25">
      <c r="A47" s="91">
        <v>46128</v>
      </c>
      <c r="B47" s="227" t="s">
        <v>9</v>
      </c>
      <c r="C47" s="82" t="s">
        <v>104</v>
      </c>
      <c r="D47" s="82">
        <v>320</v>
      </c>
      <c r="E47" s="82"/>
      <c r="F47" s="82">
        <v>34.700000000000003</v>
      </c>
      <c r="G47" s="82"/>
      <c r="H47" s="123">
        <v>766670</v>
      </c>
      <c r="I47" s="90"/>
      <c r="J47" s="138"/>
      <c r="K47" s="218"/>
    </row>
    <row r="48" spans="1:11" x14ac:dyDescent="0.25">
      <c r="A48" s="91">
        <v>46129</v>
      </c>
      <c r="B48" s="227" t="s">
        <v>104</v>
      </c>
      <c r="C48" s="82" t="s">
        <v>9</v>
      </c>
      <c r="D48" s="82">
        <v>320</v>
      </c>
      <c r="E48" s="82"/>
      <c r="F48" s="82"/>
      <c r="G48" s="82"/>
      <c r="H48" s="128" t="s">
        <v>66</v>
      </c>
      <c r="I48" s="90"/>
      <c r="J48" s="138"/>
      <c r="K48" s="218"/>
    </row>
    <row r="49" spans="1:20" x14ac:dyDescent="0.25">
      <c r="A49" s="91">
        <v>46132</v>
      </c>
      <c r="B49" s="236" t="s">
        <v>9</v>
      </c>
      <c r="C49" s="124" t="s">
        <v>429</v>
      </c>
      <c r="D49" s="82">
        <v>150</v>
      </c>
      <c r="E49" s="82"/>
      <c r="F49" s="82">
        <v>35.04</v>
      </c>
      <c r="G49" s="82"/>
      <c r="H49" s="90">
        <v>767232</v>
      </c>
      <c r="I49" s="90"/>
      <c r="J49" s="138"/>
      <c r="K49" s="218"/>
    </row>
    <row r="50" spans="1:20" x14ac:dyDescent="0.25">
      <c r="A50" s="91">
        <v>46133</v>
      </c>
      <c r="B50" s="236" t="s">
        <v>429</v>
      </c>
      <c r="C50" s="124" t="s">
        <v>9</v>
      </c>
      <c r="D50" s="82">
        <v>150</v>
      </c>
      <c r="E50" s="82"/>
      <c r="F50" s="82"/>
      <c r="G50" s="82"/>
      <c r="H50" s="83" t="s">
        <v>66</v>
      </c>
      <c r="I50" s="90"/>
      <c r="J50" s="138"/>
      <c r="K50" s="218"/>
    </row>
    <row r="51" spans="1:20" x14ac:dyDescent="0.25">
      <c r="A51" s="91">
        <v>46135</v>
      </c>
      <c r="B51" s="236" t="s">
        <v>9</v>
      </c>
      <c r="C51" s="124" t="s">
        <v>313</v>
      </c>
      <c r="D51" s="82">
        <v>400</v>
      </c>
      <c r="E51" s="82"/>
      <c r="F51" s="82">
        <v>34.76</v>
      </c>
      <c r="G51" s="82"/>
      <c r="H51" s="90">
        <v>767730</v>
      </c>
      <c r="I51" s="90"/>
      <c r="J51" s="138"/>
      <c r="K51" s="218"/>
    </row>
    <row r="52" spans="1:20" x14ac:dyDescent="0.25">
      <c r="A52" s="91">
        <v>46136</v>
      </c>
      <c r="B52" s="236" t="s">
        <v>313</v>
      </c>
      <c r="C52" s="124" t="s">
        <v>9</v>
      </c>
      <c r="D52" s="82">
        <v>400</v>
      </c>
      <c r="E52" s="82"/>
      <c r="F52" s="82"/>
      <c r="G52" s="82"/>
      <c r="H52" s="83" t="s">
        <v>66</v>
      </c>
      <c r="I52" s="90"/>
      <c r="J52" s="138"/>
      <c r="K52" s="218"/>
    </row>
    <row r="53" spans="1:20" x14ac:dyDescent="0.25">
      <c r="A53" s="91">
        <v>46136</v>
      </c>
      <c r="B53" s="236" t="s">
        <v>9</v>
      </c>
      <c r="C53" s="124" t="s">
        <v>447</v>
      </c>
      <c r="D53" s="82">
        <v>430</v>
      </c>
      <c r="E53" s="82"/>
      <c r="F53" s="82">
        <v>34.72</v>
      </c>
      <c r="G53" s="82"/>
      <c r="H53" s="90">
        <v>767972</v>
      </c>
      <c r="I53" s="90"/>
      <c r="J53" s="138"/>
      <c r="K53" s="218"/>
    </row>
    <row r="54" spans="1:20" x14ac:dyDescent="0.25">
      <c r="A54" s="91">
        <v>46139</v>
      </c>
      <c r="B54" s="236" t="s">
        <v>447</v>
      </c>
      <c r="C54" s="124" t="s">
        <v>220</v>
      </c>
      <c r="D54" s="82">
        <v>120</v>
      </c>
      <c r="E54" s="82"/>
      <c r="F54" s="82"/>
      <c r="G54" s="82"/>
      <c r="H54" s="83" t="s">
        <v>66</v>
      </c>
      <c r="I54" s="90"/>
      <c r="J54" s="138"/>
      <c r="K54" s="218"/>
    </row>
    <row r="55" spans="1:20" x14ac:dyDescent="0.25">
      <c r="A55" s="91">
        <v>46140</v>
      </c>
      <c r="B55" s="236" t="s">
        <v>220</v>
      </c>
      <c r="C55" s="124" t="s">
        <v>448</v>
      </c>
      <c r="D55" s="82">
        <v>80</v>
      </c>
      <c r="E55" s="82"/>
      <c r="F55" s="82">
        <v>34.61</v>
      </c>
      <c r="G55" s="82"/>
      <c r="H55" s="90">
        <v>898280</v>
      </c>
      <c r="I55" s="90"/>
      <c r="J55" s="138"/>
      <c r="K55" s="218"/>
    </row>
    <row r="56" spans="1:20" x14ac:dyDescent="0.25">
      <c r="A56" s="91">
        <v>46140</v>
      </c>
      <c r="B56" s="236" t="s">
        <v>448</v>
      </c>
      <c r="C56" s="124" t="s">
        <v>220</v>
      </c>
      <c r="D56" s="82">
        <v>80</v>
      </c>
      <c r="E56" s="82"/>
      <c r="F56" s="82"/>
      <c r="G56" s="82"/>
      <c r="H56" s="83" t="s">
        <v>66</v>
      </c>
      <c r="I56" s="90"/>
      <c r="J56" s="138"/>
      <c r="K56" s="218"/>
    </row>
    <row r="57" spans="1:20" x14ac:dyDescent="0.25">
      <c r="A57" s="91">
        <v>46140</v>
      </c>
      <c r="B57" s="82" t="s">
        <v>220</v>
      </c>
      <c r="C57" s="124" t="s">
        <v>10</v>
      </c>
      <c r="D57" s="82">
        <v>300</v>
      </c>
      <c r="E57" s="82"/>
      <c r="F57" s="82"/>
      <c r="G57" s="82"/>
      <c r="H57" s="90">
        <v>898409</v>
      </c>
      <c r="I57" s="90"/>
      <c r="J57" s="138"/>
      <c r="K57" s="218"/>
    </row>
    <row r="58" spans="1:20" x14ac:dyDescent="0.25">
      <c r="A58" s="91">
        <v>46141</v>
      </c>
      <c r="B58" s="82" t="s">
        <v>10</v>
      </c>
      <c r="C58" s="124" t="s">
        <v>251</v>
      </c>
      <c r="D58" s="82">
        <v>240</v>
      </c>
      <c r="E58" s="82"/>
      <c r="F58" s="82">
        <v>35.32</v>
      </c>
      <c r="G58" s="82"/>
      <c r="H58" s="90">
        <v>279549</v>
      </c>
      <c r="I58" s="90"/>
      <c r="J58" s="138"/>
      <c r="K58" s="218"/>
    </row>
    <row r="59" spans="1:20" x14ac:dyDescent="0.25">
      <c r="A59" s="91">
        <v>46142</v>
      </c>
      <c r="B59" s="82" t="s">
        <v>251</v>
      </c>
      <c r="C59" s="124" t="s">
        <v>220</v>
      </c>
      <c r="D59" s="82">
        <v>70</v>
      </c>
      <c r="E59" s="82"/>
      <c r="F59" s="82"/>
      <c r="G59" s="82"/>
      <c r="H59" s="83" t="s">
        <v>66</v>
      </c>
      <c r="I59" s="90"/>
      <c r="J59" s="138"/>
      <c r="K59" s="218"/>
    </row>
    <row r="60" spans="1:20" x14ac:dyDescent="0.25">
      <c r="A60" s="91">
        <v>46142</v>
      </c>
      <c r="B60" s="236" t="s">
        <v>220</v>
      </c>
      <c r="C60" s="124" t="s">
        <v>448</v>
      </c>
      <c r="D60" s="82">
        <v>80</v>
      </c>
      <c r="E60" s="82"/>
      <c r="F60" s="82"/>
      <c r="G60" s="82"/>
      <c r="H60" s="90">
        <v>898804</v>
      </c>
      <c r="I60" s="90"/>
      <c r="J60" s="138"/>
      <c r="K60" s="218"/>
    </row>
    <row r="61" spans="1:20" x14ac:dyDescent="0.25">
      <c r="A61" s="91"/>
      <c r="B61" s="236"/>
      <c r="C61" s="124"/>
      <c r="D61" s="151" t="s">
        <v>449</v>
      </c>
      <c r="E61" s="82"/>
      <c r="F61" s="82"/>
      <c r="G61" s="82"/>
      <c r="H61" s="90"/>
      <c r="I61" s="90"/>
      <c r="J61" s="138"/>
      <c r="K61" s="218"/>
    </row>
    <row r="62" spans="1:20" x14ac:dyDescent="0.25">
      <c r="A62" s="5"/>
      <c r="B62" s="6"/>
      <c r="C62" s="6"/>
      <c r="D62" s="6"/>
      <c r="E62" s="6"/>
      <c r="F62" s="6"/>
      <c r="G62" s="6"/>
      <c r="H62" s="7"/>
      <c r="I62" s="7"/>
      <c r="J62" s="140">
        <f>SUM(J3:J61)</f>
        <v>0</v>
      </c>
      <c r="K62" s="218"/>
      <c r="N62" s="82" t="s">
        <v>230</v>
      </c>
      <c r="O62" s="82" t="s">
        <v>9</v>
      </c>
      <c r="P62" s="82">
        <v>2075</v>
      </c>
      <c r="Q62" s="82"/>
      <c r="R62" s="82"/>
      <c r="S62" s="82"/>
      <c r="T62" s="128" t="s">
        <v>66</v>
      </c>
    </row>
    <row r="63" spans="1:20" x14ac:dyDescent="0.25">
      <c r="D63" s="17">
        <f>SUM(D3:D62)</f>
        <v>12285</v>
      </c>
      <c r="E63" s="175"/>
      <c r="F63" s="13">
        <f>AVERAGE(F3:F61)</f>
        <v>34.838000000000008</v>
      </c>
      <c r="G63" s="13"/>
      <c r="J63" s="139"/>
      <c r="K63" s="219">
        <f>SUM(K3:K61)</f>
        <v>4826474.96</v>
      </c>
    </row>
    <row r="64" spans="1:20" x14ac:dyDescent="0.25">
      <c r="A64" s="18"/>
      <c r="B64" s="19"/>
      <c r="C64" s="20"/>
      <c r="D64" s="21"/>
      <c r="E64" s="21"/>
      <c r="J64" s="141"/>
      <c r="K64" s="16"/>
    </row>
    <row r="65" spans="1:11" x14ac:dyDescent="0.25">
      <c r="A65" s="18"/>
      <c r="B65" s="163">
        <v>-2189.98</v>
      </c>
      <c r="C65" s="20"/>
      <c r="D65" s="21"/>
      <c r="E65" s="21"/>
      <c r="K65" s="16"/>
    </row>
    <row r="66" spans="1:11" x14ac:dyDescent="0.25">
      <c r="A66" s="18"/>
      <c r="B66" s="164">
        <v>315</v>
      </c>
      <c r="C66" s="150" t="s">
        <v>12</v>
      </c>
      <c r="D66" s="99"/>
      <c r="E66" s="99"/>
      <c r="K66" s="16"/>
    </row>
    <row r="67" spans="1:11" x14ac:dyDescent="0.25">
      <c r="A67" s="18"/>
      <c r="B67" s="164">
        <v>400</v>
      </c>
      <c r="C67" s="150" t="s">
        <v>95</v>
      </c>
      <c r="D67" s="99">
        <v>44094</v>
      </c>
      <c r="E67" s="99"/>
      <c r="K67" s="16"/>
    </row>
    <row r="68" spans="1:11" x14ac:dyDescent="0.25">
      <c r="A68" s="18"/>
      <c r="B68" s="164">
        <v>490</v>
      </c>
      <c r="C68" s="150" t="s">
        <v>12</v>
      </c>
      <c r="D68" s="99">
        <v>44104</v>
      </c>
      <c r="E68" s="99"/>
      <c r="K68" s="16"/>
    </row>
    <row r="69" spans="1:11" x14ac:dyDescent="0.25">
      <c r="A69" s="18"/>
      <c r="B69" s="164">
        <v>-1100</v>
      </c>
      <c r="C69" s="150" t="s">
        <v>93</v>
      </c>
      <c r="D69" s="99">
        <v>44104</v>
      </c>
      <c r="E69" s="99"/>
      <c r="K69" s="16"/>
    </row>
    <row r="70" spans="1:11" x14ac:dyDescent="0.25">
      <c r="A70" s="18"/>
      <c r="B70" s="164">
        <v>315</v>
      </c>
      <c r="C70" s="150" t="s">
        <v>12</v>
      </c>
      <c r="D70" s="99">
        <v>44117</v>
      </c>
      <c r="E70" s="99"/>
      <c r="K70" s="16"/>
    </row>
    <row r="71" spans="1:11" x14ac:dyDescent="0.25">
      <c r="A71" s="18"/>
      <c r="B71" s="164">
        <v>620</v>
      </c>
      <c r="C71" s="150" t="s">
        <v>12</v>
      </c>
      <c r="D71" s="99">
        <v>44123</v>
      </c>
      <c r="E71" s="99"/>
      <c r="K71" s="16"/>
    </row>
    <row r="72" spans="1:11" x14ac:dyDescent="0.25">
      <c r="A72" s="18"/>
      <c r="B72" s="164">
        <v>315</v>
      </c>
      <c r="C72" s="150" t="s">
        <v>12</v>
      </c>
      <c r="D72" s="99">
        <v>44137</v>
      </c>
      <c r="E72" s="99"/>
      <c r="K72" s="16"/>
    </row>
    <row r="73" spans="1:11" x14ac:dyDescent="0.25">
      <c r="A73" s="18"/>
      <c r="B73" s="164">
        <v>-1200</v>
      </c>
      <c r="C73" s="150" t="s">
        <v>12</v>
      </c>
      <c r="D73" s="99">
        <v>44137</v>
      </c>
      <c r="E73" s="99"/>
      <c r="K73" s="16"/>
    </row>
    <row r="74" spans="1:11" x14ac:dyDescent="0.25">
      <c r="A74" s="18"/>
      <c r="B74" s="164">
        <v>290</v>
      </c>
      <c r="C74" s="150" t="s">
        <v>12</v>
      </c>
      <c r="D74" s="99"/>
      <c r="E74" s="99"/>
      <c r="K74" s="16"/>
    </row>
    <row r="75" spans="1:11" x14ac:dyDescent="0.25">
      <c r="A75" s="18"/>
      <c r="B75" s="164">
        <v>290</v>
      </c>
      <c r="C75" s="150" t="s">
        <v>12</v>
      </c>
      <c r="D75" s="99">
        <v>44182</v>
      </c>
      <c r="E75" s="99"/>
      <c r="K75" s="16"/>
    </row>
    <row r="76" spans="1:11" x14ac:dyDescent="0.25">
      <c r="A76" s="18"/>
      <c r="B76" s="164">
        <v>-600</v>
      </c>
      <c r="C76" s="150" t="s">
        <v>93</v>
      </c>
      <c r="D76" s="99"/>
      <c r="E76" s="99"/>
      <c r="K76" s="16"/>
    </row>
    <row r="77" spans="1:11" x14ac:dyDescent="0.25">
      <c r="A77" s="18"/>
      <c r="B77" s="164">
        <v>480</v>
      </c>
      <c r="C77" s="150" t="s">
        <v>12</v>
      </c>
      <c r="D77" s="99"/>
      <c r="E77" s="99"/>
      <c r="K77" s="16"/>
    </row>
    <row r="78" spans="1:11" x14ac:dyDescent="0.25">
      <c r="A78" s="18"/>
      <c r="B78" s="164">
        <v>-500</v>
      </c>
      <c r="C78" s="150" t="s">
        <v>13</v>
      </c>
      <c r="D78" s="99"/>
      <c r="E78" s="99"/>
      <c r="K78" s="16"/>
    </row>
    <row r="79" spans="1:11" x14ac:dyDescent="0.25">
      <c r="A79" s="18"/>
      <c r="B79" s="164">
        <v>630</v>
      </c>
      <c r="C79" s="150" t="s">
        <v>12</v>
      </c>
      <c r="D79" s="99">
        <v>44195</v>
      </c>
      <c r="E79" s="99"/>
      <c r="K79" s="16"/>
    </row>
    <row r="80" spans="1:11" x14ac:dyDescent="0.25">
      <c r="A80" s="18"/>
      <c r="B80" s="164">
        <v>130</v>
      </c>
      <c r="C80" s="150" t="s">
        <v>12</v>
      </c>
      <c r="D80" s="99"/>
      <c r="E80" s="99"/>
      <c r="K80" s="16"/>
    </row>
    <row r="81" spans="1:11" x14ac:dyDescent="0.25">
      <c r="A81" s="18"/>
      <c r="B81" s="164">
        <v>-500</v>
      </c>
      <c r="C81" s="150" t="s">
        <v>13</v>
      </c>
      <c r="D81" s="99"/>
      <c r="E81" s="99"/>
      <c r="K81" s="16"/>
    </row>
    <row r="82" spans="1:11" x14ac:dyDescent="0.25">
      <c r="A82" s="18"/>
      <c r="B82" s="164">
        <v>790</v>
      </c>
      <c r="C82" s="150" t="s">
        <v>12</v>
      </c>
      <c r="D82" s="99"/>
      <c r="E82" s="99"/>
      <c r="K82" s="16"/>
    </row>
    <row r="83" spans="1:11" x14ac:dyDescent="0.25">
      <c r="A83" s="18"/>
      <c r="B83" s="164">
        <v>-1000</v>
      </c>
      <c r="C83" s="150" t="s">
        <v>144</v>
      </c>
      <c r="D83" s="99"/>
      <c r="E83" s="99"/>
      <c r="K83" s="16"/>
    </row>
    <row r="84" spans="1:11" x14ac:dyDescent="0.25">
      <c r="A84" s="18"/>
      <c r="B84" s="164">
        <v>300</v>
      </c>
      <c r="C84" s="150" t="s">
        <v>12</v>
      </c>
      <c r="D84" s="99"/>
      <c r="E84" s="99"/>
      <c r="K84" s="16"/>
    </row>
    <row r="85" spans="1:11" x14ac:dyDescent="0.25">
      <c r="A85" s="18"/>
      <c r="B85" s="164">
        <v>630</v>
      </c>
      <c r="C85" s="150" t="s">
        <v>12</v>
      </c>
      <c r="D85" s="99">
        <v>44294</v>
      </c>
      <c r="E85" s="99"/>
      <c r="K85" s="16"/>
    </row>
    <row r="86" spans="1:11" x14ac:dyDescent="0.25">
      <c r="A86" s="18"/>
      <c r="B86" s="164">
        <v>-1000</v>
      </c>
      <c r="C86" s="150" t="s">
        <v>13</v>
      </c>
      <c r="D86" s="99">
        <v>44294</v>
      </c>
      <c r="E86" s="99"/>
      <c r="K86" s="16"/>
    </row>
    <row r="87" spans="1:11" x14ac:dyDescent="0.25">
      <c r="A87" s="18"/>
      <c r="B87" s="164">
        <v>1035</v>
      </c>
      <c r="C87" s="150" t="s">
        <v>12</v>
      </c>
      <c r="D87" s="99">
        <v>44307</v>
      </c>
      <c r="E87" s="99"/>
      <c r="K87" s="16"/>
    </row>
    <row r="88" spans="1:11" x14ac:dyDescent="0.25">
      <c r="A88" s="18"/>
      <c r="B88" s="164">
        <v>-1000</v>
      </c>
      <c r="C88" s="150" t="s">
        <v>13</v>
      </c>
      <c r="D88" s="99">
        <v>44307</v>
      </c>
      <c r="E88" s="99"/>
      <c r="K88" s="16"/>
    </row>
    <row r="89" spans="1:11" x14ac:dyDescent="0.25">
      <c r="A89" s="18"/>
      <c r="B89" s="164">
        <v>775</v>
      </c>
      <c r="C89" s="150" t="s">
        <v>12</v>
      </c>
      <c r="D89" s="99">
        <v>44313</v>
      </c>
      <c r="E89" s="99"/>
      <c r="K89" s="16"/>
    </row>
    <row r="90" spans="1:11" x14ac:dyDescent="0.25">
      <c r="A90" s="18"/>
      <c r="B90" s="164">
        <v>-800</v>
      </c>
      <c r="C90" s="150" t="s">
        <v>93</v>
      </c>
      <c r="D90" s="99">
        <v>44313</v>
      </c>
      <c r="E90" s="99"/>
      <c r="K90" s="16"/>
    </row>
    <row r="91" spans="1:11" x14ac:dyDescent="0.25">
      <c r="A91" s="18"/>
      <c r="B91" s="164">
        <v>915</v>
      </c>
      <c r="C91" s="150" t="s">
        <v>12</v>
      </c>
      <c r="D91" s="99">
        <v>44319</v>
      </c>
      <c r="E91" s="99"/>
      <c r="K91" s="16"/>
    </row>
    <row r="92" spans="1:11" x14ac:dyDescent="0.25">
      <c r="A92" s="18"/>
      <c r="B92" s="164">
        <v>490</v>
      </c>
      <c r="C92" s="150" t="s">
        <v>12</v>
      </c>
      <c r="D92" s="99">
        <v>44350</v>
      </c>
      <c r="E92" s="99"/>
      <c r="K92" s="16"/>
    </row>
    <row r="93" spans="1:11" x14ac:dyDescent="0.25">
      <c r="A93" s="18"/>
      <c r="B93" s="164">
        <v>-1400</v>
      </c>
      <c r="C93" s="150" t="s">
        <v>93</v>
      </c>
      <c r="D93" s="99">
        <v>44350</v>
      </c>
      <c r="E93" s="99"/>
      <c r="K93" s="16"/>
    </row>
    <row r="94" spans="1:11" x14ac:dyDescent="0.25">
      <c r="A94" s="18"/>
      <c r="B94" s="164">
        <v>300</v>
      </c>
      <c r="C94" s="150" t="s">
        <v>94</v>
      </c>
      <c r="D94" s="99">
        <v>44399</v>
      </c>
      <c r="E94" s="99"/>
      <c r="K94" s="16"/>
    </row>
    <row r="95" spans="1:11" x14ac:dyDescent="0.25">
      <c r="A95" s="18"/>
      <c r="B95" s="164">
        <v>1000</v>
      </c>
      <c r="C95" s="150" t="s">
        <v>141</v>
      </c>
      <c r="D95" s="99"/>
      <c r="E95" s="99"/>
      <c r="K95" s="16"/>
    </row>
    <row r="96" spans="1:11" x14ac:dyDescent="0.25">
      <c r="A96" s="18"/>
      <c r="B96" s="164">
        <v>-1300</v>
      </c>
      <c r="C96" s="150" t="s">
        <v>13</v>
      </c>
      <c r="D96" s="99"/>
      <c r="E96" s="99"/>
      <c r="K96" s="16"/>
    </row>
    <row r="97" spans="1:11" x14ac:dyDescent="0.25">
      <c r="A97" s="18"/>
      <c r="B97" s="164">
        <v>300</v>
      </c>
      <c r="C97" s="150" t="s">
        <v>94</v>
      </c>
      <c r="D97" s="99"/>
      <c r="E97" s="99"/>
      <c r="K97" s="16"/>
    </row>
    <row r="98" spans="1:11" x14ac:dyDescent="0.25">
      <c r="A98" s="18"/>
      <c r="B98" s="164">
        <v>220</v>
      </c>
      <c r="C98" s="150" t="s">
        <v>12</v>
      </c>
      <c r="D98" s="99">
        <v>44501</v>
      </c>
      <c r="E98" s="99"/>
      <c r="K98" s="16"/>
    </row>
    <row r="99" spans="1:11" x14ac:dyDescent="0.25">
      <c r="A99" s="18"/>
      <c r="B99" s="164">
        <v>530</v>
      </c>
      <c r="C99" s="150" t="s">
        <v>12</v>
      </c>
      <c r="D99" s="99">
        <v>44568</v>
      </c>
      <c r="E99" s="99"/>
      <c r="K99" s="16"/>
    </row>
    <row r="100" spans="1:11" x14ac:dyDescent="0.25">
      <c r="A100" s="18"/>
      <c r="B100" s="164">
        <v>-1000</v>
      </c>
      <c r="C100" s="145" t="s">
        <v>13</v>
      </c>
      <c r="D100" s="11">
        <v>44568</v>
      </c>
      <c r="E100" s="11"/>
      <c r="K100" s="16"/>
    </row>
    <row r="101" spans="1:11" x14ac:dyDescent="0.25">
      <c r="A101" s="18"/>
      <c r="B101" s="164">
        <v>1950</v>
      </c>
      <c r="C101" s="11" t="s">
        <v>185</v>
      </c>
      <c r="D101" s="11">
        <v>44607</v>
      </c>
      <c r="E101" s="11"/>
      <c r="K101" s="16"/>
    </row>
    <row r="102" spans="1:11" x14ac:dyDescent="0.25">
      <c r="A102" s="18"/>
      <c r="B102" s="164">
        <v>-2000</v>
      </c>
      <c r="C102" s="11" t="s">
        <v>13</v>
      </c>
      <c r="D102" s="11"/>
      <c r="E102" s="11"/>
      <c r="K102" s="16"/>
    </row>
    <row r="103" spans="1:11" x14ac:dyDescent="0.25">
      <c r="A103" s="18"/>
      <c r="B103" s="164">
        <v>800</v>
      </c>
      <c r="C103" s="11" t="s">
        <v>99</v>
      </c>
      <c r="D103" s="11">
        <v>44618</v>
      </c>
      <c r="E103" s="11"/>
      <c r="K103" s="16"/>
    </row>
    <row r="104" spans="1:11" x14ac:dyDescent="0.25">
      <c r="A104" s="18"/>
      <c r="B104" s="164">
        <v>-560</v>
      </c>
      <c r="C104" s="11" t="s">
        <v>190</v>
      </c>
      <c r="D104" s="11">
        <v>44623</v>
      </c>
      <c r="E104" s="11"/>
      <c r="K104" s="16"/>
    </row>
    <row r="105" spans="1:11" x14ac:dyDescent="0.25">
      <c r="A105" s="18"/>
      <c r="B105" s="164">
        <v>1040</v>
      </c>
      <c r="C105" s="11" t="s">
        <v>12</v>
      </c>
      <c r="D105" s="11">
        <v>44637</v>
      </c>
      <c r="E105" s="11"/>
      <c r="K105" s="16"/>
    </row>
    <row r="106" spans="1:11" x14ac:dyDescent="0.25">
      <c r="A106" s="18"/>
      <c r="B106" s="164">
        <v>-1300</v>
      </c>
      <c r="C106" s="11" t="s">
        <v>13</v>
      </c>
      <c r="D106" s="11">
        <v>44637</v>
      </c>
      <c r="E106" s="11"/>
      <c r="K106" s="16"/>
    </row>
    <row r="107" spans="1:11" x14ac:dyDescent="0.25">
      <c r="A107" s="18"/>
      <c r="B107" s="164">
        <v>730</v>
      </c>
      <c r="C107" s="11" t="s">
        <v>12</v>
      </c>
      <c r="D107" s="11">
        <v>44686</v>
      </c>
      <c r="E107" s="11"/>
      <c r="K107" s="16"/>
    </row>
    <row r="108" spans="1:11" x14ac:dyDescent="0.25">
      <c r="A108" s="18"/>
      <c r="B108" s="164">
        <v>680</v>
      </c>
      <c r="C108" s="11" t="s">
        <v>12</v>
      </c>
      <c r="D108" s="11"/>
      <c r="E108" s="11"/>
      <c r="K108" s="16"/>
    </row>
    <row r="109" spans="1:11" x14ac:dyDescent="0.25">
      <c r="A109" s="18"/>
      <c r="B109" s="164">
        <v>-1400</v>
      </c>
      <c r="C109" s="11" t="s">
        <v>13</v>
      </c>
      <c r="D109" s="11"/>
      <c r="E109" s="11"/>
      <c r="K109" s="16"/>
    </row>
    <row r="110" spans="1:11" x14ac:dyDescent="0.25">
      <c r="A110" s="18"/>
      <c r="B110" s="164">
        <v>730</v>
      </c>
      <c r="C110" s="11" t="s">
        <v>12</v>
      </c>
      <c r="D110" s="11"/>
      <c r="E110" s="11"/>
      <c r="K110" s="16"/>
    </row>
    <row r="111" spans="1:11" x14ac:dyDescent="0.25">
      <c r="A111" s="18"/>
      <c r="B111" s="164">
        <v>-700</v>
      </c>
      <c r="C111" s="11" t="s">
        <v>13</v>
      </c>
      <c r="D111" s="11">
        <v>44714</v>
      </c>
      <c r="E111" s="11"/>
      <c r="K111" s="16"/>
    </row>
    <row r="112" spans="1:11" x14ac:dyDescent="0.25">
      <c r="A112" s="18"/>
      <c r="B112" s="164">
        <v>240</v>
      </c>
      <c r="C112" s="11" t="s">
        <v>12</v>
      </c>
      <c r="D112" s="11">
        <v>44735</v>
      </c>
      <c r="E112" s="11"/>
      <c r="K112" s="16"/>
    </row>
    <row r="113" spans="1:11" x14ac:dyDescent="0.25">
      <c r="A113" s="18"/>
      <c r="B113" s="164">
        <v>-300</v>
      </c>
      <c r="C113" s="11" t="s">
        <v>13</v>
      </c>
      <c r="D113" s="11">
        <v>44735</v>
      </c>
      <c r="E113" s="11"/>
      <c r="K113" s="16"/>
    </row>
    <row r="114" spans="1:11" x14ac:dyDescent="0.25">
      <c r="A114" s="18"/>
      <c r="B114" s="164">
        <v>880</v>
      </c>
      <c r="C114" s="11" t="s">
        <v>12</v>
      </c>
      <c r="D114" s="11">
        <v>44763</v>
      </c>
      <c r="E114" s="11"/>
      <c r="K114" s="16"/>
    </row>
    <row r="115" spans="1:11" x14ac:dyDescent="0.25">
      <c r="A115" s="18"/>
      <c r="B115" s="164">
        <v>-900</v>
      </c>
      <c r="C115" s="11" t="s">
        <v>13</v>
      </c>
      <c r="D115" s="11">
        <v>44763</v>
      </c>
      <c r="E115" s="11"/>
      <c r="K115" s="16"/>
    </row>
    <row r="116" spans="1:11" x14ac:dyDescent="0.25">
      <c r="A116" s="18"/>
      <c r="B116" s="164">
        <v>300</v>
      </c>
      <c r="C116" s="11" t="s">
        <v>12</v>
      </c>
      <c r="D116" s="11"/>
      <c r="E116" s="11"/>
      <c r="K116" s="16"/>
    </row>
    <row r="117" spans="1:11" x14ac:dyDescent="0.25">
      <c r="A117" s="18"/>
      <c r="B117" s="164">
        <v>-300</v>
      </c>
      <c r="C117" s="11" t="s">
        <v>13</v>
      </c>
      <c r="D117" s="11">
        <v>44778</v>
      </c>
      <c r="E117" s="11"/>
      <c r="K117" s="16"/>
    </row>
    <row r="118" spans="1:11" x14ac:dyDescent="0.25">
      <c r="A118" s="18"/>
      <c r="B118" s="164">
        <v>480</v>
      </c>
      <c r="C118" s="11" t="s">
        <v>12</v>
      </c>
      <c r="D118" s="11"/>
      <c r="E118" s="11"/>
      <c r="K118" s="16"/>
    </row>
    <row r="119" spans="1:11" x14ac:dyDescent="0.25">
      <c r="A119" s="18"/>
      <c r="B119" s="164">
        <v>-500</v>
      </c>
      <c r="C119" s="11" t="s">
        <v>13</v>
      </c>
      <c r="D119" s="11"/>
      <c r="E119" s="11"/>
      <c r="K119" s="16"/>
    </row>
    <row r="120" spans="1:11" x14ac:dyDescent="0.25">
      <c r="A120" s="18"/>
      <c r="B120" s="164">
        <v>480</v>
      </c>
      <c r="C120" s="11" t="s">
        <v>12</v>
      </c>
      <c r="D120" s="11">
        <v>44793</v>
      </c>
      <c r="E120" s="11"/>
      <c r="K120" s="16"/>
    </row>
    <row r="121" spans="1:11" x14ac:dyDescent="0.25">
      <c r="A121" s="18"/>
      <c r="B121" s="164">
        <v>-400</v>
      </c>
      <c r="C121" s="11" t="s">
        <v>13</v>
      </c>
      <c r="D121" s="11"/>
      <c r="E121" s="11"/>
      <c r="K121" s="16"/>
    </row>
    <row r="122" spans="1:11" x14ac:dyDescent="0.25">
      <c r="A122" s="18"/>
      <c r="B122" s="164">
        <v>730</v>
      </c>
      <c r="C122" s="11" t="s">
        <v>12</v>
      </c>
      <c r="D122" s="11">
        <v>44830</v>
      </c>
      <c r="E122" s="11"/>
      <c r="K122" s="16"/>
    </row>
    <row r="123" spans="1:11" x14ac:dyDescent="0.25">
      <c r="A123" s="18"/>
      <c r="B123" s="164">
        <v>-700</v>
      </c>
      <c r="C123" s="11" t="s">
        <v>93</v>
      </c>
      <c r="D123" s="11">
        <v>44830</v>
      </c>
      <c r="E123" s="11"/>
      <c r="K123" s="16"/>
    </row>
    <row r="124" spans="1:11" x14ac:dyDescent="0.25">
      <c r="A124" s="18"/>
      <c r="B124" s="164">
        <v>730</v>
      </c>
      <c r="C124" s="11" t="s">
        <v>12</v>
      </c>
      <c r="D124" s="11"/>
      <c r="E124" s="11"/>
      <c r="K124" s="16"/>
    </row>
    <row r="125" spans="1:11" x14ac:dyDescent="0.25">
      <c r="A125" s="18"/>
      <c r="B125" s="164">
        <v>-700</v>
      </c>
      <c r="C125" s="11" t="s">
        <v>93</v>
      </c>
      <c r="D125" s="11"/>
      <c r="E125" s="11"/>
      <c r="K125" s="16"/>
    </row>
    <row r="126" spans="1:11" x14ac:dyDescent="0.25">
      <c r="A126" s="18"/>
      <c r="B126" s="164">
        <v>480</v>
      </c>
      <c r="C126" s="11" t="s">
        <v>12</v>
      </c>
      <c r="D126" s="11">
        <v>44849</v>
      </c>
      <c r="E126" s="11"/>
      <c r="K126" s="16"/>
    </row>
    <row r="127" spans="1:11" x14ac:dyDescent="0.25">
      <c r="A127" s="18"/>
      <c r="B127" s="164">
        <v>-500</v>
      </c>
      <c r="C127" s="11" t="s">
        <v>13</v>
      </c>
      <c r="D127" s="11">
        <v>44849</v>
      </c>
      <c r="E127" s="11"/>
      <c r="K127" s="16"/>
    </row>
    <row r="128" spans="1:11" x14ac:dyDescent="0.25">
      <c r="A128" s="18"/>
      <c r="B128" s="164">
        <v>180</v>
      </c>
      <c r="C128" s="11" t="s">
        <v>12</v>
      </c>
      <c r="D128" s="11">
        <v>44860</v>
      </c>
      <c r="E128" s="11"/>
      <c r="K128" s="16"/>
    </row>
    <row r="129" spans="1:11" x14ac:dyDescent="0.25">
      <c r="A129" s="18"/>
      <c r="B129" s="164">
        <v>1060</v>
      </c>
      <c r="C129" s="11" t="s">
        <v>74</v>
      </c>
      <c r="D129" s="11">
        <v>44870</v>
      </c>
      <c r="E129" s="11"/>
      <c r="K129" s="16"/>
    </row>
    <row r="130" spans="1:11" x14ac:dyDescent="0.25">
      <c r="A130" s="18"/>
      <c r="B130" s="164">
        <v>-1000</v>
      </c>
      <c r="C130" s="11" t="s">
        <v>93</v>
      </c>
      <c r="D130" s="11">
        <v>44870</v>
      </c>
      <c r="E130" s="11"/>
      <c r="K130" s="16"/>
    </row>
    <row r="131" spans="1:11" x14ac:dyDescent="0.25">
      <c r="A131" s="18"/>
      <c r="B131" s="164">
        <v>800</v>
      </c>
      <c r="C131" s="11" t="s">
        <v>12</v>
      </c>
      <c r="D131" s="11"/>
      <c r="E131" s="11"/>
      <c r="K131" s="16"/>
    </row>
    <row r="132" spans="1:11" x14ac:dyDescent="0.25">
      <c r="A132" s="18"/>
      <c r="B132" s="164">
        <v>800</v>
      </c>
      <c r="C132" s="11" t="s">
        <v>12</v>
      </c>
      <c r="D132" s="11">
        <v>44912</v>
      </c>
      <c r="E132" s="11"/>
      <c r="K132" s="16"/>
    </row>
    <row r="133" spans="1:11" x14ac:dyDescent="0.25">
      <c r="A133" s="18"/>
      <c r="B133" s="164">
        <v>-1900</v>
      </c>
      <c r="C133" s="11" t="s">
        <v>13</v>
      </c>
      <c r="D133" s="11">
        <v>44912</v>
      </c>
      <c r="E133" s="11"/>
      <c r="K133" s="16"/>
    </row>
    <row r="134" spans="1:11" x14ac:dyDescent="0.25">
      <c r="A134" s="18"/>
      <c r="B134" s="164">
        <v>1600</v>
      </c>
      <c r="C134" s="11" t="s">
        <v>12</v>
      </c>
      <c r="D134" s="11">
        <v>44918</v>
      </c>
      <c r="E134" s="11"/>
      <c r="K134" s="16"/>
    </row>
    <row r="135" spans="1:11" x14ac:dyDescent="0.25">
      <c r="A135" s="18"/>
      <c r="B135" s="164">
        <v>-1600</v>
      </c>
      <c r="C135" s="11" t="s">
        <v>13</v>
      </c>
      <c r="D135" s="11">
        <v>44918</v>
      </c>
      <c r="E135" s="11"/>
      <c r="K135" s="16"/>
    </row>
    <row r="136" spans="1:11" x14ac:dyDescent="0.25">
      <c r="A136" s="18"/>
      <c r="B136" s="164">
        <v>1600</v>
      </c>
      <c r="C136" s="11" t="s">
        <v>12</v>
      </c>
      <c r="D136" s="11">
        <v>44938</v>
      </c>
      <c r="E136" s="11"/>
      <c r="K136" s="16"/>
    </row>
    <row r="137" spans="1:11" x14ac:dyDescent="0.25">
      <c r="A137" s="18"/>
      <c r="B137" s="164">
        <v>-1600</v>
      </c>
      <c r="C137" s="11" t="s">
        <v>13</v>
      </c>
      <c r="D137" s="11"/>
      <c r="E137" s="11"/>
      <c r="K137" s="16"/>
    </row>
    <row r="138" spans="1:11" x14ac:dyDescent="0.25">
      <c r="A138" s="18"/>
      <c r="B138" s="164">
        <v>800</v>
      </c>
      <c r="C138" s="11" t="s">
        <v>12</v>
      </c>
      <c r="D138" s="11"/>
      <c r="E138" s="11"/>
      <c r="K138" s="16"/>
    </row>
    <row r="139" spans="1:11" x14ac:dyDescent="0.25">
      <c r="A139" s="18"/>
      <c r="B139" s="164">
        <v>-800</v>
      </c>
      <c r="C139" s="11" t="s">
        <v>13</v>
      </c>
      <c r="D139" s="11">
        <v>44945</v>
      </c>
      <c r="E139" s="11"/>
      <c r="K139" s="16"/>
    </row>
    <row r="140" spans="1:11" x14ac:dyDescent="0.25">
      <c r="A140" s="18"/>
      <c r="B140" s="164">
        <v>800</v>
      </c>
      <c r="C140" s="11" t="s">
        <v>12</v>
      </c>
      <c r="D140" s="11">
        <v>44963</v>
      </c>
      <c r="E140" s="11"/>
      <c r="K140" s="16"/>
    </row>
    <row r="141" spans="1:11" x14ac:dyDescent="0.25">
      <c r="A141" s="18"/>
      <c r="B141" s="164">
        <v>-800</v>
      </c>
      <c r="C141" s="11" t="s">
        <v>13</v>
      </c>
      <c r="D141" s="11"/>
      <c r="E141" s="11"/>
      <c r="K141" s="16"/>
    </row>
    <row r="142" spans="1:11" x14ac:dyDescent="0.25">
      <c r="A142" s="18"/>
      <c r="B142" s="164">
        <v>1200</v>
      </c>
      <c r="C142" s="11" t="s">
        <v>12</v>
      </c>
      <c r="D142" s="11">
        <v>44967</v>
      </c>
      <c r="E142" s="11"/>
      <c r="K142" s="16"/>
    </row>
    <row r="143" spans="1:11" x14ac:dyDescent="0.25">
      <c r="A143" s="18"/>
      <c r="B143" s="164">
        <v>-1200</v>
      </c>
      <c r="C143" s="11" t="s">
        <v>13</v>
      </c>
      <c r="D143" s="11"/>
      <c r="E143" s="11"/>
      <c r="K143" s="16"/>
    </row>
    <row r="144" spans="1:11" x14ac:dyDescent="0.25">
      <c r="A144" s="18"/>
      <c r="B144" s="164">
        <v>-300</v>
      </c>
      <c r="C144" s="11" t="s">
        <v>175</v>
      </c>
      <c r="D144" s="11">
        <v>44974</v>
      </c>
      <c r="E144" s="11"/>
      <c r="K144" s="16"/>
    </row>
    <row r="145" spans="1:11" x14ac:dyDescent="0.25">
      <c r="A145" s="18"/>
      <c r="B145" s="164">
        <v>400</v>
      </c>
      <c r="C145" s="11" t="s">
        <v>12</v>
      </c>
      <c r="D145" s="11"/>
      <c r="E145" s="11"/>
      <c r="K145" s="16"/>
    </row>
    <row r="146" spans="1:11" x14ac:dyDescent="0.25">
      <c r="A146" s="18"/>
      <c r="B146" s="164">
        <v>1600</v>
      </c>
      <c r="C146" s="11" t="s">
        <v>12</v>
      </c>
      <c r="D146" s="11">
        <v>45042</v>
      </c>
      <c r="E146" s="11"/>
      <c r="K146" s="16"/>
    </row>
    <row r="147" spans="1:11" x14ac:dyDescent="0.25">
      <c r="A147" s="18"/>
      <c r="B147" s="164">
        <v>-1600</v>
      </c>
      <c r="C147" s="11" t="s">
        <v>13</v>
      </c>
      <c r="D147" s="11"/>
      <c r="E147" s="11"/>
      <c r="K147" s="16"/>
    </row>
    <row r="148" spans="1:11" x14ac:dyDescent="0.25">
      <c r="A148" s="18"/>
      <c r="B148" s="164">
        <v>600</v>
      </c>
      <c r="C148" s="11" t="s">
        <v>12</v>
      </c>
      <c r="D148" s="11">
        <v>45094</v>
      </c>
      <c r="E148" s="11"/>
      <c r="K148" s="16"/>
    </row>
    <row r="149" spans="1:11" x14ac:dyDescent="0.25">
      <c r="A149" s="18"/>
      <c r="B149" s="164">
        <v>4200</v>
      </c>
      <c r="C149" s="11" t="s">
        <v>12</v>
      </c>
      <c r="D149" s="11">
        <v>45108</v>
      </c>
      <c r="E149" s="11"/>
      <c r="K149" s="16"/>
    </row>
    <row r="150" spans="1:11" x14ac:dyDescent="0.25">
      <c r="A150" s="18"/>
      <c r="B150" s="164">
        <v>-4800</v>
      </c>
      <c r="C150" s="11" t="s">
        <v>13</v>
      </c>
      <c r="D150" s="11">
        <v>45108</v>
      </c>
      <c r="E150" s="11"/>
      <c r="K150" s="16"/>
    </row>
    <row r="151" spans="1:11" x14ac:dyDescent="0.25">
      <c r="A151" s="18"/>
      <c r="B151" s="164">
        <v>800</v>
      </c>
      <c r="C151" s="11" t="s">
        <v>138</v>
      </c>
      <c r="D151" s="11">
        <v>45222</v>
      </c>
      <c r="E151" s="11"/>
      <c r="K151" s="16"/>
    </row>
    <row r="152" spans="1:11" x14ac:dyDescent="0.25">
      <c r="A152" s="18"/>
      <c r="B152" s="164">
        <v>-800</v>
      </c>
      <c r="C152" s="11" t="s">
        <v>13</v>
      </c>
      <c r="D152" s="11"/>
      <c r="E152" s="11"/>
      <c r="K152" s="16"/>
    </row>
    <row r="153" spans="1:11" x14ac:dyDescent="0.25">
      <c r="A153" s="18"/>
      <c r="B153" s="164">
        <v>-1000</v>
      </c>
      <c r="C153" s="11" t="s">
        <v>243</v>
      </c>
      <c r="D153" s="11">
        <v>45331</v>
      </c>
      <c r="E153" s="11"/>
      <c r="K153" s="16"/>
    </row>
    <row r="154" spans="1:11" x14ac:dyDescent="0.25">
      <c r="A154" s="18"/>
      <c r="B154" s="164">
        <v>3600</v>
      </c>
      <c r="C154" s="11" t="s">
        <v>138</v>
      </c>
      <c r="D154" s="11">
        <v>45366</v>
      </c>
      <c r="E154" s="11"/>
      <c r="K154" s="16"/>
    </row>
    <row r="155" spans="1:11" x14ac:dyDescent="0.25">
      <c r="A155" s="18"/>
      <c r="B155" s="164">
        <v>-3600</v>
      </c>
      <c r="C155" s="11" t="s">
        <v>13</v>
      </c>
      <c r="D155" s="11"/>
      <c r="E155" s="11"/>
      <c r="K155" s="16"/>
    </row>
    <row r="156" spans="1:11" x14ac:dyDescent="0.25">
      <c r="A156" s="18"/>
      <c r="B156" s="164">
        <v>-150000</v>
      </c>
      <c r="C156" s="11" t="s">
        <v>13</v>
      </c>
      <c r="D156" s="11">
        <v>45544</v>
      </c>
      <c r="E156" s="11"/>
      <c r="K156" s="16"/>
    </row>
    <row r="157" spans="1:11" x14ac:dyDescent="0.25">
      <c r="A157" s="18"/>
      <c r="B157" s="164">
        <v>18000</v>
      </c>
      <c r="C157" s="11" t="s">
        <v>74</v>
      </c>
      <c r="D157" s="11">
        <v>45547</v>
      </c>
      <c r="E157" s="11"/>
      <c r="K157" s="16"/>
    </row>
    <row r="158" spans="1:11" x14ac:dyDescent="0.25">
      <c r="A158" s="18"/>
      <c r="B158" s="164">
        <v>18000</v>
      </c>
      <c r="C158" s="11" t="s">
        <v>12</v>
      </c>
      <c r="D158" s="11">
        <v>45555</v>
      </c>
      <c r="E158" s="11"/>
      <c r="K158" s="16"/>
    </row>
    <row r="159" spans="1:11" x14ac:dyDescent="0.25">
      <c r="A159" s="18"/>
      <c r="B159" s="164">
        <v>79100</v>
      </c>
      <c r="C159" s="11" t="s">
        <v>264</v>
      </c>
      <c r="D159" s="11">
        <v>45579</v>
      </c>
      <c r="E159" s="11"/>
      <c r="K159" s="16"/>
    </row>
    <row r="160" spans="1:11" x14ac:dyDescent="0.25">
      <c r="A160" s="18"/>
      <c r="B160" s="164">
        <v>10900</v>
      </c>
      <c r="C160" s="11" t="s">
        <v>12</v>
      </c>
      <c r="D160" s="11">
        <v>45586</v>
      </c>
      <c r="E160" s="11"/>
      <c r="K160" s="16"/>
    </row>
    <row r="161" spans="1:11" x14ac:dyDescent="0.25">
      <c r="A161" s="18"/>
      <c r="B161" s="164">
        <v>25400</v>
      </c>
      <c r="C161" s="11" t="s">
        <v>141</v>
      </c>
      <c r="D161" s="11">
        <v>45586</v>
      </c>
      <c r="E161" s="11"/>
      <c r="K161" s="16"/>
    </row>
    <row r="162" spans="1:11" x14ac:dyDescent="0.25">
      <c r="A162" s="18"/>
      <c r="B162" s="164">
        <v>4700</v>
      </c>
      <c r="C162" s="11" t="s">
        <v>12</v>
      </c>
      <c r="D162" s="11">
        <v>45615</v>
      </c>
      <c r="E162" s="11"/>
      <c r="K162" s="16"/>
    </row>
    <row r="163" spans="1:11" x14ac:dyDescent="0.25">
      <c r="A163" s="18"/>
      <c r="B163" s="164">
        <v>-13100</v>
      </c>
      <c r="C163" s="11" t="s">
        <v>13</v>
      </c>
      <c r="D163" s="11">
        <v>45615</v>
      </c>
      <c r="E163" s="11"/>
      <c r="K163" s="16"/>
    </row>
    <row r="164" spans="1:11" x14ac:dyDescent="0.25">
      <c r="A164" s="18"/>
      <c r="B164" s="164">
        <v>-1000</v>
      </c>
      <c r="C164" s="11" t="s">
        <v>175</v>
      </c>
      <c r="D164" s="11">
        <v>45700</v>
      </c>
      <c r="E164" s="11"/>
      <c r="K164" s="16"/>
    </row>
    <row r="165" spans="1:11" x14ac:dyDescent="0.25">
      <c r="A165" s="18"/>
      <c r="B165" s="164">
        <v>5100</v>
      </c>
      <c r="C165" s="11" t="s">
        <v>138</v>
      </c>
      <c r="D165" s="11">
        <v>45705</v>
      </c>
      <c r="E165" s="11"/>
      <c r="K165" s="16"/>
    </row>
    <row r="166" spans="1:11" x14ac:dyDescent="0.25">
      <c r="A166" s="18"/>
      <c r="B166" s="164">
        <v>-5100</v>
      </c>
      <c r="C166" s="11" t="s">
        <v>13</v>
      </c>
      <c r="D166" s="11"/>
      <c r="E166" s="11"/>
      <c r="K166" s="16"/>
    </row>
    <row r="167" spans="1:11" x14ac:dyDescent="0.25">
      <c r="A167" s="18"/>
      <c r="B167" s="164">
        <v>9200</v>
      </c>
      <c r="C167" s="11" t="s">
        <v>138</v>
      </c>
      <c r="D167" s="11">
        <v>45912</v>
      </c>
      <c r="E167" s="11"/>
      <c r="K167" s="16"/>
    </row>
    <row r="168" spans="1:11" x14ac:dyDescent="0.25">
      <c r="A168" s="18"/>
      <c r="B168" s="164">
        <v>-10000</v>
      </c>
      <c r="C168" s="11" t="s">
        <v>13</v>
      </c>
      <c r="D168" s="11"/>
      <c r="E168" s="11"/>
      <c r="K168" s="16"/>
    </row>
    <row r="169" spans="1:11" x14ac:dyDescent="0.25">
      <c r="A169" s="18"/>
      <c r="B169" s="164">
        <v>-1000</v>
      </c>
      <c r="C169" s="11" t="s">
        <v>175</v>
      </c>
      <c r="D169" s="11">
        <v>46037</v>
      </c>
      <c r="E169" s="11"/>
      <c r="K169" s="16"/>
    </row>
    <row r="170" spans="1:11" x14ac:dyDescent="0.25">
      <c r="A170" s="18"/>
      <c r="B170" s="160">
        <f>SUM(B65:B169)</f>
        <v>-12799.98000000001</v>
      </c>
      <c r="C170" s="214">
        <v>46037</v>
      </c>
      <c r="D170" s="11"/>
      <c r="K170" s="16"/>
    </row>
    <row r="171" spans="1:11" x14ac:dyDescent="0.25">
      <c r="A171" s="18"/>
      <c r="K171" s="16"/>
    </row>
    <row r="172" spans="1:11" x14ac:dyDescent="0.25">
      <c r="A172" s="18"/>
    </row>
    <row r="173" spans="1:11" x14ac:dyDescent="0.25">
      <c r="A173" s="18"/>
    </row>
    <row r="174" spans="1:11" x14ac:dyDescent="0.25">
      <c r="A174" s="18"/>
    </row>
    <row r="175" spans="1:11" x14ac:dyDescent="0.25">
      <c r="A175" s="18"/>
    </row>
    <row r="176" spans="1:11" x14ac:dyDescent="0.25">
      <c r="A176" s="18"/>
    </row>
    <row r="177" spans="1:2" x14ac:dyDescent="0.25">
      <c r="A177" s="18"/>
    </row>
    <row r="178" spans="1:2" x14ac:dyDescent="0.25">
      <c r="A178" s="18"/>
    </row>
    <row r="179" spans="1:2" x14ac:dyDescent="0.25">
      <c r="A179" s="18"/>
    </row>
    <row r="180" spans="1:2" x14ac:dyDescent="0.25">
      <c r="A180" s="18"/>
    </row>
    <row r="181" spans="1:2" x14ac:dyDescent="0.25">
      <c r="A181" s="18"/>
    </row>
    <row r="182" spans="1:2" x14ac:dyDescent="0.25">
      <c r="A182" s="18"/>
    </row>
    <row r="183" spans="1:2" x14ac:dyDescent="0.25">
      <c r="A183" s="18"/>
    </row>
    <row r="184" spans="1:2" x14ac:dyDescent="0.25">
      <c r="A184" s="18"/>
    </row>
    <row r="185" spans="1:2" x14ac:dyDescent="0.25">
      <c r="A185" s="18"/>
    </row>
    <row r="186" spans="1:2" x14ac:dyDescent="0.25">
      <c r="A186" s="18"/>
    </row>
    <row r="187" spans="1:2" x14ac:dyDescent="0.25">
      <c r="A187" s="18"/>
    </row>
    <row r="188" spans="1:2" x14ac:dyDescent="0.25">
      <c r="A188" s="18"/>
    </row>
    <row r="189" spans="1:2" x14ac:dyDescent="0.25">
      <c r="A189" s="18"/>
    </row>
    <row r="190" spans="1:2" x14ac:dyDescent="0.25">
      <c r="A190" s="18"/>
    </row>
    <row r="191" spans="1:2" x14ac:dyDescent="0.25">
      <c r="A191" s="18"/>
    </row>
    <row r="192" spans="1:2" x14ac:dyDescent="0.25">
      <c r="A192" s="18"/>
      <c r="B192" s="21"/>
    </row>
  </sheetData>
  <pageMargins left="0.7" right="0.7" top="0.75" bottom="0.75" header="0.51180555555555496" footer="0.51180555555555496"/>
  <pageSetup paperSize="9" firstPageNumber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8"/>
  <sheetViews>
    <sheetView zoomScale="110" zoomScaleNormal="110" workbookViewId="0">
      <selection activeCell="B10" sqref="B10:I12"/>
    </sheetView>
  </sheetViews>
  <sheetFormatPr baseColWidth="10" defaultRowHeight="15" x14ac:dyDescent="0.25"/>
  <cols>
    <col min="1" max="1" width="10.85546875" bestFit="1" customWidth="1"/>
    <col min="2" max="3" width="13.28515625" customWidth="1"/>
    <col min="4" max="4" width="9.140625"/>
    <col min="5" max="5" width="11.42578125" customWidth="1"/>
    <col min="6" max="6" width="10.7109375" customWidth="1"/>
    <col min="8" max="8" width="11.85546875" customWidth="1"/>
    <col min="9" max="9" width="15" customWidth="1"/>
    <col min="10" max="10" width="11.42578125" bestFit="1" customWidth="1"/>
    <col min="11" max="11" width="14.7109375" bestFit="1" customWidth="1"/>
  </cols>
  <sheetData>
    <row r="1" spans="1:11" x14ac:dyDescent="0.25">
      <c r="D1" s="113"/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ht="15.75" x14ac:dyDescent="0.25">
      <c r="A3" s="179">
        <v>46142</v>
      </c>
      <c r="B3" s="82" t="s">
        <v>118</v>
      </c>
      <c r="C3" s="124" t="s">
        <v>146</v>
      </c>
      <c r="D3" s="82">
        <v>1430</v>
      </c>
      <c r="E3" s="82"/>
      <c r="F3" s="82"/>
      <c r="G3" s="82"/>
      <c r="H3" s="90">
        <v>125232</v>
      </c>
      <c r="I3" s="90" t="s">
        <v>147</v>
      </c>
      <c r="J3" s="174"/>
      <c r="K3" s="234"/>
    </row>
    <row r="4" spans="1:11" ht="15.75" x14ac:dyDescent="0.25">
      <c r="A4" s="179">
        <v>46145</v>
      </c>
      <c r="B4" s="82" t="s">
        <v>146</v>
      </c>
      <c r="C4" s="82" t="s">
        <v>227</v>
      </c>
      <c r="D4" s="82">
        <v>180</v>
      </c>
      <c r="E4" s="82"/>
      <c r="F4" s="82"/>
      <c r="G4" s="82"/>
      <c r="H4" s="128" t="s">
        <v>66</v>
      </c>
      <c r="I4" s="90"/>
      <c r="J4" s="174"/>
      <c r="K4" s="234"/>
    </row>
    <row r="5" spans="1:11" ht="15.75" x14ac:dyDescent="0.25">
      <c r="A5" s="179">
        <v>46146</v>
      </c>
      <c r="B5" s="82" t="s">
        <v>296</v>
      </c>
      <c r="C5" s="82" t="s">
        <v>9</v>
      </c>
      <c r="D5" s="82">
        <v>820</v>
      </c>
      <c r="E5" s="82"/>
      <c r="F5" s="82">
        <v>33.799999999999997</v>
      </c>
      <c r="G5" s="82"/>
      <c r="H5" s="123">
        <v>189863</v>
      </c>
      <c r="I5" s="90" t="s">
        <v>304</v>
      </c>
      <c r="J5" s="174"/>
      <c r="K5" s="234"/>
    </row>
    <row r="6" spans="1:11" ht="15.75" x14ac:dyDescent="0.25">
      <c r="A6" s="179">
        <v>46147</v>
      </c>
      <c r="B6" s="82" t="s">
        <v>9</v>
      </c>
      <c r="C6" s="124" t="s">
        <v>308</v>
      </c>
      <c r="D6" s="82">
        <v>360</v>
      </c>
      <c r="E6" s="82"/>
      <c r="F6" s="82">
        <v>34.94</v>
      </c>
      <c r="G6" s="82"/>
      <c r="H6" s="123" t="s">
        <v>507</v>
      </c>
      <c r="I6" s="90" t="s">
        <v>15</v>
      </c>
      <c r="J6" s="174"/>
      <c r="K6" s="234"/>
    </row>
    <row r="7" spans="1:11" ht="15.75" x14ac:dyDescent="0.25">
      <c r="A7" s="179">
        <v>46148</v>
      </c>
      <c r="B7" s="82" t="s">
        <v>308</v>
      </c>
      <c r="C7" s="124" t="s">
        <v>118</v>
      </c>
      <c r="D7" s="82">
        <v>280</v>
      </c>
      <c r="E7" s="82"/>
      <c r="F7" s="82"/>
      <c r="G7" s="82"/>
      <c r="H7" s="128" t="s">
        <v>66</v>
      </c>
      <c r="I7" s="90"/>
      <c r="J7" s="174"/>
      <c r="K7" s="234"/>
    </row>
    <row r="8" spans="1:11" ht="15.75" x14ac:dyDescent="0.25">
      <c r="A8" s="179">
        <v>46148</v>
      </c>
      <c r="B8" s="82" t="s">
        <v>118</v>
      </c>
      <c r="C8" s="124" t="s">
        <v>146</v>
      </c>
      <c r="D8" s="82">
        <v>1430</v>
      </c>
      <c r="E8" s="82"/>
      <c r="F8" s="82"/>
      <c r="G8" s="82"/>
      <c r="H8" s="90">
        <v>125350</v>
      </c>
      <c r="I8" s="90" t="s">
        <v>147</v>
      </c>
      <c r="J8" s="174"/>
      <c r="K8" s="234"/>
    </row>
    <row r="9" spans="1:11" ht="15.75" x14ac:dyDescent="0.25">
      <c r="A9" s="179">
        <v>46149</v>
      </c>
      <c r="B9" s="82" t="s">
        <v>146</v>
      </c>
      <c r="C9" s="82" t="s">
        <v>9</v>
      </c>
      <c r="D9" s="82">
        <v>940</v>
      </c>
      <c r="E9" s="82"/>
      <c r="F9" s="82"/>
      <c r="G9" s="82"/>
      <c r="H9" s="128" t="s">
        <v>66</v>
      </c>
      <c r="I9" s="90"/>
      <c r="J9" s="174"/>
      <c r="K9" s="234"/>
    </row>
    <row r="10" spans="1:11" ht="15.75" x14ac:dyDescent="0.25">
      <c r="A10" s="179">
        <v>46151</v>
      </c>
      <c r="B10" s="82" t="s">
        <v>9</v>
      </c>
      <c r="C10" s="124" t="s">
        <v>351</v>
      </c>
      <c r="D10" s="82">
        <v>1010</v>
      </c>
      <c r="E10" s="82"/>
      <c r="F10" s="82"/>
      <c r="G10" s="82"/>
      <c r="H10" s="90">
        <v>621174</v>
      </c>
      <c r="I10" s="90" t="s">
        <v>257</v>
      </c>
      <c r="J10" s="174"/>
      <c r="K10" s="234"/>
    </row>
    <row r="11" spans="1:11" ht="15.75" x14ac:dyDescent="0.25">
      <c r="A11" s="179">
        <v>46153</v>
      </c>
      <c r="B11" s="82" t="s">
        <v>351</v>
      </c>
      <c r="C11" s="124" t="s">
        <v>227</v>
      </c>
      <c r="D11" s="82">
        <v>240</v>
      </c>
      <c r="E11" s="82"/>
      <c r="F11" s="82"/>
      <c r="G11" s="82"/>
      <c r="H11" s="83" t="s">
        <v>66</v>
      </c>
      <c r="I11" s="90"/>
      <c r="J11" s="174"/>
      <c r="K11" s="234"/>
    </row>
    <row r="12" spans="1:11" ht="15.75" x14ac:dyDescent="0.25">
      <c r="A12" s="179">
        <v>46154</v>
      </c>
      <c r="B12" s="82" t="s">
        <v>296</v>
      </c>
      <c r="C12" s="124" t="s">
        <v>9</v>
      </c>
      <c r="D12" s="82">
        <v>820</v>
      </c>
      <c r="E12" s="82"/>
      <c r="F12" s="82">
        <v>33.700000000000003</v>
      </c>
      <c r="G12" s="82"/>
      <c r="H12" s="90">
        <v>190274</v>
      </c>
      <c r="I12" s="90" t="s">
        <v>304</v>
      </c>
      <c r="J12" s="174"/>
      <c r="K12" s="234"/>
    </row>
    <row r="13" spans="1:11" ht="15.75" x14ac:dyDescent="0.25">
      <c r="A13" s="179">
        <v>46155</v>
      </c>
      <c r="B13" s="227" t="s">
        <v>9</v>
      </c>
      <c r="C13" s="82" t="s">
        <v>300</v>
      </c>
      <c r="D13" s="82">
        <v>430</v>
      </c>
      <c r="E13" s="82"/>
      <c r="F13" s="82">
        <v>35</v>
      </c>
      <c r="G13" s="82"/>
      <c r="H13" s="90">
        <v>295892</v>
      </c>
      <c r="I13" s="90" t="s">
        <v>15</v>
      </c>
      <c r="J13" s="174"/>
      <c r="K13" s="234"/>
    </row>
    <row r="14" spans="1:11" ht="15.75" x14ac:dyDescent="0.25">
      <c r="A14" s="179">
        <v>46156</v>
      </c>
      <c r="B14" s="227" t="s">
        <v>300</v>
      </c>
      <c r="C14" s="82" t="s">
        <v>118</v>
      </c>
      <c r="D14" s="82">
        <v>100</v>
      </c>
      <c r="E14" s="82"/>
      <c r="F14" s="82"/>
      <c r="G14" s="82"/>
      <c r="H14" s="128" t="s">
        <v>66</v>
      </c>
      <c r="I14" s="90"/>
      <c r="J14" s="174"/>
      <c r="K14" s="234"/>
    </row>
    <row r="15" spans="1:11" ht="15.75" x14ac:dyDescent="0.25">
      <c r="A15" s="179">
        <v>46156</v>
      </c>
      <c r="B15" s="82" t="s">
        <v>118</v>
      </c>
      <c r="C15" s="124" t="s">
        <v>505</v>
      </c>
      <c r="D15" s="82">
        <v>1470</v>
      </c>
      <c r="E15" s="82"/>
      <c r="F15" s="82"/>
      <c r="G15" s="82"/>
      <c r="H15" s="90">
        <v>126926</v>
      </c>
      <c r="I15" s="90" t="s">
        <v>506</v>
      </c>
      <c r="J15" s="174"/>
      <c r="K15" s="234"/>
    </row>
    <row r="16" spans="1:11" ht="15.75" x14ac:dyDescent="0.25">
      <c r="A16" s="179">
        <v>46158</v>
      </c>
      <c r="B16" s="82" t="s">
        <v>505</v>
      </c>
      <c r="C16" s="124" t="s">
        <v>9</v>
      </c>
      <c r="D16" s="82">
        <v>950</v>
      </c>
      <c r="E16" s="2"/>
      <c r="F16" s="2"/>
      <c r="G16" s="2"/>
      <c r="H16" s="306" t="s">
        <v>66</v>
      </c>
      <c r="I16" s="2"/>
      <c r="J16" s="174"/>
      <c r="K16" s="234"/>
    </row>
    <row r="17" spans="1:11" ht="15.75" x14ac:dyDescent="0.25">
      <c r="A17" s="179"/>
      <c r="B17" s="82"/>
      <c r="C17" s="124"/>
      <c r="D17" s="82"/>
      <c r="E17" s="82"/>
      <c r="F17" s="82"/>
      <c r="G17" s="82"/>
      <c r="H17" s="83"/>
      <c r="I17" s="90"/>
      <c r="J17" s="174"/>
      <c r="K17" s="234"/>
    </row>
    <row r="18" spans="1:11" ht="15.75" x14ac:dyDescent="0.25">
      <c r="A18" s="179"/>
      <c r="B18" s="82"/>
      <c r="C18" s="124"/>
      <c r="D18" s="82"/>
      <c r="E18" s="82"/>
      <c r="F18" s="82"/>
      <c r="G18" s="82"/>
      <c r="H18" s="83"/>
      <c r="I18" s="90"/>
      <c r="J18" s="174"/>
      <c r="K18" s="234"/>
    </row>
    <row r="19" spans="1:11" ht="15.75" x14ac:dyDescent="0.25">
      <c r="A19" s="179"/>
      <c r="B19" s="82"/>
      <c r="C19" s="124"/>
      <c r="D19" s="82"/>
      <c r="E19" s="82"/>
      <c r="F19" s="82"/>
      <c r="G19" s="82"/>
      <c r="H19" s="83"/>
      <c r="I19" s="90"/>
      <c r="J19" s="174"/>
      <c r="K19" s="234"/>
    </row>
    <row r="20" spans="1:11" ht="15.75" x14ac:dyDescent="0.25">
      <c r="A20" s="179"/>
      <c r="B20" s="82"/>
      <c r="C20" s="124"/>
      <c r="D20" s="82"/>
      <c r="E20" s="82"/>
      <c r="F20" s="82"/>
      <c r="G20" s="82"/>
      <c r="H20" s="83"/>
      <c r="I20" s="90"/>
      <c r="J20" s="174"/>
      <c r="K20" s="234"/>
    </row>
    <row r="21" spans="1:11" ht="15.75" x14ac:dyDescent="0.25">
      <c r="A21" s="179"/>
      <c r="B21" s="82"/>
      <c r="C21" s="124"/>
      <c r="D21" s="82"/>
      <c r="E21" s="82"/>
      <c r="F21" s="82"/>
      <c r="G21" s="82"/>
      <c r="H21" s="83"/>
      <c r="I21" s="90"/>
      <c r="J21" s="174"/>
      <c r="K21" s="234"/>
    </row>
    <row r="22" spans="1:11" ht="15.75" x14ac:dyDescent="0.25">
      <c r="A22" s="179"/>
      <c r="B22" s="82"/>
      <c r="C22" s="124"/>
      <c r="D22" s="82"/>
      <c r="E22" s="82"/>
      <c r="F22" s="82"/>
      <c r="G22" s="82"/>
      <c r="H22" s="83"/>
      <c r="I22" s="90"/>
      <c r="J22" s="174"/>
      <c r="K22" s="234"/>
    </row>
    <row r="23" spans="1:11" ht="15.75" x14ac:dyDescent="0.25">
      <c r="A23" s="179"/>
      <c r="B23" s="82"/>
      <c r="C23" s="124"/>
      <c r="D23" s="82"/>
      <c r="E23" s="82"/>
      <c r="F23" s="82"/>
      <c r="G23" s="82"/>
      <c r="H23" s="83"/>
      <c r="I23" s="90"/>
      <c r="J23" s="174"/>
      <c r="K23" s="234"/>
    </row>
    <row r="24" spans="1:11" ht="15.75" x14ac:dyDescent="0.25">
      <c r="A24" s="179"/>
      <c r="B24" s="82"/>
      <c r="C24" s="124"/>
      <c r="D24" s="82"/>
      <c r="E24" s="82"/>
      <c r="F24" s="82"/>
      <c r="G24" s="82"/>
      <c r="H24" s="83"/>
      <c r="I24" s="90"/>
      <c r="J24" s="174"/>
      <c r="K24" s="234"/>
    </row>
    <row r="25" spans="1:11" ht="15.75" x14ac:dyDescent="0.25">
      <c r="A25" s="179"/>
      <c r="B25" s="82"/>
      <c r="C25" s="124"/>
      <c r="D25" s="82"/>
      <c r="E25" s="82"/>
      <c r="F25" s="82"/>
      <c r="G25" s="82"/>
      <c r="H25" s="83"/>
      <c r="I25" s="90"/>
      <c r="J25" s="174"/>
      <c r="K25" s="234"/>
    </row>
    <row r="26" spans="1:11" ht="15.75" x14ac:dyDescent="0.25">
      <c r="A26" s="179"/>
      <c r="B26" s="82"/>
      <c r="C26" s="124"/>
      <c r="D26" s="82"/>
      <c r="E26" s="82"/>
      <c r="F26" s="82"/>
      <c r="G26" s="82"/>
      <c r="H26" s="83"/>
      <c r="I26" s="90"/>
      <c r="J26" s="174"/>
      <c r="K26" s="234"/>
    </row>
    <row r="27" spans="1:11" ht="15.75" x14ac:dyDescent="0.25">
      <c r="A27" s="179"/>
      <c r="B27" s="82"/>
      <c r="C27" s="124"/>
      <c r="D27" s="82"/>
      <c r="E27" s="82"/>
      <c r="F27" s="82"/>
      <c r="G27" s="82"/>
      <c r="H27" s="83"/>
      <c r="I27" s="90"/>
      <c r="J27" s="174"/>
      <c r="K27" s="234"/>
    </row>
    <row r="28" spans="1:11" ht="15.75" x14ac:dyDescent="0.25">
      <c r="A28" s="179"/>
      <c r="B28" s="82"/>
      <c r="C28" s="124"/>
      <c r="D28" s="82"/>
      <c r="E28" s="82"/>
      <c r="F28" s="82"/>
      <c r="G28" s="82"/>
      <c r="H28" s="83"/>
      <c r="I28" s="90"/>
      <c r="J28" s="174"/>
      <c r="K28" s="234"/>
    </row>
    <row r="29" spans="1:11" ht="15.75" x14ac:dyDescent="0.25">
      <c r="A29" s="179"/>
      <c r="B29" s="82"/>
      <c r="C29" s="124"/>
      <c r="D29" s="82"/>
      <c r="E29" s="82"/>
      <c r="F29" s="82"/>
      <c r="G29" s="82"/>
      <c r="H29" s="83"/>
      <c r="I29" s="90"/>
      <c r="J29" s="174"/>
      <c r="K29" s="234"/>
    </row>
    <row r="30" spans="1:11" ht="15.75" x14ac:dyDescent="0.25">
      <c r="A30" s="179"/>
      <c r="B30" s="82"/>
      <c r="C30" s="124"/>
      <c r="D30" s="82"/>
      <c r="E30" s="82"/>
      <c r="F30" s="82"/>
      <c r="G30" s="82"/>
      <c r="H30" s="83"/>
      <c r="I30" s="90"/>
      <c r="J30" s="174"/>
      <c r="K30" s="234"/>
    </row>
    <row r="31" spans="1:11" ht="15.75" x14ac:dyDescent="0.25">
      <c r="A31" s="179">
        <v>46113</v>
      </c>
      <c r="B31" s="82" t="s">
        <v>118</v>
      </c>
      <c r="C31" s="124" t="s">
        <v>146</v>
      </c>
      <c r="D31" s="82">
        <v>1430</v>
      </c>
      <c r="E31" s="82"/>
      <c r="F31" s="82"/>
      <c r="G31" s="82"/>
      <c r="H31" s="90">
        <v>80712</v>
      </c>
      <c r="I31" s="90" t="s">
        <v>147</v>
      </c>
      <c r="J31" s="174"/>
      <c r="K31" s="234"/>
    </row>
    <row r="32" spans="1:11" ht="15.75" x14ac:dyDescent="0.25">
      <c r="A32" s="179">
        <v>46116</v>
      </c>
      <c r="B32" s="82" t="s">
        <v>146</v>
      </c>
      <c r="C32" s="124" t="s">
        <v>9</v>
      </c>
      <c r="D32" s="82">
        <v>1040</v>
      </c>
      <c r="E32" s="82"/>
      <c r="F32" s="82"/>
      <c r="G32" s="82"/>
      <c r="H32" s="83" t="s">
        <v>66</v>
      </c>
      <c r="I32" s="90"/>
      <c r="J32" s="174"/>
      <c r="K32" s="234"/>
    </row>
    <row r="33" spans="1:11" ht="15.75" x14ac:dyDescent="0.25">
      <c r="A33" s="179">
        <v>46119</v>
      </c>
      <c r="B33" s="227" t="s">
        <v>9</v>
      </c>
      <c r="C33" s="124" t="s">
        <v>300</v>
      </c>
      <c r="D33" s="82">
        <v>420</v>
      </c>
      <c r="E33" s="82"/>
      <c r="F33" s="82">
        <v>34.42</v>
      </c>
      <c r="G33" s="82"/>
      <c r="H33" s="123">
        <v>619133</v>
      </c>
      <c r="I33" s="90" t="s">
        <v>257</v>
      </c>
      <c r="J33" s="174"/>
      <c r="K33" s="234"/>
    </row>
    <row r="34" spans="1:11" ht="15.75" x14ac:dyDescent="0.25">
      <c r="A34" s="179">
        <v>46119</v>
      </c>
      <c r="B34" s="82" t="s">
        <v>300</v>
      </c>
      <c r="C34" s="124" t="s">
        <v>229</v>
      </c>
      <c r="D34" s="82">
        <v>150</v>
      </c>
      <c r="E34" s="82"/>
      <c r="F34" s="82"/>
      <c r="G34" s="82"/>
      <c r="H34" s="83" t="s">
        <v>66</v>
      </c>
      <c r="I34" s="90"/>
      <c r="J34" s="174"/>
      <c r="K34" s="234"/>
    </row>
    <row r="35" spans="1:11" ht="15.75" x14ac:dyDescent="0.25">
      <c r="A35" s="179">
        <v>46120</v>
      </c>
      <c r="B35" s="82" t="s">
        <v>229</v>
      </c>
      <c r="C35" s="124" t="s">
        <v>10</v>
      </c>
      <c r="D35" s="82">
        <v>10</v>
      </c>
      <c r="E35" s="82"/>
      <c r="F35" s="82"/>
      <c r="G35" s="82"/>
      <c r="H35" s="90">
        <v>1063950</v>
      </c>
      <c r="I35" s="90" t="s">
        <v>360</v>
      </c>
      <c r="J35" s="174"/>
      <c r="K35" s="234"/>
    </row>
    <row r="36" spans="1:11" ht="15.75" x14ac:dyDescent="0.25">
      <c r="A36" s="179">
        <v>46120</v>
      </c>
      <c r="B36" s="82" t="s">
        <v>10</v>
      </c>
      <c r="C36" s="124" t="s">
        <v>229</v>
      </c>
      <c r="D36" s="82">
        <v>10</v>
      </c>
      <c r="E36" s="82"/>
      <c r="F36" s="82"/>
      <c r="G36" s="82"/>
      <c r="H36" s="128" t="s">
        <v>66</v>
      </c>
      <c r="I36" s="90"/>
      <c r="J36" s="174"/>
      <c r="K36" s="234"/>
    </row>
    <row r="37" spans="1:11" ht="15.75" x14ac:dyDescent="0.25">
      <c r="A37" s="179">
        <v>46120</v>
      </c>
      <c r="B37" s="82" t="s">
        <v>229</v>
      </c>
      <c r="C37" s="124" t="s">
        <v>10</v>
      </c>
      <c r="D37" s="82">
        <v>10</v>
      </c>
      <c r="E37" s="82"/>
      <c r="F37" s="82"/>
      <c r="G37" s="82"/>
      <c r="H37" s="123">
        <v>1063968</v>
      </c>
      <c r="I37" s="90" t="s">
        <v>360</v>
      </c>
      <c r="J37" s="174"/>
      <c r="K37" s="234"/>
    </row>
    <row r="38" spans="1:11" ht="15.75" x14ac:dyDescent="0.25">
      <c r="A38" s="179">
        <v>46120</v>
      </c>
      <c r="B38" s="82" t="s">
        <v>10</v>
      </c>
      <c r="C38" s="124" t="s">
        <v>229</v>
      </c>
      <c r="D38" s="82">
        <v>10</v>
      </c>
      <c r="E38" s="82"/>
      <c r="F38" s="82"/>
      <c r="G38" s="82"/>
      <c r="H38" s="128" t="s">
        <v>66</v>
      </c>
      <c r="I38" s="90"/>
      <c r="J38" s="174"/>
      <c r="K38" s="234"/>
    </row>
    <row r="39" spans="1:11" ht="15.75" x14ac:dyDescent="0.25">
      <c r="A39" s="179">
        <v>46120</v>
      </c>
      <c r="B39" s="82" t="s">
        <v>229</v>
      </c>
      <c r="C39" s="124" t="s">
        <v>10</v>
      </c>
      <c r="D39" s="82">
        <v>10</v>
      </c>
      <c r="E39" s="82"/>
      <c r="F39" s="82"/>
      <c r="G39" s="82"/>
      <c r="H39" s="123">
        <v>1063995</v>
      </c>
      <c r="I39" s="90" t="s">
        <v>360</v>
      </c>
      <c r="J39" s="174"/>
      <c r="K39" s="234"/>
    </row>
    <row r="40" spans="1:11" ht="15.75" x14ac:dyDescent="0.25">
      <c r="A40" s="179">
        <v>46120</v>
      </c>
      <c r="B40" s="82" t="s">
        <v>10</v>
      </c>
      <c r="C40" s="124" t="s">
        <v>229</v>
      </c>
      <c r="D40" s="82">
        <v>10</v>
      </c>
      <c r="E40" s="82"/>
      <c r="F40" s="82"/>
      <c r="G40" s="82"/>
      <c r="H40" s="128" t="s">
        <v>66</v>
      </c>
      <c r="I40" s="90"/>
      <c r="J40" s="174"/>
      <c r="K40" s="234"/>
    </row>
    <row r="41" spans="1:11" ht="15.75" x14ac:dyDescent="0.25">
      <c r="A41" s="179">
        <v>46120</v>
      </c>
      <c r="B41" s="82" t="s">
        <v>229</v>
      </c>
      <c r="C41" s="124" t="s">
        <v>10</v>
      </c>
      <c r="D41" s="82">
        <v>10</v>
      </c>
      <c r="E41" s="82"/>
      <c r="F41" s="82"/>
      <c r="G41" s="82"/>
      <c r="H41" s="123">
        <v>1064015</v>
      </c>
      <c r="I41" s="90" t="s">
        <v>360</v>
      </c>
      <c r="J41" s="174"/>
      <c r="K41" s="234"/>
    </row>
    <row r="42" spans="1:11" ht="15.75" x14ac:dyDescent="0.25">
      <c r="A42" s="179">
        <v>46120</v>
      </c>
      <c r="B42" s="82" t="s">
        <v>10</v>
      </c>
      <c r="C42" s="124" t="s">
        <v>229</v>
      </c>
      <c r="D42" s="82">
        <v>10</v>
      </c>
      <c r="E42" s="82"/>
      <c r="F42" s="82"/>
      <c r="G42" s="82"/>
      <c r="H42" s="128" t="s">
        <v>66</v>
      </c>
      <c r="I42" s="90"/>
      <c r="J42" s="174"/>
      <c r="K42" s="234"/>
    </row>
    <row r="43" spans="1:11" ht="15.75" x14ac:dyDescent="0.25">
      <c r="A43" s="179">
        <v>46120</v>
      </c>
      <c r="B43" s="82" t="s">
        <v>229</v>
      </c>
      <c r="C43" s="124" t="s">
        <v>10</v>
      </c>
      <c r="D43" s="82">
        <v>10</v>
      </c>
      <c r="E43" s="82"/>
      <c r="F43" s="82"/>
      <c r="G43" s="82"/>
      <c r="H43" s="123">
        <v>1064044</v>
      </c>
      <c r="I43" s="90" t="s">
        <v>360</v>
      </c>
      <c r="J43" s="174"/>
      <c r="K43" s="234"/>
    </row>
    <row r="44" spans="1:11" ht="15.75" x14ac:dyDescent="0.25">
      <c r="A44" s="179">
        <v>46121</v>
      </c>
      <c r="B44" s="82" t="s">
        <v>10</v>
      </c>
      <c r="C44" s="124" t="s">
        <v>229</v>
      </c>
      <c r="D44" s="82">
        <v>10</v>
      </c>
      <c r="E44" s="82"/>
      <c r="F44" s="82"/>
      <c r="G44" s="82"/>
      <c r="H44" s="128" t="s">
        <v>66</v>
      </c>
      <c r="I44" s="90"/>
      <c r="J44" s="174"/>
      <c r="K44" s="234"/>
    </row>
    <row r="45" spans="1:11" ht="15.75" x14ac:dyDescent="0.25">
      <c r="A45" s="179">
        <v>46121</v>
      </c>
      <c r="B45" s="82" t="s">
        <v>229</v>
      </c>
      <c r="C45" s="124" t="s">
        <v>10</v>
      </c>
      <c r="D45" s="82">
        <v>10</v>
      </c>
      <c r="E45" s="82"/>
      <c r="F45" s="82"/>
      <c r="G45" s="82"/>
      <c r="H45" s="123">
        <v>1064147</v>
      </c>
      <c r="I45" s="90" t="s">
        <v>360</v>
      </c>
      <c r="J45" s="174"/>
      <c r="K45" s="234"/>
    </row>
    <row r="46" spans="1:11" ht="15.75" x14ac:dyDescent="0.25">
      <c r="A46" s="179">
        <v>46121</v>
      </c>
      <c r="B46" s="82" t="s">
        <v>10</v>
      </c>
      <c r="C46" s="124" t="s">
        <v>9</v>
      </c>
      <c r="D46" s="82">
        <v>500</v>
      </c>
      <c r="E46" s="82"/>
      <c r="F46" s="82"/>
      <c r="G46" s="82"/>
      <c r="H46" s="123" t="s">
        <v>252</v>
      </c>
      <c r="I46" s="90" t="s">
        <v>102</v>
      </c>
      <c r="J46" s="174"/>
      <c r="K46" s="234"/>
    </row>
    <row r="47" spans="1:11" ht="15.75" x14ac:dyDescent="0.25">
      <c r="A47" s="179">
        <v>46122</v>
      </c>
      <c r="B47" s="82" t="s">
        <v>9</v>
      </c>
      <c r="C47" s="124" t="s">
        <v>103</v>
      </c>
      <c r="D47" s="82">
        <v>180</v>
      </c>
      <c r="E47" s="82"/>
      <c r="F47" s="82"/>
      <c r="G47" s="82"/>
      <c r="H47" s="123">
        <v>765624</v>
      </c>
      <c r="I47" s="90"/>
      <c r="J47" s="174"/>
      <c r="K47" s="234"/>
    </row>
    <row r="48" spans="1:11" ht="15.75" x14ac:dyDescent="0.25">
      <c r="A48" s="179">
        <v>46125</v>
      </c>
      <c r="B48" s="82" t="s">
        <v>103</v>
      </c>
      <c r="C48" s="124" t="s">
        <v>9</v>
      </c>
      <c r="D48" s="82">
        <v>200</v>
      </c>
      <c r="E48" s="82"/>
      <c r="F48" s="82"/>
      <c r="G48" s="82"/>
      <c r="H48" s="123">
        <v>182596</v>
      </c>
      <c r="I48" s="90" t="s">
        <v>259</v>
      </c>
      <c r="J48" s="174"/>
      <c r="K48" s="234"/>
    </row>
    <row r="49" spans="1:11" ht="15.75" x14ac:dyDescent="0.25">
      <c r="A49" s="179">
        <v>46126</v>
      </c>
      <c r="B49" s="82" t="s">
        <v>9</v>
      </c>
      <c r="C49" s="124" t="s">
        <v>351</v>
      </c>
      <c r="D49" s="82">
        <v>1010</v>
      </c>
      <c r="E49" s="82"/>
      <c r="F49" s="82">
        <v>34.58</v>
      </c>
      <c r="G49" s="82"/>
      <c r="H49" s="90">
        <v>619622</v>
      </c>
      <c r="I49" s="90" t="s">
        <v>257</v>
      </c>
      <c r="J49" s="174"/>
      <c r="K49" s="234"/>
    </row>
    <row r="50" spans="1:11" ht="15.75" x14ac:dyDescent="0.25">
      <c r="A50" s="179">
        <v>46127</v>
      </c>
      <c r="B50" s="82" t="s">
        <v>351</v>
      </c>
      <c r="C50" s="124" t="s">
        <v>227</v>
      </c>
      <c r="D50" s="82">
        <v>240</v>
      </c>
      <c r="E50" s="82"/>
      <c r="F50" s="82"/>
      <c r="G50" s="82"/>
      <c r="H50" s="83" t="s">
        <v>66</v>
      </c>
      <c r="I50" s="90"/>
      <c r="J50" s="174"/>
      <c r="K50" s="234"/>
    </row>
    <row r="51" spans="1:11" ht="15.75" x14ac:dyDescent="0.25">
      <c r="A51" s="179">
        <v>46128</v>
      </c>
      <c r="B51" s="82" t="s">
        <v>296</v>
      </c>
      <c r="C51" s="124" t="s">
        <v>9</v>
      </c>
      <c r="D51" s="82">
        <v>820</v>
      </c>
      <c r="E51" s="82"/>
      <c r="F51" s="82">
        <v>33.799999999999997</v>
      </c>
      <c r="G51" s="82"/>
      <c r="H51" s="90">
        <v>189592</v>
      </c>
      <c r="I51" s="90" t="s">
        <v>304</v>
      </c>
      <c r="J51" s="174"/>
      <c r="K51" s="234"/>
    </row>
    <row r="52" spans="1:11" ht="15.75" x14ac:dyDescent="0.25">
      <c r="A52" s="179">
        <v>46129</v>
      </c>
      <c r="B52" s="82" t="s">
        <v>9</v>
      </c>
      <c r="C52" s="124" t="s">
        <v>351</v>
      </c>
      <c r="D52" s="82">
        <v>1010</v>
      </c>
      <c r="E52" s="82"/>
      <c r="F52" s="82">
        <v>34.57</v>
      </c>
      <c r="G52" s="82"/>
      <c r="H52" s="90">
        <v>619908</v>
      </c>
      <c r="I52" s="90" t="s">
        <v>257</v>
      </c>
      <c r="J52" s="174"/>
      <c r="K52" s="234"/>
    </row>
    <row r="53" spans="1:11" ht="15.75" x14ac:dyDescent="0.25">
      <c r="A53" s="179">
        <v>46133</v>
      </c>
      <c r="B53" s="82" t="s">
        <v>351</v>
      </c>
      <c r="C53" s="124" t="s">
        <v>227</v>
      </c>
      <c r="D53" s="82">
        <v>240</v>
      </c>
      <c r="E53" s="82"/>
      <c r="F53" s="82"/>
      <c r="G53" s="82"/>
      <c r="H53" s="83" t="s">
        <v>66</v>
      </c>
      <c r="I53" s="90"/>
      <c r="J53" s="174"/>
      <c r="K53" s="234"/>
    </row>
    <row r="54" spans="1:11" ht="15.75" x14ac:dyDescent="0.25">
      <c r="A54" s="179">
        <v>46134</v>
      </c>
      <c r="B54" s="82" t="s">
        <v>296</v>
      </c>
      <c r="C54" s="124" t="s">
        <v>9</v>
      </c>
      <c r="D54" s="82">
        <v>820</v>
      </c>
      <c r="E54" s="82"/>
      <c r="F54" s="82">
        <v>34.1</v>
      </c>
      <c r="G54" s="82"/>
      <c r="H54" s="90">
        <v>189810</v>
      </c>
      <c r="I54" s="90" t="s">
        <v>304</v>
      </c>
      <c r="J54" s="174"/>
      <c r="K54" s="234"/>
    </row>
    <row r="55" spans="1:11" ht="15.75" x14ac:dyDescent="0.25">
      <c r="A55" s="179">
        <v>46135</v>
      </c>
      <c r="B55" s="227" t="s">
        <v>9</v>
      </c>
      <c r="C55" s="82" t="s">
        <v>300</v>
      </c>
      <c r="D55" s="82">
        <v>430</v>
      </c>
      <c r="E55" s="82"/>
      <c r="F55" s="82">
        <v>34.520000000000003</v>
      </c>
      <c r="G55" s="82"/>
      <c r="H55" s="90">
        <v>294444</v>
      </c>
      <c r="I55" s="90" t="s">
        <v>15</v>
      </c>
      <c r="J55" s="174"/>
      <c r="K55" s="234"/>
    </row>
    <row r="56" spans="1:11" ht="15.75" x14ac:dyDescent="0.25">
      <c r="A56" s="179">
        <v>46136</v>
      </c>
      <c r="B56" s="82" t="s">
        <v>300</v>
      </c>
      <c r="C56" s="124" t="s">
        <v>10</v>
      </c>
      <c r="D56" s="82">
        <v>150</v>
      </c>
      <c r="E56" s="82"/>
      <c r="F56" s="82"/>
      <c r="G56" s="82"/>
      <c r="H56" s="128" t="s">
        <v>66</v>
      </c>
      <c r="I56" s="90"/>
      <c r="J56" s="174"/>
      <c r="K56" s="234"/>
    </row>
    <row r="57" spans="1:11" ht="15.75" x14ac:dyDescent="0.25">
      <c r="A57" s="179">
        <v>46136</v>
      </c>
      <c r="B57" s="82" t="s">
        <v>10</v>
      </c>
      <c r="C57" s="124" t="s">
        <v>351</v>
      </c>
      <c r="D57" s="82">
        <v>1470</v>
      </c>
      <c r="E57" s="82"/>
      <c r="F57" s="82">
        <v>32.479999999999997</v>
      </c>
      <c r="G57" s="82"/>
      <c r="H57" s="123">
        <v>1066902</v>
      </c>
      <c r="I57" s="90" t="s">
        <v>368</v>
      </c>
      <c r="J57" s="174"/>
      <c r="K57" s="234"/>
    </row>
    <row r="58" spans="1:11" ht="15.75" x14ac:dyDescent="0.25">
      <c r="A58" s="179">
        <v>46140</v>
      </c>
      <c r="B58" s="82" t="s">
        <v>351</v>
      </c>
      <c r="C58" s="124" t="s">
        <v>9</v>
      </c>
      <c r="D58" s="82">
        <v>1060</v>
      </c>
      <c r="E58" s="82"/>
      <c r="F58" s="82"/>
      <c r="G58" s="82"/>
      <c r="H58" s="123">
        <v>16440</v>
      </c>
      <c r="I58" s="90" t="s">
        <v>365</v>
      </c>
      <c r="J58" s="174"/>
      <c r="K58" s="234"/>
    </row>
    <row r="59" spans="1:11" ht="15.75" x14ac:dyDescent="0.25">
      <c r="A59" s="179">
        <v>46141</v>
      </c>
      <c r="B59" s="82" t="s">
        <v>9</v>
      </c>
      <c r="C59" s="124" t="s">
        <v>276</v>
      </c>
      <c r="D59" s="82">
        <v>400</v>
      </c>
      <c r="E59" s="82"/>
      <c r="F59" s="82"/>
      <c r="G59" s="82"/>
      <c r="H59" s="123">
        <v>294739</v>
      </c>
      <c r="I59" s="90"/>
      <c r="J59" s="174"/>
      <c r="K59" s="234"/>
    </row>
    <row r="60" spans="1:11" ht="15.75" x14ac:dyDescent="0.25">
      <c r="A60" s="179">
        <v>46142</v>
      </c>
      <c r="B60" s="82" t="s">
        <v>424</v>
      </c>
      <c r="C60" s="124" t="s">
        <v>118</v>
      </c>
      <c r="D60" s="82">
        <v>150</v>
      </c>
      <c r="E60" s="82"/>
      <c r="F60" s="82"/>
      <c r="G60" s="82"/>
      <c r="H60" s="128" t="s">
        <v>66</v>
      </c>
      <c r="I60" s="90"/>
      <c r="J60" s="174"/>
      <c r="K60" s="234"/>
    </row>
    <row r="61" spans="1:11" ht="15.75" x14ac:dyDescent="0.25">
      <c r="A61" s="179"/>
      <c r="B61" s="82"/>
      <c r="C61" s="124"/>
      <c r="D61" s="151" t="s">
        <v>446</v>
      </c>
      <c r="E61" s="82"/>
      <c r="F61" s="82"/>
      <c r="G61" s="82"/>
      <c r="H61" s="128"/>
      <c r="I61" s="90"/>
      <c r="J61" s="174"/>
      <c r="K61" s="234"/>
    </row>
    <row r="62" spans="1:11" x14ac:dyDescent="0.25">
      <c r="A62" s="5"/>
      <c r="B62" s="6"/>
      <c r="C62" s="6"/>
      <c r="D62" s="6"/>
      <c r="E62" s="6"/>
      <c r="F62" s="6"/>
      <c r="G62" s="6"/>
      <c r="H62" s="7"/>
      <c r="I62" s="7"/>
      <c r="J62" s="140"/>
      <c r="K62" s="235"/>
    </row>
    <row r="63" spans="1:11" x14ac:dyDescent="0.25">
      <c r="D63" s="17">
        <f>SUM(D3:D62)</f>
        <v>22290</v>
      </c>
      <c r="E63" s="13"/>
      <c r="F63" s="13">
        <f>AVERAGE(F3:F61)</f>
        <v>34.173636363636369</v>
      </c>
      <c r="G63" s="13"/>
      <c r="J63" s="139">
        <f>SUM(J3:J61)</f>
        <v>0</v>
      </c>
      <c r="K63" s="219">
        <f>SUM(K3:K62)</f>
        <v>0</v>
      </c>
    </row>
    <row r="64" spans="1:11" x14ac:dyDescent="0.25">
      <c r="C64" s="11"/>
      <c r="D64" s="11"/>
    </row>
    <row r="65" spans="2:4" x14ac:dyDescent="0.25">
      <c r="B65">
        <v>-2060.3200000000002</v>
      </c>
      <c r="C65" s="11"/>
      <c r="D65" s="11"/>
    </row>
    <row r="66" spans="2:4" x14ac:dyDescent="0.25">
      <c r="B66">
        <v>200</v>
      </c>
      <c r="C66" s="11" t="s">
        <v>13</v>
      </c>
      <c r="D66" s="11">
        <v>43760</v>
      </c>
    </row>
    <row r="67" spans="2:4" x14ac:dyDescent="0.25">
      <c r="B67">
        <v>1500</v>
      </c>
      <c r="C67" s="11" t="s">
        <v>12</v>
      </c>
      <c r="D67" s="11">
        <v>43761</v>
      </c>
    </row>
    <row r="68" spans="2:4" x14ac:dyDescent="0.25">
      <c r="B68">
        <v>-1900</v>
      </c>
      <c r="C68" s="11" t="s">
        <v>13</v>
      </c>
      <c r="D68" s="11"/>
    </row>
    <row r="69" spans="2:4" x14ac:dyDescent="0.25">
      <c r="B69">
        <v>-1000</v>
      </c>
      <c r="C69" s="11" t="s">
        <v>13</v>
      </c>
      <c r="D69" s="11">
        <v>43769</v>
      </c>
    </row>
    <row r="70" spans="2:4" x14ac:dyDescent="0.25">
      <c r="B70">
        <v>2140</v>
      </c>
      <c r="C70" s="11" t="s">
        <v>12</v>
      </c>
      <c r="D70" s="11">
        <v>43774</v>
      </c>
    </row>
    <row r="71" spans="2:4" x14ac:dyDescent="0.25">
      <c r="B71">
        <v>-900</v>
      </c>
      <c r="C71" s="11" t="s">
        <v>13</v>
      </c>
      <c r="D71" s="11"/>
    </row>
    <row r="72" spans="2:4" x14ac:dyDescent="0.25">
      <c r="B72">
        <v>2320</v>
      </c>
      <c r="C72" s="11" t="s">
        <v>12</v>
      </c>
      <c r="D72" s="11">
        <v>43775</v>
      </c>
    </row>
    <row r="73" spans="2:4" x14ac:dyDescent="0.25">
      <c r="B73">
        <v>-2500</v>
      </c>
      <c r="C73" s="11" t="s">
        <v>13</v>
      </c>
      <c r="D73" s="11"/>
    </row>
    <row r="74" spans="2:4" x14ac:dyDescent="0.25">
      <c r="B74">
        <v>2140</v>
      </c>
      <c r="C74" s="11" t="s">
        <v>12</v>
      </c>
      <c r="D74" s="11">
        <v>43781</v>
      </c>
    </row>
    <row r="75" spans="2:4" x14ac:dyDescent="0.25">
      <c r="B75">
        <v>-2200</v>
      </c>
      <c r="C75" s="11" t="s">
        <v>13</v>
      </c>
      <c r="D75" s="11"/>
    </row>
    <row r="76" spans="2:4" x14ac:dyDescent="0.25">
      <c r="B76">
        <v>200</v>
      </c>
      <c r="C76" s="11" t="s">
        <v>12</v>
      </c>
      <c r="D76" s="11">
        <v>43784</v>
      </c>
    </row>
    <row r="77" spans="2:4" x14ac:dyDescent="0.25">
      <c r="B77">
        <v>-200</v>
      </c>
      <c r="C77" s="11" t="s">
        <v>13</v>
      </c>
      <c r="D77" s="11"/>
    </row>
    <row r="78" spans="2:4" x14ac:dyDescent="0.25">
      <c r="B78">
        <v>200</v>
      </c>
      <c r="C78" s="11" t="s">
        <v>12</v>
      </c>
      <c r="D78" s="11">
        <v>43791</v>
      </c>
    </row>
    <row r="79" spans="2:4" x14ac:dyDescent="0.25">
      <c r="B79">
        <v>-200</v>
      </c>
      <c r="C79" s="11" t="s">
        <v>13</v>
      </c>
      <c r="D79" s="11"/>
    </row>
    <row r="80" spans="2:4" x14ac:dyDescent="0.25">
      <c r="B80">
        <v>470</v>
      </c>
      <c r="C80" s="11" t="s">
        <v>74</v>
      </c>
      <c r="D80" s="11">
        <v>43813</v>
      </c>
    </row>
    <row r="81" spans="2:4" x14ac:dyDescent="0.25">
      <c r="B81">
        <v>200</v>
      </c>
      <c r="C81" s="11" t="s">
        <v>94</v>
      </c>
      <c r="D81" s="11">
        <v>43816</v>
      </c>
    </row>
    <row r="82" spans="2:4" x14ac:dyDescent="0.25">
      <c r="B82">
        <v>-500</v>
      </c>
      <c r="C82" s="11" t="s">
        <v>13</v>
      </c>
      <c r="D82" s="11"/>
    </row>
    <row r="83" spans="2:4" x14ac:dyDescent="0.25">
      <c r="B83">
        <v>400</v>
      </c>
      <c r="C83" s="11" t="s">
        <v>12</v>
      </c>
      <c r="D83" s="11">
        <v>43818</v>
      </c>
    </row>
    <row r="84" spans="2:4" x14ac:dyDescent="0.25">
      <c r="B84">
        <v>-500</v>
      </c>
      <c r="C84" s="11" t="s">
        <v>13</v>
      </c>
      <c r="D84" s="11">
        <v>43818</v>
      </c>
    </row>
    <row r="85" spans="2:4" x14ac:dyDescent="0.25">
      <c r="B85">
        <v>640</v>
      </c>
      <c r="C85" s="11" t="s">
        <v>12</v>
      </c>
      <c r="D85" s="11">
        <v>43820</v>
      </c>
    </row>
    <row r="86" spans="2:4" x14ac:dyDescent="0.25">
      <c r="B86">
        <v>-600</v>
      </c>
      <c r="C86" s="11" t="s">
        <v>13</v>
      </c>
      <c r="D86" s="11"/>
    </row>
    <row r="87" spans="2:4" x14ac:dyDescent="0.25">
      <c r="B87">
        <v>250</v>
      </c>
      <c r="C87" s="11" t="s">
        <v>12</v>
      </c>
      <c r="D87" s="11">
        <v>43867</v>
      </c>
    </row>
    <row r="88" spans="2:4" x14ac:dyDescent="0.25">
      <c r="B88">
        <v>250</v>
      </c>
      <c r="C88" s="11" t="s">
        <v>12</v>
      </c>
      <c r="D88" s="11">
        <v>43872</v>
      </c>
    </row>
    <row r="89" spans="2:4" x14ac:dyDescent="0.25">
      <c r="B89">
        <v>-600</v>
      </c>
      <c r="C89" s="11" t="s">
        <v>13</v>
      </c>
      <c r="D89" s="11"/>
    </row>
    <row r="90" spans="2:4" x14ac:dyDescent="0.25">
      <c r="B90">
        <v>200</v>
      </c>
      <c r="C90" s="11" t="s">
        <v>12</v>
      </c>
      <c r="D90" s="11">
        <v>43875</v>
      </c>
    </row>
    <row r="91" spans="2:4" x14ac:dyDescent="0.25">
      <c r="B91">
        <v>900</v>
      </c>
      <c r="C91" s="11" t="s">
        <v>100</v>
      </c>
      <c r="D91" s="11">
        <v>43901</v>
      </c>
    </row>
    <row r="92" spans="2:4" x14ac:dyDescent="0.25">
      <c r="B92">
        <v>-1000</v>
      </c>
      <c r="C92" s="11" t="s">
        <v>13</v>
      </c>
      <c r="D92" s="11"/>
    </row>
    <row r="93" spans="2:4" x14ac:dyDescent="0.25">
      <c r="B93">
        <v>400</v>
      </c>
      <c r="C93" s="11" t="s">
        <v>12</v>
      </c>
      <c r="D93" s="11">
        <v>44113</v>
      </c>
    </row>
    <row r="94" spans="2:4" x14ac:dyDescent="0.25">
      <c r="B94">
        <v>-400</v>
      </c>
      <c r="C94" s="11" t="s">
        <v>13</v>
      </c>
      <c r="D94" s="11">
        <v>44113</v>
      </c>
    </row>
    <row r="95" spans="2:4" x14ac:dyDescent="0.25">
      <c r="B95">
        <v>890</v>
      </c>
      <c r="C95" s="11" t="s">
        <v>12</v>
      </c>
      <c r="D95" s="11">
        <v>44127</v>
      </c>
    </row>
    <row r="96" spans="2:4" x14ac:dyDescent="0.25">
      <c r="B96">
        <v>-900</v>
      </c>
      <c r="C96" s="11" t="s">
        <v>13</v>
      </c>
      <c r="D96" s="11">
        <v>44127</v>
      </c>
    </row>
    <row r="97" spans="2:4" x14ac:dyDescent="0.25">
      <c r="B97">
        <v>680</v>
      </c>
      <c r="C97" s="11" t="s">
        <v>137</v>
      </c>
      <c r="D97" s="11">
        <v>44132</v>
      </c>
    </row>
    <row r="98" spans="2:4" x14ac:dyDescent="0.25">
      <c r="B98">
        <v>-700</v>
      </c>
      <c r="C98" s="11" t="s">
        <v>13</v>
      </c>
      <c r="D98" s="11">
        <v>44132</v>
      </c>
    </row>
    <row r="99" spans="2:4" x14ac:dyDescent="0.25">
      <c r="B99">
        <v>400</v>
      </c>
      <c r="C99" s="11" t="s">
        <v>12</v>
      </c>
      <c r="D99" s="11"/>
    </row>
    <row r="100" spans="2:4" x14ac:dyDescent="0.25">
      <c r="B100">
        <v>200</v>
      </c>
      <c r="C100" s="11" t="s">
        <v>12</v>
      </c>
      <c r="D100" s="11"/>
    </row>
    <row r="101" spans="2:4" x14ac:dyDescent="0.25">
      <c r="B101">
        <v>-500</v>
      </c>
      <c r="C101" s="11" t="s">
        <v>13</v>
      </c>
      <c r="D101" s="11">
        <v>44139</v>
      </c>
    </row>
    <row r="102" spans="2:4" x14ac:dyDescent="0.25">
      <c r="B102">
        <v>810</v>
      </c>
      <c r="C102" s="11" t="s">
        <v>74</v>
      </c>
      <c r="D102" s="11"/>
    </row>
    <row r="103" spans="2:4" x14ac:dyDescent="0.25">
      <c r="B103">
        <v>-800</v>
      </c>
      <c r="C103" s="11" t="s">
        <v>93</v>
      </c>
      <c r="D103" s="11"/>
    </row>
    <row r="104" spans="2:4" x14ac:dyDescent="0.25">
      <c r="B104">
        <v>480</v>
      </c>
      <c r="C104" s="11" t="s">
        <v>138</v>
      </c>
      <c r="D104" s="11">
        <v>44155</v>
      </c>
    </row>
    <row r="105" spans="2:4" x14ac:dyDescent="0.25">
      <c r="B105">
        <v>-500</v>
      </c>
      <c r="C105" s="11" t="s">
        <v>13</v>
      </c>
      <c r="D105" s="11"/>
    </row>
    <row r="106" spans="2:4" x14ac:dyDescent="0.25">
      <c r="B106">
        <v>810</v>
      </c>
      <c r="C106" s="11" t="s">
        <v>12</v>
      </c>
      <c r="D106" s="11"/>
    </row>
    <row r="107" spans="2:4" x14ac:dyDescent="0.25">
      <c r="B107">
        <v>-810</v>
      </c>
      <c r="C107" s="11" t="s">
        <v>13</v>
      </c>
      <c r="D107" s="11"/>
    </row>
    <row r="108" spans="2:4" x14ac:dyDescent="0.25">
      <c r="B108">
        <v>400</v>
      </c>
      <c r="C108" s="11" t="s">
        <v>12</v>
      </c>
      <c r="D108" s="11"/>
    </row>
    <row r="109" spans="2:4" x14ac:dyDescent="0.25">
      <c r="B109">
        <v>-400</v>
      </c>
      <c r="C109" s="11" t="s">
        <v>13</v>
      </c>
      <c r="D109" s="11"/>
    </row>
    <row r="110" spans="2:4" x14ac:dyDescent="0.25">
      <c r="B110">
        <v>2610</v>
      </c>
      <c r="C110" s="11" t="s">
        <v>12</v>
      </c>
      <c r="D110" s="11">
        <v>44212</v>
      </c>
    </row>
    <row r="111" spans="2:4" x14ac:dyDescent="0.25">
      <c r="B111">
        <v>-2600</v>
      </c>
      <c r="C111" s="11" t="s">
        <v>13</v>
      </c>
      <c r="D111" s="11"/>
    </row>
    <row r="112" spans="2:4" x14ac:dyDescent="0.25">
      <c r="B112">
        <v>300</v>
      </c>
      <c r="C112" s="11" t="s">
        <v>12</v>
      </c>
      <c r="D112" s="11">
        <v>44221</v>
      </c>
    </row>
    <row r="113" spans="2:4" x14ac:dyDescent="0.25">
      <c r="B113">
        <v>-300</v>
      </c>
      <c r="C113" s="11" t="s">
        <v>13</v>
      </c>
      <c r="D113" s="11">
        <v>44221</v>
      </c>
    </row>
    <row r="114" spans="2:4" x14ac:dyDescent="0.25">
      <c r="B114">
        <v>630</v>
      </c>
      <c r="C114" s="11" t="s">
        <v>12</v>
      </c>
      <c r="D114" s="11"/>
    </row>
    <row r="115" spans="2:4" x14ac:dyDescent="0.25">
      <c r="B115">
        <v>-600</v>
      </c>
      <c r="C115" s="11" t="s">
        <v>13</v>
      </c>
      <c r="D115" s="11">
        <v>44226</v>
      </c>
    </row>
    <row r="116" spans="2:4" x14ac:dyDescent="0.25">
      <c r="B116">
        <v>200</v>
      </c>
      <c r="C116" s="11" t="s">
        <v>137</v>
      </c>
      <c r="D116" s="11"/>
    </row>
    <row r="117" spans="2:4" x14ac:dyDescent="0.25">
      <c r="B117">
        <v>500</v>
      </c>
      <c r="C117" s="11" t="s">
        <v>151</v>
      </c>
      <c r="D117" s="11">
        <v>44268</v>
      </c>
    </row>
    <row r="118" spans="2:4" x14ac:dyDescent="0.25">
      <c r="B118">
        <v>300</v>
      </c>
      <c r="C118" s="11" t="s">
        <v>150</v>
      </c>
      <c r="D118" s="11"/>
    </row>
    <row r="119" spans="2:4" x14ac:dyDescent="0.25">
      <c r="B119">
        <v>-1000</v>
      </c>
      <c r="C119" s="11" t="s">
        <v>13</v>
      </c>
      <c r="D119" s="11"/>
    </row>
    <row r="120" spans="2:4" x14ac:dyDescent="0.25">
      <c r="B120">
        <v>300</v>
      </c>
      <c r="C120" s="11" t="s">
        <v>99</v>
      </c>
      <c r="D120" s="11"/>
    </row>
    <row r="121" spans="2:4" x14ac:dyDescent="0.25">
      <c r="B121">
        <v>600</v>
      </c>
      <c r="C121" s="11" t="s">
        <v>94</v>
      </c>
      <c r="D121" s="11">
        <v>44307</v>
      </c>
    </row>
    <row r="122" spans="2:4" x14ac:dyDescent="0.25">
      <c r="B122">
        <v>-900</v>
      </c>
      <c r="C122" s="11" t="s">
        <v>13</v>
      </c>
      <c r="D122" s="11">
        <v>44309</v>
      </c>
    </row>
    <row r="123" spans="2:4" x14ac:dyDescent="0.25">
      <c r="B123">
        <v>600</v>
      </c>
      <c r="C123" s="11" t="s">
        <v>12</v>
      </c>
      <c r="D123" s="11">
        <v>44315</v>
      </c>
    </row>
    <row r="124" spans="2:4" x14ac:dyDescent="0.25">
      <c r="B124">
        <v>-600</v>
      </c>
      <c r="C124" s="11" t="s">
        <v>13</v>
      </c>
      <c r="D124" s="11"/>
    </row>
    <row r="125" spans="2:4" x14ac:dyDescent="0.25">
      <c r="B125">
        <v>1200</v>
      </c>
      <c r="C125" s="11" t="s">
        <v>74</v>
      </c>
      <c r="D125" s="11" t="s">
        <v>74</v>
      </c>
    </row>
    <row r="126" spans="2:4" x14ac:dyDescent="0.25">
      <c r="B126">
        <v>-1200</v>
      </c>
      <c r="C126" s="11" t="s">
        <v>13</v>
      </c>
      <c r="D126" s="11">
        <v>44375</v>
      </c>
    </row>
    <row r="127" spans="2:4" x14ac:dyDescent="0.25">
      <c r="B127">
        <v>1100</v>
      </c>
      <c r="C127" s="11" t="s">
        <v>74</v>
      </c>
      <c r="D127" s="11">
        <v>44426</v>
      </c>
    </row>
    <row r="128" spans="2:4" x14ac:dyDescent="0.25">
      <c r="B128">
        <v>-1100</v>
      </c>
      <c r="C128" s="11" t="s">
        <v>13</v>
      </c>
      <c r="D128" s="11">
        <v>44426</v>
      </c>
    </row>
    <row r="129" spans="2:4" x14ac:dyDescent="0.25">
      <c r="B129">
        <v>950</v>
      </c>
      <c r="C129" s="11" t="s">
        <v>180</v>
      </c>
      <c r="D129" s="11">
        <v>44568</v>
      </c>
    </row>
    <row r="130" spans="2:4" x14ac:dyDescent="0.25">
      <c r="B130">
        <v>-900</v>
      </c>
      <c r="C130" s="11" t="s">
        <v>13</v>
      </c>
      <c r="D130" s="11"/>
    </row>
    <row r="131" spans="2:4" x14ac:dyDescent="0.25">
      <c r="B131">
        <v>420</v>
      </c>
      <c r="C131" s="11" t="s">
        <v>94</v>
      </c>
      <c r="D131" s="11"/>
    </row>
    <row r="132" spans="2:4" x14ac:dyDescent="0.25">
      <c r="B132">
        <v>-420</v>
      </c>
      <c r="C132" s="11" t="s">
        <v>13</v>
      </c>
      <c r="D132" s="11"/>
    </row>
    <row r="133" spans="2:4" x14ac:dyDescent="0.25">
      <c r="B133">
        <v>140</v>
      </c>
      <c r="C133" s="11" t="s">
        <v>74</v>
      </c>
      <c r="D133" s="11">
        <v>44641</v>
      </c>
    </row>
    <row r="134" spans="2:4" x14ac:dyDescent="0.25">
      <c r="B134">
        <v>800</v>
      </c>
      <c r="C134" s="11" t="s">
        <v>194</v>
      </c>
      <c r="D134" s="11">
        <v>44656</v>
      </c>
    </row>
    <row r="135" spans="2:4" x14ac:dyDescent="0.25">
      <c r="B135">
        <v>-1000</v>
      </c>
      <c r="C135" s="11" t="s">
        <v>13</v>
      </c>
      <c r="D135" s="11"/>
    </row>
    <row r="136" spans="2:4" x14ac:dyDescent="0.25">
      <c r="B136">
        <v>800</v>
      </c>
      <c r="C136" s="11" t="s">
        <v>194</v>
      </c>
      <c r="D136" s="11">
        <v>44681</v>
      </c>
    </row>
    <row r="137" spans="2:4" x14ac:dyDescent="0.25">
      <c r="B137">
        <v>-500</v>
      </c>
      <c r="C137" s="11" t="s">
        <v>13</v>
      </c>
      <c r="D137" s="11"/>
    </row>
    <row r="138" spans="2:4" x14ac:dyDescent="0.25">
      <c r="B138">
        <v>280</v>
      </c>
      <c r="C138" s="11" t="s">
        <v>12</v>
      </c>
      <c r="D138" s="11">
        <v>44693</v>
      </c>
    </row>
    <row r="139" spans="2:4" x14ac:dyDescent="0.25">
      <c r="B139">
        <v>-600</v>
      </c>
      <c r="C139" s="11" t="s">
        <v>13</v>
      </c>
      <c r="D139" s="11">
        <v>44693</v>
      </c>
    </row>
    <row r="140" spans="2:4" x14ac:dyDescent="0.25">
      <c r="B140">
        <v>740</v>
      </c>
      <c r="C140" s="11" t="s">
        <v>199</v>
      </c>
      <c r="D140" s="11">
        <v>44723</v>
      </c>
    </row>
    <row r="141" spans="2:4" x14ac:dyDescent="0.25">
      <c r="B141">
        <v>-800</v>
      </c>
      <c r="C141" s="11">
        <v>44723</v>
      </c>
      <c r="D141" s="11"/>
    </row>
    <row r="142" spans="2:4" x14ac:dyDescent="0.25">
      <c r="B142">
        <v>880</v>
      </c>
      <c r="C142" s="11">
        <v>44726</v>
      </c>
      <c r="D142" s="11"/>
    </row>
    <row r="143" spans="2:4" x14ac:dyDescent="0.25">
      <c r="B143">
        <v>-800</v>
      </c>
      <c r="C143" s="11">
        <v>44726</v>
      </c>
      <c r="D143" s="11"/>
    </row>
    <row r="144" spans="2:4" x14ac:dyDescent="0.25">
      <c r="B144">
        <v>280</v>
      </c>
      <c r="C144" s="11">
        <v>44748</v>
      </c>
      <c r="D144" s="11"/>
    </row>
    <row r="145" spans="2:4" x14ac:dyDescent="0.25">
      <c r="B145">
        <v>-300</v>
      </c>
      <c r="C145" s="11">
        <v>44748</v>
      </c>
      <c r="D145" s="11"/>
    </row>
    <row r="146" spans="2:4" x14ac:dyDescent="0.25">
      <c r="B146">
        <v>1520</v>
      </c>
      <c r="C146" s="11" t="s">
        <v>12</v>
      </c>
      <c r="D146" s="11">
        <v>44771</v>
      </c>
    </row>
    <row r="147" spans="2:4" x14ac:dyDescent="0.25">
      <c r="B147">
        <v>-1500</v>
      </c>
      <c r="C147" s="11" t="s">
        <v>13</v>
      </c>
      <c r="D147" s="11">
        <v>44771</v>
      </c>
    </row>
    <row r="148" spans="2:4" x14ac:dyDescent="0.25">
      <c r="B148">
        <v>620</v>
      </c>
      <c r="C148" s="11" t="s">
        <v>138</v>
      </c>
      <c r="D148" s="11">
        <v>44791</v>
      </c>
    </row>
    <row r="149" spans="2:4" x14ac:dyDescent="0.25">
      <c r="B149">
        <v>-600</v>
      </c>
      <c r="C149" s="11" t="s">
        <v>13</v>
      </c>
      <c r="D149" s="11">
        <v>44791</v>
      </c>
    </row>
    <row r="150" spans="2:4" x14ac:dyDescent="0.25">
      <c r="B150">
        <v>1100</v>
      </c>
      <c r="C150" s="11" t="s">
        <v>12</v>
      </c>
      <c r="D150" s="11">
        <v>44834</v>
      </c>
    </row>
    <row r="151" spans="2:4" x14ac:dyDescent="0.25">
      <c r="B151">
        <v>-1100</v>
      </c>
      <c r="C151" s="11" t="s">
        <v>13</v>
      </c>
      <c r="D151" s="11"/>
    </row>
    <row r="152" spans="2:4" x14ac:dyDescent="0.25">
      <c r="B152">
        <v>880</v>
      </c>
      <c r="C152" s="11" t="s">
        <v>12</v>
      </c>
      <c r="D152" s="11">
        <v>44852</v>
      </c>
    </row>
    <row r="153" spans="2:4" x14ac:dyDescent="0.25">
      <c r="B153">
        <v>-900</v>
      </c>
      <c r="C153" s="11" t="s">
        <v>13</v>
      </c>
      <c r="D153" s="11">
        <v>44852</v>
      </c>
    </row>
    <row r="154" spans="2:4" x14ac:dyDescent="0.25">
      <c r="B154">
        <v>-300</v>
      </c>
      <c r="C154" s="11" t="s">
        <v>175</v>
      </c>
      <c r="D154" s="11">
        <v>44873</v>
      </c>
    </row>
    <row r="155" spans="2:4" x14ac:dyDescent="0.25">
      <c r="B155">
        <v>1080</v>
      </c>
      <c r="C155" s="11" t="s">
        <v>12</v>
      </c>
      <c r="D155" s="11">
        <v>44881</v>
      </c>
    </row>
    <row r="156" spans="2:4" x14ac:dyDescent="0.25">
      <c r="B156">
        <v>-800</v>
      </c>
      <c r="C156" s="11" t="s">
        <v>13</v>
      </c>
      <c r="D156" s="11">
        <v>44881</v>
      </c>
    </row>
    <row r="157" spans="2:4" x14ac:dyDescent="0.25">
      <c r="B157">
        <v>1200</v>
      </c>
      <c r="C157" s="11" t="s">
        <v>12</v>
      </c>
      <c r="D157" s="11">
        <v>44900</v>
      </c>
    </row>
    <row r="158" spans="2:4" x14ac:dyDescent="0.25">
      <c r="B158">
        <v>-1200</v>
      </c>
      <c r="C158" s="11" t="s">
        <v>13</v>
      </c>
      <c r="D158" s="11"/>
    </row>
    <row r="159" spans="2:4" x14ac:dyDescent="0.25">
      <c r="B159">
        <v>800</v>
      </c>
      <c r="C159" s="11" t="s">
        <v>225</v>
      </c>
      <c r="D159" s="11">
        <v>44911</v>
      </c>
    </row>
    <row r="160" spans="2:4" x14ac:dyDescent="0.25">
      <c r="B160">
        <v>-800</v>
      </c>
      <c r="C160" s="11" t="s">
        <v>13</v>
      </c>
      <c r="D160" s="11"/>
    </row>
    <row r="161" spans="2:4" x14ac:dyDescent="0.25">
      <c r="B161">
        <v>400</v>
      </c>
      <c r="C161" s="11" t="s">
        <v>12</v>
      </c>
      <c r="D161" s="11">
        <v>44950</v>
      </c>
    </row>
    <row r="162" spans="2:4" x14ac:dyDescent="0.25">
      <c r="B162">
        <v>-500</v>
      </c>
      <c r="C162" s="11" t="s">
        <v>13</v>
      </c>
      <c r="D162" s="11">
        <v>44950</v>
      </c>
    </row>
    <row r="163" spans="2:4" x14ac:dyDescent="0.25">
      <c r="B163">
        <v>400</v>
      </c>
      <c r="C163" s="11" t="s">
        <v>12</v>
      </c>
      <c r="D163" s="11">
        <v>45058</v>
      </c>
    </row>
    <row r="164" spans="2:4" x14ac:dyDescent="0.25">
      <c r="B164">
        <v>600</v>
      </c>
      <c r="C164" s="11" t="s">
        <v>12</v>
      </c>
      <c r="D164" s="11">
        <v>45080</v>
      </c>
    </row>
    <row r="165" spans="2:4" x14ac:dyDescent="0.25">
      <c r="B165">
        <v>600</v>
      </c>
      <c r="C165" s="11" t="s">
        <v>12</v>
      </c>
      <c r="D165" s="11">
        <v>45101</v>
      </c>
    </row>
    <row r="166" spans="2:4" x14ac:dyDescent="0.25">
      <c r="B166">
        <v>-1500</v>
      </c>
      <c r="C166" s="11" t="s">
        <v>13</v>
      </c>
      <c r="D166" s="11">
        <v>45110</v>
      </c>
    </row>
    <row r="167" spans="2:4" x14ac:dyDescent="0.25">
      <c r="B167">
        <v>2300</v>
      </c>
      <c r="C167" s="11" t="s">
        <v>12</v>
      </c>
      <c r="D167" s="11">
        <v>45131</v>
      </c>
    </row>
    <row r="168" spans="2:4" x14ac:dyDescent="0.25">
      <c r="B168">
        <v>-2300</v>
      </c>
      <c r="C168" s="11" t="s">
        <v>13</v>
      </c>
      <c r="D168" s="11">
        <v>45145</v>
      </c>
    </row>
    <row r="169" spans="2:4" x14ac:dyDescent="0.25">
      <c r="B169">
        <v>3400</v>
      </c>
      <c r="C169" s="11" t="s">
        <v>12</v>
      </c>
      <c r="D169" s="11">
        <v>45234</v>
      </c>
    </row>
    <row r="170" spans="2:4" x14ac:dyDescent="0.25">
      <c r="B170">
        <v>-3400</v>
      </c>
      <c r="C170" s="11" t="s">
        <v>13</v>
      </c>
      <c r="D170" s="11">
        <v>45234</v>
      </c>
    </row>
    <row r="171" spans="2:4" x14ac:dyDescent="0.25">
      <c r="B171">
        <v>800</v>
      </c>
      <c r="C171" s="11" t="s">
        <v>12</v>
      </c>
      <c r="D171" s="11">
        <v>45247</v>
      </c>
    </row>
    <row r="172" spans="2:4" x14ac:dyDescent="0.25">
      <c r="B172">
        <v>-800</v>
      </c>
      <c r="C172" s="11" t="s">
        <v>13</v>
      </c>
      <c r="D172" s="11"/>
    </row>
    <row r="173" spans="2:4" x14ac:dyDescent="0.25">
      <c r="B173">
        <v>2600</v>
      </c>
      <c r="C173" s="11" t="s">
        <v>12</v>
      </c>
      <c r="D173" s="11"/>
    </row>
    <row r="174" spans="2:4" x14ac:dyDescent="0.25">
      <c r="B174">
        <v>-2600</v>
      </c>
      <c r="C174" s="11" t="s">
        <v>13</v>
      </c>
      <c r="D174" s="11"/>
    </row>
    <row r="175" spans="2:4" x14ac:dyDescent="0.25">
      <c r="B175">
        <v>1200</v>
      </c>
      <c r="C175" s="11" t="s">
        <v>12</v>
      </c>
      <c r="D175" s="11">
        <v>45412</v>
      </c>
    </row>
    <row r="176" spans="2:4" x14ac:dyDescent="0.25">
      <c r="B176">
        <v>-10000</v>
      </c>
      <c r="C176" s="11" t="s">
        <v>13</v>
      </c>
      <c r="D176" s="11">
        <v>45412</v>
      </c>
    </row>
    <row r="177" spans="2:4" x14ac:dyDescent="0.25">
      <c r="B177">
        <v>-50000</v>
      </c>
      <c r="C177" s="11" t="s">
        <v>13</v>
      </c>
      <c r="D177" s="11">
        <v>45534</v>
      </c>
    </row>
    <row r="178" spans="2:4" x14ac:dyDescent="0.25">
      <c r="B178">
        <v>38700</v>
      </c>
      <c r="C178" s="11" t="s">
        <v>12</v>
      </c>
      <c r="D178" s="11">
        <v>45534</v>
      </c>
    </row>
    <row r="179" spans="2:4" x14ac:dyDescent="0.25">
      <c r="B179">
        <v>14400</v>
      </c>
      <c r="C179" s="11" t="s">
        <v>12</v>
      </c>
      <c r="D179" s="11">
        <v>45608</v>
      </c>
    </row>
    <row r="180" spans="2:4" x14ac:dyDescent="0.25">
      <c r="B180">
        <v>-50000</v>
      </c>
      <c r="C180" s="11" t="s">
        <v>13</v>
      </c>
      <c r="D180" s="11">
        <v>45608</v>
      </c>
    </row>
    <row r="181" spans="2:4" x14ac:dyDescent="0.25">
      <c r="B181">
        <v>17800</v>
      </c>
      <c r="C181" s="11" t="s">
        <v>12</v>
      </c>
      <c r="D181" s="11">
        <v>45706</v>
      </c>
    </row>
    <row r="182" spans="2:4" x14ac:dyDescent="0.25">
      <c r="B182">
        <v>37700</v>
      </c>
      <c r="C182" s="11" t="s">
        <v>12</v>
      </c>
      <c r="D182" s="11">
        <v>45742</v>
      </c>
    </row>
    <row r="183" spans="2:4" x14ac:dyDescent="0.25">
      <c r="B183">
        <v>-37700</v>
      </c>
      <c r="C183" s="11" t="s">
        <v>13</v>
      </c>
      <c r="D183" s="11">
        <v>45742</v>
      </c>
    </row>
    <row r="184" spans="2:4" x14ac:dyDescent="0.25">
      <c r="B184">
        <v>19200</v>
      </c>
      <c r="C184" s="11" t="s">
        <v>13</v>
      </c>
      <c r="D184" s="11">
        <v>45757</v>
      </c>
    </row>
    <row r="185" spans="2:4" x14ac:dyDescent="0.25">
      <c r="B185">
        <v>8900</v>
      </c>
      <c r="C185" s="11" t="s">
        <v>138</v>
      </c>
      <c r="D185" s="11">
        <v>45833</v>
      </c>
    </row>
    <row r="186" spans="2:4" x14ac:dyDescent="0.25">
      <c r="B186">
        <v>-10000</v>
      </c>
      <c r="C186" s="11" t="s">
        <v>13</v>
      </c>
      <c r="D186" s="11"/>
    </row>
    <row r="187" spans="2:4" x14ac:dyDescent="0.25">
      <c r="B187">
        <v>19100</v>
      </c>
      <c r="C187" s="11" t="s">
        <v>12</v>
      </c>
      <c r="D187" s="11">
        <v>45835</v>
      </c>
    </row>
    <row r="188" spans="2:4" x14ac:dyDescent="0.25">
      <c r="B188">
        <v>-20000</v>
      </c>
      <c r="C188" s="11" t="s">
        <v>13</v>
      </c>
      <c r="D188" s="11">
        <v>45835</v>
      </c>
    </row>
    <row r="189" spans="2:4" x14ac:dyDescent="0.25">
      <c r="B189">
        <v>17800</v>
      </c>
      <c r="C189" s="11" t="s">
        <v>12</v>
      </c>
      <c r="D189" s="11">
        <v>45870</v>
      </c>
    </row>
    <row r="190" spans="2:4" x14ac:dyDescent="0.25">
      <c r="B190">
        <v>-18000</v>
      </c>
      <c r="C190" s="11" t="s">
        <v>13</v>
      </c>
      <c r="D190" s="11">
        <v>45870</v>
      </c>
    </row>
    <row r="191" spans="2:4" x14ac:dyDescent="0.25">
      <c r="B191">
        <v>8900</v>
      </c>
      <c r="C191" s="11" t="s">
        <v>138</v>
      </c>
      <c r="D191" s="11">
        <v>45887</v>
      </c>
    </row>
    <row r="192" spans="2:4" x14ac:dyDescent="0.25">
      <c r="B192">
        <v>-9000</v>
      </c>
      <c r="C192" s="11" t="s">
        <v>13</v>
      </c>
      <c r="D192" s="11"/>
    </row>
    <row r="193" spans="1:4" x14ac:dyDescent="0.25">
      <c r="B193">
        <v>2000</v>
      </c>
      <c r="C193" s="11" t="s">
        <v>138</v>
      </c>
      <c r="D193" s="11">
        <v>45911</v>
      </c>
    </row>
    <row r="194" spans="1:4" x14ac:dyDescent="0.25">
      <c r="B194">
        <v>-2000</v>
      </c>
      <c r="C194" s="11" t="s">
        <v>13</v>
      </c>
      <c r="D194" s="11"/>
    </row>
    <row r="195" spans="1:4" x14ac:dyDescent="0.25">
      <c r="A195" s="18"/>
      <c r="B195" s="143">
        <f>SUM(B65:B194)</f>
        <v>-23080.32</v>
      </c>
      <c r="C195" s="145">
        <v>45911</v>
      </c>
    </row>
    <row r="196" spans="1:4" x14ac:dyDescent="0.25">
      <c r="A196" s="18"/>
    </row>
    <row r="197" spans="1:4" x14ac:dyDescent="0.25">
      <c r="A197" s="18"/>
    </row>
    <row r="198" spans="1:4" x14ac:dyDescent="0.25">
      <c r="A198" s="18"/>
    </row>
    <row r="199" spans="1:4" x14ac:dyDescent="0.25">
      <c r="A199" s="18"/>
    </row>
    <row r="200" spans="1:4" x14ac:dyDescent="0.25">
      <c r="A200" s="18"/>
    </row>
    <row r="201" spans="1:4" x14ac:dyDescent="0.25">
      <c r="A201" s="18"/>
    </row>
    <row r="202" spans="1:4" x14ac:dyDescent="0.25">
      <c r="A202" s="18"/>
    </row>
    <row r="203" spans="1:4" x14ac:dyDescent="0.25">
      <c r="A203" s="18"/>
    </row>
    <row r="204" spans="1:4" x14ac:dyDescent="0.25">
      <c r="A204" s="18"/>
    </row>
    <row r="205" spans="1:4" x14ac:dyDescent="0.25">
      <c r="A205" s="18"/>
    </row>
    <row r="206" spans="1:4" x14ac:dyDescent="0.25">
      <c r="A206" s="18"/>
    </row>
    <row r="207" spans="1:4" x14ac:dyDescent="0.25">
      <c r="A207" s="18"/>
    </row>
    <row r="208" spans="1:4" x14ac:dyDescent="0.25">
      <c r="A208" s="18"/>
    </row>
    <row r="209" spans="1:2" x14ac:dyDescent="0.25">
      <c r="A209" s="18"/>
    </row>
    <row r="210" spans="1:2" x14ac:dyDescent="0.25">
      <c r="A210" s="18"/>
    </row>
    <row r="211" spans="1:2" x14ac:dyDescent="0.25">
      <c r="A211" s="18"/>
    </row>
    <row r="212" spans="1:2" x14ac:dyDescent="0.25">
      <c r="A212" s="18"/>
    </row>
    <row r="213" spans="1:2" x14ac:dyDescent="0.25">
      <c r="A213" s="18"/>
    </row>
    <row r="214" spans="1:2" x14ac:dyDescent="0.25">
      <c r="A214" s="18"/>
    </row>
    <row r="215" spans="1:2" x14ac:dyDescent="0.25">
      <c r="A215" s="18"/>
    </row>
    <row r="216" spans="1:2" x14ac:dyDescent="0.25">
      <c r="A216" s="18"/>
    </row>
    <row r="217" spans="1:2" x14ac:dyDescent="0.25">
      <c r="A217" s="18"/>
      <c r="B217" s="21"/>
    </row>
    <row r="218" spans="1:2" x14ac:dyDescent="0.25">
      <c r="A218" s="18"/>
    </row>
  </sheetData>
  <pageMargins left="0.7" right="0.7" top="0.75" bottom="0.75" header="0.51180555555555496" footer="0.51180555555555496"/>
  <pageSetup paperSize="9" firstPageNumber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8"/>
  <sheetViews>
    <sheetView zoomScale="110" zoomScaleNormal="110" workbookViewId="0">
      <selection activeCell="B15" sqref="B15:I16"/>
    </sheetView>
  </sheetViews>
  <sheetFormatPr baseColWidth="10" defaultRowHeight="15" x14ac:dyDescent="0.25"/>
  <cols>
    <col min="1" max="1" width="9.42578125" bestFit="1" customWidth="1"/>
    <col min="2" max="2" width="11.85546875" customWidth="1"/>
    <col min="3" max="3" width="11.140625" customWidth="1"/>
    <col min="4" max="4" width="11.5703125" customWidth="1"/>
    <col min="6" max="6" width="10.42578125" customWidth="1"/>
    <col min="7" max="7" width="11.42578125" customWidth="1"/>
    <col min="8" max="8" width="11.28515625" customWidth="1"/>
    <col min="9" max="9" width="15.140625" bestFit="1" customWidth="1"/>
    <col min="10" max="10" width="11.42578125" customWidth="1"/>
    <col min="11" max="11" width="12.7109375" bestFit="1" customWidth="1"/>
  </cols>
  <sheetData>
    <row r="1" spans="1:11" x14ac:dyDescent="0.25">
      <c r="D1" s="171" t="s">
        <v>81</v>
      </c>
      <c r="E1" s="114"/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ht="14.25" customHeight="1" x14ac:dyDescent="0.25">
      <c r="A3" s="91">
        <v>46142</v>
      </c>
      <c r="B3" s="82" t="s">
        <v>296</v>
      </c>
      <c r="C3" s="124" t="s">
        <v>9</v>
      </c>
      <c r="D3" s="82">
        <v>820</v>
      </c>
      <c r="E3" s="82"/>
      <c r="F3" s="82">
        <v>33.5</v>
      </c>
      <c r="G3" s="82"/>
      <c r="H3" s="90">
        <v>190073</v>
      </c>
      <c r="I3" s="90" t="s">
        <v>304</v>
      </c>
      <c r="J3" s="138"/>
      <c r="K3" s="218"/>
    </row>
    <row r="4" spans="1:11" ht="14.25" customHeight="1" x14ac:dyDescent="0.25">
      <c r="A4" s="91">
        <v>46144</v>
      </c>
      <c r="B4" s="82" t="s">
        <v>9</v>
      </c>
      <c r="C4" s="124" t="s">
        <v>351</v>
      </c>
      <c r="D4" s="82">
        <v>1010</v>
      </c>
      <c r="E4" s="82"/>
      <c r="F4" s="82">
        <v>34.25</v>
      </c>
      <c r="G4" s="82"/>
      <c r="H4" s="90">
        <v>620680</v>
      </c>
      <c r="I4" s="90" t="s">
        <v>257</v>
      </c>
      <c r="J4" s="138"/>
      <c r="K4" s="218"/>
    </row>
    <row r="5" spans="1:11" ht="14.25" customHeight="1" x14ac:dyDescent="0.25">
      <c r="A5" s="91">
        <v>46147</v>
      </c>
      <c r="B5" s="82" t="s">
        <v>351</v>
      </c>
      <c r="C5" s="124" t="s">
        <v>227</v>
      </c>
      <c r="D5" s="82">
        <v>240</v>
      </c>
      <c r="E5" s="82"/>
      <c r="F5" s="82"/>
      <c r="G5" s="82"/>
      <c r="H5" s="83" t="s">
        <v>66</v>
      </c>
      <c r="I5" s="90"/>
      <c r="J5" s="138"/>
      <c r="K5" s="218"/>
    </row>
    <row r="6" spans="1:11" ht="14.25" customHeight="1" x14ac:dyDescent="0.25">
      <c r="A6" s="91">
        <v>46147</v>
      </c>
      <c r="B6" s="82" t="s">
        <v>296</v>
      </c>
      <c r="C6" s="124" t="s">
        <v>9</v>
      </c>
      <c r="D6" s="82">
        <v>820</v>
      </c>
      <c r="E6" s="82"/>
      <c r="F6" s="82">
        <v>33.5</v>
      </c>
      <c r="G6" s="82"/>
      <c r="H6" s="90">
        <v>190095</v>
      </c>
      <c r="I6" s="90" t="s">
        <v>304</v>
      </c>
      <c r="J6" s="138"/>
      <c r="K6" s="218"/>
    </row>
    <row r="7" spans="1:11" ht="14.25" customHeight="1" x14ac:dyDescent="0.25">
      <c r="A7" s="91">
        <v>46148</v>
      </c>
      <c r="B7" s="82" t="s">
        <v>9</v>
      </c>
      <c r="C7" s="124" t="s">
        <v>302</v>
      </c>
      <c r="D7" s="82">
        <v>370</v>
      </c>
      <c r="E7" s="82"/>
      <c r="F7" s="82"/>
      <c r="G7" s="82"/>
      <c r="H7" s="90">
        <v>295169</v>
      </c>
      <c r="I7" s="90"/>
      <c r="J7" s="138"/>
      <c r="K7" s="218"/>
    </row>
    <row r="8" spans="1:11" ht="14.25" customHeight="1" x14ac:dyDescent="0.25">
      <c r="A8" s="91">
        <v>46149</v>
      </c>
      <c r="B8" s="82" t="s">
        <v>302</v>
      </c>
      <c r="C8" s="124" t="s">
        <v>9</v>
      </c>
      <c r="D8" s="82">
        <v>370</v>
      </c>
      <c r="E8" s="82"/>
      <c r="F8" s="82"/>
      <c r="G8" s="82"/>
      <c r="H8" s="83" t="s">
        <v>66</v>
      </c>
      <c r="I8" s="90"/>
      <c r="J8" s="138"/>
      <c r="K8" s="218"/>
    </row>
    <row r="9" spans="1:11" ht="14.25" customHeight="1" x14ac:dyDescent="0.25">
      <c r="A9" s="91">
        <v>46151</v>
      </c>
      <c r="B9" s="82" t="s">
        <v>9</v>
      </c>
      <c r="C9" s="124" t="s">
        <v>351</v>
      </c>
      <c r="D9" s="82">
        <v>1010</v>
      </c>
      <c r="E9" s="82"/>
      <c r="F9" s="82"/>
      <c r="G9" s="82"/>
      <c r="H9" s="90">
        <v>621107</v>
      </c>
      <c r="I9" s="90" t="s">
        <v>257</v>
      </c>
      <c r="J9" s="138"/>
      <c r="K9" s="218"/>
    </row>
    <row r="10" spans="1:11" ht="14.25" customHeight="1" x14ac:dyDescent="0.25">
      <c r="A10" s="91">
        <v>46153</v>
      </c>
      <c r="B10" s="82" t="s">
        <v>351</v>
      </c>
      <c r="C10" s="124" t="s">
        <v>508</v>
      </c>
      <c r="D10" s="82">
        <v>280</v>
      </c>
      <c r="E10" s="82"/>
      <c r="F10" s="82"/>
      <c r="G10" s="82"/>
      <c r="H10" s="83" t="s">
        <v>66</v>
      </c>
      <c r="I10" s="90"/>
      <c r="J10" s="138"/>
      <c r="K10" s="218"/>
    </row>
    <row r="11" spans="1:11" ht="14.25" customHeight="1" x14ac:dyDescent="0.25">
      <c r="A11" s="91">
        <v>46153</v>
      </c>
      <c r="B11" s="82" t="s">
        <v>508</v>
      </c>
      <c r="C11" s="124" t="s">
        <v>227</v>
      </c>
      <c r="D11" s="82">
        <v>90</v>
      </c>
      <c r="E11" s="82"/>
      <c r="F11" s="82"/>
      <c r="G11" s="82"/>
      <c r="H11" s="90">
        <v>163166</v>
      </c>
      <c r="I11" s="90"/>
      <c r="J11" s="138"/>
      <c r="K11" s="218"/>
    </row>
    <row r="12" spans="1:11" ht="14.25" customHeight="1" x14ac:dyDescent="0.25">
      <c r="A12" s="91">
        <v>46154</v>
      </c>
      <c r="B12" s="82" t="s">
        <v>296</v>
      </c>
      <c r="C12" s="124" t="s">
        <v>9</v>
      </c>
      <c r="D12" s="82">
        <v>820</v>
      </c>
      <c r="E12" s="82"/>
      <c r="F12" s="82">
        <v>34</v>
      </c>
      <c r="G12" s="82"/>
      <c r="H12" s="90">
        <v>190432</v>
      </c>
      <c r="I12" s="90" t="s">
        <v>304</v>
      </c>
      <c r="J12" s="138"/>
      <c r="K12" s="218"/>
    </row>
    <row r="13" spans="1:11" ht="14.25" customHeight="1" x14ac:dyDescent="0.25">
      <c r="A13" s="91">
        <v>46155</v>
      </c>
      <c r="B13" s="82" t="s">
        <v>9</v>
      </c>
      <c r="C13" s="124" t="s">
        <v>416</v>
      </c>
      <c r="D13" s="82">
        <v>150</v>
      </c>
      <c r="E13" s="82"/>
      <c r="F13" s="82"/>
      <c r="G13" s="82"/>
      <c r="H13" s="90">
        <v>621453</v>
      </c>
      <c r="I13" s="90"/>
      <c r="J13" s="138"/>
      <c r="K13" s="218"/>
    </row>
    <row r="14" spans="1:11" ht="14.25" customHeight="1" x14ac:dyDescent="0.25">
      <c r="A14" s="91">
        <v>46156</v>
      </c>
      <c r="B14" s="82" t="s">
        <v>416</v>
      </c>
      <c r="C14" s="124" t="s">
        <v>9</v>
      </c>
      <c r="D14" s="82">
        <v>150</v>
      </c>
      <c r="E14" s="82"/>
      <c r="F14" s="82"/>
      <c r="G14" s="82"/>
      <c r="H14" s="83" t="s">
        <v>66</v>
      </c>
      <c r="I14" s="90"/>
      <c r="J14" s="138"/>
      <c r="K14" s="218"/>
    </row>
    <row r="15" spans="1:11" ht="14.25" customHeight="1" x14ac:dyDescent="0.25">
      <c r="A15" s="91">
        <v>46156</v>
      </c>
      <c r="B15" s="227" t="s">
        <v>9</v>
      </c>
      <c r="C15" s="82" t="s">
        <v>104</v>
      </c>
      <c r="D15" s="82">
        <v>320</v>
      </c>
      <c r="E15" s="82"/>
      <c r="F15" s="82"/>
      <c r="G15" s="82"/>
      <c r="H15" s="123">
        <v>771914</v>
      </c>
      <c r="I15" s="90"/>
      <c r="J15" s="138"/>
      <c r="K15" s="218"/>
    </row>
    <row r="16" spans="1:11" ht="14.25" customHeight="1" x14ac:dyDescent="0.25">
      <c r="A16" s="91">
        <v>46157</v>
      </c>
      <c r="B16" s="227" t="s">
        <v>104</v>
      </c>
      <c r="C16" s="82" t="s">
        <v>9</v>
      </c>
      <c r="D16" s="82">
        <v>320</v>
      </c>
      <c r="E16" s="82"/>
      <c r="F16" s="82"/>
      <c r="G16" s="82"/>
      <c r="H16" s="123" t="s">
        <v>102</v>
      </c>
      <c r="I16" s="90" t="s">
        <v>306</v>
      </c>
      <c r="J16" s="138"/>
      <c r="K16" s="218"/>
    </row>
    <row r="17" spans="1:11" ht="14.25" customHeight="1" x14ac:dyDescent="0.25">
      <c r="A17" s="91"/>
      <c r="B17" s="82"/>
      <c r="C17" s="124"/>
      <c r="D17" s="82"/>
      <c r="E17" s="82"/>
      <c r="F17" s="82"/>
      <c r="G17" s="82"/>
      <c r="H17" s="83"/>
      <c r="I17" s="90"/>
      <c r="J17" s="138"/>
      <c r="K17" s="218"/>
    </row>
    <row r="18" spans="1:11" ht="14.25" customHeight="1" x14ac:dyDescent="0.25">
      <c r="A18" s="91"/>
      <c r="B18" s="82"/>
      <c r="C18" s="124"/>
      <c r="D18" s="82"/>
      <c r="E18" s="82"/>
      <c r="F18" s="82"/>
      <c r="G18" s="82"/>
      <c r="H18" s="83"/>
      <c r="I18" s="90"/>
      <c r="J18" s="138"/>
      <c r="K18" s="218"/>
    </row>
    <row r="19" spans="1:11" ht="14.25" customHeight="1" x14ac:dyDescent="0.25">
      <c r="A19" s="91"/>
      <c r="B19" s="82"/>
      <c r="C19" s="124"/>
      <c r="D19" s="82"/>
      <c r="E19" s="82"/>
      <c r="F19" s="82"/>
      <c r="G19" s="82"/>
      <c r="H19" s="83"/>
      <c r="I19" s="90"/>
      <c r="J19" s="138"/>
      <c r="K19" s="218"/>
    </row>
    <row r="20" spans="1:11" ht="14.25" customHeight="1" x14ac:dyDescent="0.25">
      <c r="A20" s="91"/>
      <c r="B20" s="82"/>
      <c r="C20" s="124"/>
      <c r="D20" s="82"/>
      <c r="E20" s="82"/>
      <c r="F20" s="82"/>
      <c r="G20" s="82"/>
      <c r="H20" s="83"/>
      <c r="I20" s="90"/>
      <c r="J20" s="138"/>
      <c r="K20" s="218"/>
    </row>
    <row r="21" spans="1:11" ht="14.25" customHeight="1" x14ac:dyDescent="0.25">
      <c r="A21" s="91"/>
      <c r="B21" s="82"/>
      <c r="C21" s="124"/>
      <c r="D21" s="82"/>
      <c r="E21" s="82"/>
      <c r="F21" s="82"/>
      <c r="G21" s="82"/>
      <c r="H21" s="83"/>
      <c r="I21" s="90"/>
      <c r="J21" s="138"/>
      <c r="K21" s="218"/>
    </row>
    <row r="22" spans="1:11" ht="14.25" customHeight="1" x14ac:dyDescent="0.25">
      <c r="A22" s="91"/>
      <c r="B22" s="82"/>
      <c r="C22" s="124"/>
      <c r="D22" s="82"/>
      <c r="E22" s="82"/>
      <c r="F22" s="82"/>
      <c r="G22" s="82"/>
      <c r="H22" s="83"/>
      <c r="I22" s="90"/>
      <c r="J22" s="138"/>
      <c r="K22" s="218"/>
    </row>
    <row r="23" spans="1:11" ht="14.25" customHeight="1" x14ac:dyDescent="0.25">
      <c r="A23" s="91"/>
      <c r="B23" s="82"/>
      <c r="C23" s="124"/>
      <c r="D23" s="82"/>
      <c r="E23" s="82"/>
      <c r="F23" s="82"/>
      <c r="G23" s="82"/>
      <c r="H23" s="83"/>
      <c r="I23" s="90"/>
      <c r="J23" s="138"/>
      <c r="K23" s="218"/>
    </row>
    <row r="24" spans="1:11" ht="14.25" customHeight="1" x14ac:dyDescent="0.25">
      <c r="A24" s="91"/>
      <c r="B24" s="82"/>
      <c r="C24" s="124"/>
      <c r="D24" s="82"/>
      <c r="E24" s="82"/>
      <c r="F24" s="82"/>
      <c r="G24" s="82"/>
      <c r="H24" s="83"/>
      <c r="I24" s="90"/>
      <c r="J24" s="138"/>
      <c r="K24" s="218"/>
    </row>
    <row r="25" spans="1:11" ht="14.25" customHeight="1" x14ac:dyDescent="0.25">
      <c r="A25" s="91"/>
      <c r="B25" s="82"/>
      <c r="C25" s="124"/>
      <c r="D25" s="82"/>
      <c r="E25" s="82"/>
      <c r="F25" s="82"/>
      <c r="G25" s="82"/>
      <c r="H25" s="83"/>
      <c r="I25" s="90"/>
      <c r="J25" s="138"/>
      <c r="K25" s="218"/>
    </row>
    <row r="26" spans="1:11" ht="14.25" customHeight="1" x14ac:dyDescent="0.25">
      <c r="A26" s="91"/>
      <c r="B26" s="82"/>
      <c r="C26" s="124"/>
      <c r="D26" s="82"/>
      <c r="E26" s="82"/>
      <c r="F26" s="82"/>
      <c r="G26" s="82"/>
      <c r="H26" s="83"/>
      <c r="I26" s="90"/>
      <c r="J26" s="138"/>
      <c r="K26" s="218"/>
    </row>
    <row r="27" spans="1:11" ht="14.25" customHeight="1" x14ac:dyDescent="0.25">
      <c r="A27" s="91"/>
      <c r="B27" s="82"/>
      <c r="C27" s="124"/>
      <c r="D27" s="82"/>
      <c r="E27" s="82"/>
      <c r="F27" s="82"/>
      <c r="G27" s="82"/>
      <c r="H27" s="83"/>
      <c r="I27" s="90"/>
      <c r="J27" s="138"/>
      <c r="K27" s="218"/>
    </row>
    <row r="28" spans="1:11" ht="14.25" customHeight="1" x14ac:dyDescent="0.25">
      <c r="A28" s="91"/>
      <c r="B28" s="82"/>
      <c r="C28" s="124"/>
      <c r="D28" s="82"/>
      <c r="E28" s="82"/>
      <c r="F28" s="82"/>
      <c r="G28" s="82"/>
      <c r="H28" s="83"/>
      <c r="I28" s="90"/>
      <c r="J28" s="138"/>
      <c r="K28" s="218"/>
    </row>
    <row r="29" spans="1:11" ht="14.25" customHeight="1" x14ac:dyDescent="0.25">
      <c r="A29" s="91">
        <v>46113</v>
      </c>
      <c r="B29" s="82" t="s">
        <v>358</v>
      </c>
      <c r="C29" s="124" t="s">
        <v>9</v>
      </c>
      <c r="D29" s="82">
        <v>970</v>
      </c>
      <c r="E29" s="82"/>
      <c r="F29" s="82"/>
      <c r="G29" s="82"/>
      <c r="H29" s="83" t="s">
        <v>66</v>
      </c>
      <c r="I29" s="90"/>
      <c r="J29" s="138"/>
      <c r="K29" s="218"/>
    </row>
    <row r="30" spans="1:11" ht="14.25" customHeight="1" x14ac:dyDescent="0.25">
      <c r="A30" s="91">
        <v>46116</v>
      </c>
      <c r="B30" s="227" t="s">
        <v>9</v>
      </c>
      <c r="C30" s="124" t="s">
        <v>300</v>
      </c>
      <c r="D30" s="82">
        <v>420</v>
      </c>
      <c r="E30" s="82"/>
      <c r="F30" s="82">
        <v>34.94</v>
      </c>
      <c r="G30" s="82"/>
      <c r="H30" s="123">
        <v>619007</v>
      </c>
      <c r="I30" s="90" t="s">
        <v>257</v>
      </c>
      <c r="J30" s="138"/>
      <c r="K30" s="218"/>
    </row>
    <row r="31" spans="1:11" ht="14.25" customHeight="1" x14ac:dyDescent="0.25">
      <c r="A31" s="91">
        <v>46118</v>
      </c>
      <c r="B31" s="82" t="s">
        <v>300</v>
      </c>
      <c r="C31" s="124" t="s">
        <v>229</v>
      </c>
      <c r="D31" s="82">
        <v>150</v>
      </c>
      <c r="E31" s="82"/>
      <c r="F31" s="82"/>
      <c r="G31" s="82"/>
      <c r="H31" s="83" t="s">
        <v>66</v>
      </c>
      <c r="I31" s="90"/>
      <c r="J31" s="138"/>
      <c r="K31" s="218"/>
    </row>
    <row r="32" spans="1:11" ht="14.25" customHeight="1" x14ac:dyDescent="0.25">
      <c r="A32" s="91">
        <v>46118</v>
      </c>
      <c r="B32" s="82" t="s">
        <v>229</v>
      </c>
      <c r="C32" s="124" t="s">
        <v>10</v>
      </c>
      <c r="D32" s="82">
        <v>10</v>
      </c>
      <c r="E32" s="82"/>
      <c r="F32" s="82"/>
      <c r="G32" s="82"/>
      <c r="H32" s="90">
        <v>1063483</v>
      </c>
      <c r="I32" s="90" t="s">
        <v>360</v>
      </c>
      <c r="J32" s="138"/>
      <c r="K32" s="218"/>
    </row>
    <row r="33" spans="1:11" ht="14.25" customHeight="1" x14ac:dyDescent="0.25">
      <c r="A33" s="91">
        <v>46119</v>
      </c>
      <c r="B33" s="82" t="s">
        <v>10</v>
      </c>
      <c r="C33" s="124" t="s">
        <v>229</v>
      </c>
      <c r="D33" s="82">
        <v>10</v>
      </c>
      <c r="E33" s="82"/>
      <c r="F33" s="82"/>
      <c r="G33" s="82"/>
      <c r="H33" s="128" t="s">
        <v>66</v>
      </c>
      <c r="I33" s="90"/>
      <c r="J33" s="138"/>
      <c r="K33" s="218"/>
    </row>
    <row r="34" spans="1:11" ht="14.25" customHeight="1" x14ac:dyDescent="0.25">
      <c r="A34" s="91">
        <v>46119</v>
      </c>
      <c r="B34" s="82" t="s">
        <v>229</v>
      </c>
      <c r="C34" s="124" t="s">
        <v>10</v>
      </c>
      <c r="D34" s="82">
        <v>10</v>
      </c>
      <c r="E34" s="82"/>
      <c r="F34" s="82"/>
      <c r="G34" s="82"/>
      <c r="H34" s="123">
        <v>1063606</v>
      </c>
      <c r="I34" s="90" t="s">
        <v>360</v>
      </c>
      <c r="J34" s="138"/>
      <c r="K34" s="218"/>
    </row>
    <row r="35" spans="1:11" ht="14.25" customHeight="1" x14ac:dyDescent="0.25">
      <c r="A35" s="91">
        <v>46119</v>
      </c>
      <c r="B35" s="82" t="s">
        <v>10</v>
      </c>
      <c r="C35" s="82" t="s">
        <v>9</v>
      </c>
      <c r="D35" s="82">
        <v>500</v>
      </c>
      <c r="E35" s="82"/>
      <c r="F35" s="82">
        <v>34.01</v>
      </c>
      <c r="G35" s="82"/>
      <c r="H35" s="123">
        <v>1063679</v>
      </c>
      <c r="I35" s="90" t="s">
        <v>368</v>
      </c>
      <c r="J35" s="138"/>
      <c r="K35" s="218"/>
    </row>
    <row r="36" spans="1:11" ht="14.25" customHeight="1" x14ac:dyDescent="0.25">
      <c r="A36" s="91">
        <v>46120</v>
      </c>
      <c r="B36" s="227" t="s">
        <v>9</v>
      </c>
      <c r="C36" s="124" t="s">
        <v>300</v>
      </c>
      <c r="D36" s="82">
        <v>420</v>
      </c>
      <c r="E36" s="82"/>
      <c r="F36" s="82">
        <v>34.68</v>
      </c>
      <c r="G36" s="82"/>
      <c r="H36" s="123">
        <v>619233</v>
      </c>
      <c r="I36" s="90" t="s">
        <v>257</v>
      </c>
      <c r="J36" s="138"/>
      <c r="K36" s="218"/>
    </row>
    <row r="37" spans="1:11" ht="14.25" customHeight="1" x14ac:dyDescent="0.25">
      <c r="A37" s="91">
        <v>46121</v>
      </c>
      <c r="B37" s="82" t="s">
        <v>300</v>
      </c>
      <c r="C37" s="124" t="s">
        <v>229</v>
      </c>
      <c r="D37" s="82">
        <v>150</v>
      </c>
      <c r="E37" s="82"/>
      <c r="F37" s="82"/>
      <c r="G37" s="82"/>
      <c r="H37" s="83" t="s">
        <v>66</v>
      </c>
      <c r="I37" s="90"/>
      <c r="J37" s="138"/>
      <c r="K37" s="218"/>
    </row>
    <row r="38" spans="1:11" ht="14.25" customHeight="1" x14ac:dyDescent="0.25">
      <c r="A38" s="91">
        <v>46121</v>
      </c>
      <c r="B38" s="82" t="s">
        <v>229</v>
      </c>
      <c r="C38" s="124" t="s">
        <v>10</v>
      </c>
      <c r="D38" s="82">
        <v>10</v>
      </c>
      <c r="E38" s="82"/>
      <c r="F38" s="82"/>
      <c r="G38" s="82"/>
      <c r="H38" s="90">
        <v>1064286</v>
      </c>
      <c r="I38" s="90" t="s">
        <v>360</v>
      </c>
      <c r="J38" s="138"/>
      <c r="K38" s="218"/>
    </row>
    <row r="39" spans="1:11" ht="14.25" customHeight="1" x14ac:dyDescent="0.25">
      <c r="A39" s="91">
        <v>46122</v>
      </c>
      <c r="B39" s="82" t="s">
        <v>10</v>
      </c>
      <c r="C39" s="124" t="s">
        <v>229</v>
      </c>
      <c r="D39" s="82">
        <v>10</v>
      </c>
      <c r="E39" s="82"/>
      <c r="F39" s="82"/>
      <c r="G39" s="82"/>
      <c r="H39" s="128" t="s">
        <v>66</v>
      </c>
      <c r="I39" s="90"/>
      <c r="J39" s="138"/>
      <c r="K39" s="218"/>
    </row>
    <row r="40" spans="1:11" ht="14.25" customHeight="1" x14ac:dyDescent="0.25">
      <c r="A40" s="91">
        <v>46122</v>
      </c>
      <c r="B40" s="82" t="s">
        <v>229</v>
      </c>
      <c r="C40" s="124" t="s">
        <v>10</v>
      </c>
      <c r="D40" s="82">
        <v>10</v>
      </c>
      <c r="E40" s="82"/>
      <c r="F40" s="82"/>
      <c r="G40" s="82"/>
      <c r="H40" s="123">
        <v>1064365</v>
      </c>
      <c r="I40" s="90" t="s">
        <v>360</v>
      </c>
      <c r="J40" s="138"/>
      <c r="K40" s="218"/>
    </row>
    <row r="41" spans="1:11" ht="14.25" customHeight="1" x14ac:dyDescent="0.25">
      <c r="A41" s="91">
        <v>46122</v>
      </c>
      <c r="B41" s="82" t="s">
        <v>10</v>
      </c>
      <c r="C41" s="82" t="s">
        <v>9</v>
      </c>
      <c r="D41" s="82">
        <v>500</v>
      </c>
      <c r="E41" s="82"/>
      <c r="F41" s="82"/>
      <c r="G41" s="82"/>
      <c r="H41" s="123">
        <v>1064490</v>
      </c>
      <c r="I41" s="90" t="s">
        <v>368</v>
      </c>
      <c r="J41" s="138"/>
      <c r="K41" s="218"/>
    </row>
    <row r="42" spans="1:11" ht="14.25" customHeight="1" x14ac:dyDescent="0.25">
      <c r="A42" s="179">
        <v>46126</v>
      </c>
      <c r="B42" s="82" t="s">
        <v>9</v>
      </c>
      <c r="C42" s="124" t="s">
        <v>300</v>
      </c>
      <c r="D42" s="82">
        <v>420</v>
      </c>
      <c r="E42" s="82"/>
      <c r="F42" s="82">
        <v>34.659999999999997</v>
      </c>
      <c r="G42" s="82"/>
      <c r="H42" s="90">
        <v>619581</v>
      </c>
      <c r="I42" s="90" t="s">
        <v>257</v>
      </c>
      <c r="J42" s="138"/>
      <c r="K42" s="218"/>
    </row>
    <row r="43" spans="1:11" ht="14.25" customHeight="1" x14ac:dyDescent="0.25">
      <c r="A43" s="179">
        <v>46127</v>
      </c>
      <c r="B43" s="227" t="s">
        <v>300</v>
      </c>
      <c r="C43" s="82" t="s">
        <v>357</v>
      </c>
      <c r="D43" s="82">
        <v>10</v>
      </c>
      <c r="E43" s="82"/>
      <c r="F43" s="82"/>
      <c r="G43" s="82"/>
      <c r="H43" s="128" t="s">
        <v>66</v>
      </c>
      <c r="I43" s="90"/>
      <c r="J43" s="138"/>
      <c r="K43" s="218"/>
    </row>
    <row r="44" spans="1:11" ht="14.25" customHeight="1" x14ac:dyDescent="0.25">
      <c r="A44" s="179">
        <v>46127</v>
      </c>
      <c r="B44" s="82" t="s">
        <v>300</v>
      </c>
      <c r="C44" s="124" t="s">
        <v>356</v>
      </c>
      <c r="D44" s="82">
        <v>990</v>
      </c>
      <c r="E44" s="82"/>
      <c r="F44" s="82">
        <v>33.799999999999997</v>
      </c>
      <c r="G44" s="82"/>
      <c r="H44" s="90">
        <v>153208</v>
      </c>
      <c r="I44" s="90" t="s">
        <v>357</v>
      </c>
      <c r="J44" s="138"/>
      <c r="K44" s="218"/>
    </row>
    <row r="45" spans="1:11" ht="14.25" customHeight="1" x14ac:dyDescent="0.25">
      <c r="A45" s="179">
        <v>46128</v>
      </c>
      <c r="B45" s="82" t="s">
        <v>356</v>
      </c>
      <c r="C45" s="124" t="s">
        <v>421</v>
      </c>
      <c r="D45" s="82">
        <v>390</v>
      </c>
      <c r="E45" s="82"/>
      <c r="F45" s="82"/>
      <c r="G45" s="82"/>
      <c r="H45" s="90">
        <v>504061</v>
      </c>
      <c r="I45" s="90"/>
      <c r="J45" s="138"/>
      <c r="K45" s="218"/>
    </row>
    <row r="46" spans="1:11" ht="14.25" customHeight="1" x14ac:dyDescent="0.25">
      <c r="A46" s="179">
        <v>46129</v>
      </c>
      <c r="B46" s="82" t="s">
        <v>421</v>
      </c>
      <c r="C46" s="124" t="s">
        <v>347</v>
      </c>
      <c r="D46" s="82">
        <v>120</v>
      </c>
      <c r="E46" s="82"/>
      <c r="F46" s="82"/>
      <c r="G46" s="82"/>
      <c r="H46" s="128" t="s">
        <v>66</v>
      </c>
      <c r="I46" s="90"/>
      <c r="J46" s="138"/>
      <c r="K46" s="218"/>
    </row>
    <row r="47" spans="1:11" ht="14.25" customHeight="1" x14ac:dyDescent="0.25">
      <c r="A47" s="179">
        <v>46129</v>
      </c>
      <c r="B47" s="82" t="s">
        <v>347</v>
      </c>
      <c r="C47" s="124" t="s">
        <v>75</v>
      </c>
      <c r="D47" s="82">
        <v>340</v>
      </c>
      <c r="E47" s="82"/>
      <c r="F47" s="82">
        <v>33.1</v>
      </c>
      <c r="G47" s="82"/>
      <c r="H47" s="90" t="s">
        <v>443</v>
      </c>
      <c r="I47" s="90"/>
      <c r="J47" s="138"/>
      <c r="K47" s="218"/>
    </row>
    <row r="48" spans="1:11" ht="14.25" customHeight="1" x14ac:dyDescent="0.25">
      <c r="A48" s="179">
        <v>46130</v>
      </c>
      <c r="B48" s="82" t="s">
        <v>75</v>
      </c>
      <c r="C48" s="124" t="s">
        <v>10</v>
      </c>
      <c r="D48" s="82">
        <v>80</v>
      </c>
      <c r="E48" s="82"/>
      <c r="F48" s="82"/>
      <c r="G48" s="82"/>
      <c r="H48" s="128" t="s">
        <v>66</v>
      </c>
      <c r="I48" s="90"/>
      <c r="J48" s="138"/>
      <c r="K48" s="218"/>
    </row>
    <row r="49" spans="1:11" ht="14.25" customHeight="1" x14ac:dyDescent="0.25">
      <c r="A49" s="179">
        <v>46130</v>
      </c>
      <c r="B49" s="82" t="s">
        <v>10</v>
      </c>
      <c r="C49" s="124" t="s">
        <v>9</v>
      </c>
      <c r="D49" s="82">
        <v>500</v>
      </c>
      <c r="E49" s="82"/>
      <c r="F49" s="82">
        <v>34.24</v>
      </c>
      <c r="G49" s="82"/>
      <c r="H49" s="123">
        <v>1065841</v>
      </c>
      <c r="I49" s="90" t="s">
        <v>368</v>
      </c>
      <c r="J49" s="138"/>
      <c r="K49" s="218"/>
    </row>
    <row r="50" spans="1:11" ht="14.25" customHeight="1" x14ac:dyDescent="0.25">
      <c r="A50" s="179">
        <v>46135</v>
      </c>
      <c r="B50" s="227" t="s">
        <v>9</v>
      </c>
      <c r="C50" s="82" t="s">
        <v>300</v>
      </c>
      <c r="D50" s="82">
        <v>430</v>
      </c>
      <c r="E50" s="82"/>
      <c r="F50" s="227"/>
      <c r="G50" s="82"/>
      <c r="H50" s="90" t="s">
        <v>444</v>
      </c>
      <c r="I50" s="90" t="s">
        <v>15</v>
      </c>
      <c r="J50" s="138"/>
      <c r="K50" s="218"/>
    </row>
    <row r="51" spans="1:11" ht="14.25" customHeight="1" x14ac:dyDescent="0.25">
      <c r="A51" s="179">
        <v>46136</v>
      </c>
      <c r="B51" s="82" t="s">
        <v>300</v>
      </c>
      <c r="C51" s="124" t="s">
        <v>10</v>
      </c>
      <c r="D51" s="82">
        <v>150</v>
      </c>
      <c r="E51" s="82"/>
      <c r="F51" s="82"/>
      <c r="G51" s="82"/>
      <c r="H51" s="128" t="s">
        <v>66</v>
      </c>
      <c r="I51" s="90"/>
      <c r="J51" s="138"/>
      <c r="K51" s="218"/>
    </row>
    <row r="52" spans="1:11" ht="14.25" customHeight="1" x14ac:dyDescent="0.25">
      <c r="A52" s="179">
        <v>46136</v>
      </c>
      <c r="B52" s="82" t="s">
        <v>10</v>
      </c>
      <c r="C52" s="124" t="s">
        <v>351</v>
      </c>
      <c r="D52" s="82">
        <v>1470</v>
      </c>
      <c r="E52" s="82"/>
      <c r="F52" s="82">
        <v>33.92</v>
      </c>
      <c r="G52" s="82"/>
      <c r="H52" s="123">
        <v>1066905</v>
      </c>
      <c r="I52" s="90" t="s">
        <v>368</v>
      </c>
      <c r="J52" s="138"/>
      <c r="K52" s="218"/>
    </row>
    <row r="53" spans="1:11" ht="14.25" customHeight="1" x14ac:dyDescent="0.25">
      <c r="A53" s="179">
        <v>46140</v>
      </c>
      <c r="B53" s="82" t="s">
        <v>351</v>
      </c>
      <c r="C53" s="124" t="s">
        <v>9</v>
      </c>
      <c r="D53" s="82">
        <v>1060</v>
      </c>
      <c r="E53" s="82"/>
      <c r="F53" s="82"/>
      <c r="G53" s="82"/>
      <c r="H53" s="123">
        <v>16441</v>
      </c>
      <c r="I53" s="90" t="s">
        <v>365</v>
      </c>
      <c r="J53" s="138"/>
      <c r="K53" s="218"/>
    </row>
    <row r="54" spans="1:11" ht="14.25" customHeight="1" x14ac:dyDescent="0.25">
      <c r="A54" s="179">
        <v>46141</v>
      </c>
      <c r="B54" s="82" t="s">
        <v>9</v>
      </c>
      <c r="C54" s="124" t="s">
        <v>351</v>
      </c>
      <c r="D54" s="82">
        <v>1010</v>
      </c>
      <c r="E54" s="82"/>
      <c r="F54" s="82"/>
      <c r="G54" s="82"/>
      <c r="H54" s="90" t="s">
        <v>252</v>
      </c>
      <c r="I54" s="90" t="s">
        <v>257</v>
      </c>
      <c r="J54" s="138"/>
      <c r="K54" s="218"/>
    </row>
    <row r="55" spans="1:11" ht="14.25" customHeight="1" x14ac:dyDescent="0.25">
      <c r="A55" s="179">
        <v>46142</v>
      </c>
      <c r="B55" s="82" t="s">
        <v>351</v>
      </c>
      <c r="C55" s="124" t="s">
        <v>227</v>
      </c>
      <c r="D55" s="82">
        <v>240</v>
      </c>
      <c r="E55" s="82"/>
      <c r="F55" s="82"/>
      <c r="G55" s="82"/>
      <c r="H55" s="83" t="s">
        <v>66</v>
      </c>
      <c r="I55" s="90"/>
      <c r="J55" s="138"/>
      <c r="K55" s="218"/>
    </row>
    <row r="56" spans="1:11" ht="14.25" customHeight="1" x14ac:dyDescent="0.25">
      <c r="A56" s="179"/>
      <c r="B56" s="82"/>
      <c r="C56" s="124"/>
      <c r="D56" s="151" t="s">
        <v>450</v>
      </c>
      <c r="E56" s="82"/>
      <c r="F56" s="82"/>
      <c r="G56" s="82"/>
      <c r="H56" s="123"/>
      <c r="I56" s="90"/>
      <c r="J56" s="138"/>
      <c r="K56" s="218"/>
    </row>
    <row r="57" spans="1:11" x14ac:dyDescent="0.25">
      <c r="A57" s="5"/>
      <c r="B57" s="6"/>
      <c r="C57" s="6"/>
      <c r="D57" s="6"/>
      <c r="E57" s="6"/>
      <c r="F57" s="6"/>
      <c r="G57" s="6"/>
      <c r="H57" s="7"/>
      <c r="I57" s="7"/>
      <c r="J57" s="12"/>
      <c r="K57" s="218"/>
    </row>
    <row r="58" spans="1:11" x14ac:dyDescent="0.25">
      <c r="D58" s="17">
        <f>SUM(D3:D57)</f>
        <v>17150</v>
      </c>
      <c r="E58" s="175"/>
      <c r="F58" s="13">
        <f>AVERAGE(F3:F56)</f>
        <v>34.050000000000004</v>
      </c>
      <c r="G58" s="13"/>
      <c r="J58" s="139">
        <f>SUM(J3:J57)</f>
        <v>0</v>
      </c>
      <c r="K58" s="219">
        <f>SUM(K3:K57)</f>
        <v>0</v>
      </c>
    </row>
    <row r="59" spans="1:11" x14ac:dyDescent="0.25">
      <c r="D59" s="11"/>
      <c r="E59" s="11"/>
      <c r="H59" s="113"/>
      <c r="I59" s="113"/>
      <c r="J59" s="113"/>
      <c r="K59" s="113"/>
    </row>
    <row r="60" spans="1:11" x14ac:dyDescent="0.25">
      <c r="B60">
        <v>-1796.21</v>
      </c>
      <c r="D60" s="11"/>
      <c r="E60" s="11"/>
      <c r="H60" s="113"/>
      <c r="I60" s="113"/>
      <c r="J60" s="113"/>
      <c r="K60" s="113"/>
    </row>
    <row r="61" spans="1:11" x14ac:dyDescent="0.25">
      <c r="B61">
        <v>200</v>
      </c>
      <c r="C61" t="s">
        <v>12</v>
      </c>
      <c r="D61" s="11"/>
      <c r="E61" s="11"/>
      <c r="H61" s="113"/>
      <c r="I61" s="113"/>
      <c r="J61" s="113"/>
      <c r="K61" s="113"/>
    </row>
    <row r="62" spans="1:11" x14ac:dyDescent="0.25">
      <c r="B62">
        <v>-500</v>
      </c>
      <c r="C62" t="s">
        <v>13</v>
      </c>
      <c r="D62" s="11"/>
      <c r="E62" s="11"/>
      <c r="H62" s="113"/>
      <c r="I62" s="113"/>
      <c r="J62" s="113"/>
      <c r="K62" s="113"/>
    </row>
    <row r="63" spans="1:11" x14ac:dyDescent="0.25">
      <c r="B63">
        <v>480</v>
      </c>
      <c r="C63" t="s">
        <v>12</v>
      </c>
      <c r="D63" s="11">
        <v>44123</v>
      </c>
      <c r="E63" s="11"/>
      <c r="H63" s="113"/>
      <c r="I63" s="113"/>
      <c r="J63" s="113"/>
      <c r="K63" s="113"/>
    </row>
    <row r="64" spans="1:11" x14ac:dyDescent="0.25">
      <c r="B64">
        <v>-500</v>
      </c>
      <c r="C64" t="s">
        <v>13</v>
      </c>
      <c r="D64" s="11">
        <v>72</v>
      </c>
      <c r="E64" s="11"/>
      <c r="H64" s="113"/>
      <c r="I64" s="113"/>
      <c r="J64" s="113"/>
      <c r="K64" s="113"/>
    </row>
    <row r="65" spans="2:11" x14ac:dyDescent="0.25">
      <c r="B65">
        <v>480</v>
      </c>
      <c r="C65" t="s">
        <v>12</v>
      </c>
      <c r="D65" s="11"/>
      <c r="E65" s="11"/>
      <c r="H65" s="113"/>
      <c r="I65" s="113"/>
      <c r="J65" s="113"/>
      <c r="K65" s="113"/>
    </row>
    <row r="66" spans="2:11" x14ac:dyDescent="0.25">
      <c r="B66">
        <v>-500</v>
      </c>
      <c r="C66" t="s">
        <v>13</v>
      </c>
      <c r="D66" s="11"/>
      <c r="E66" s="11"/>
      <c r="H66" s="113"/>
      <c r="I66" s="113"/>
      <c r="J66" s="113"/>
      <c r="K66" s="113"/>
    </row>
    <row r="67" spans="2:11" x14ac:dyDescent="0.25">
      <c r="B67">
        <v>1400</v>
      </c>
      <c r="C67" t="s">
        <v>12</v>
      </c>
      <c r="D67" s="11">
        <v>44196</v>
      </c>
      <c r="E67" s="11"/>
      <c r="H67" s="113"/>
      <c r="I67" s="113"/>
      <c r="J67" s="113"/>
      <c r="K67" s="113"/>
    </row>
    <row r="68" spans="2:11" x14ac:dyDescent="0.25">
      <c r="B68">
        <v>-1300</v>
      </c>
      <c r="C68" t="s">
        <v>13</v>
      </c>
      <c r="D68" s="11"/>
      <c r="E68" s="11"/>
      <c r="H68" s="113"/>
      <c r="I68" s="113"/>
      <c r="J68" s="113"/>
      <c r="K68" s="113"/>
    </row>
    <row r="69" spans="2:11" x14ac:dyDescent="0.25">
      <c r="B69">
        <v>260</v>
      </c>
      <c r="C69" t="s">
        <v>12</v>
      </c>
      <c r="D69" s="11"/>
      <c r="E69" s="11"/>
      <c r="H69" s="113"/>
      <c r="I69" s="113"/>
      <c r="J69" s="113"/>
      <c r="K69" s="113"/>
    </row>
    <row r="70" spans="2:11" x14ac:dyDescent="0.25">
      <c r="B70">
        <v>300</v>
      </c>
      <c r="C70" t="s">
        <v>12</v>
      </c>
      <c r="D70" s="11">
        <v>44270</v>
      </c>
      <c r="E70" s="11"/>
      <c r="H70" s="113"/>
      <c r="I70" s="113"/>
      <c r="J70" s="113"/>
      <c r="K70" s="113"/>
    </row>
    <row r="71" spans="2:11" x14ac:dyDescent="0.25">
      <c r="B71">
        <v>800</v>
      </c>
      <c r="C71" t="s">
        <v>141</v>
      </c>
      <c r="D71" s="11">
        <v>44270</v>
      </c>
      <c r="E71" s="11"/>
      <c r="H71" s="113"/>
      <c r="I71" s="113"/>
      <c r="J71" s="113"/>
      <c r="K71" s="113"/>
    </row>
    <row r="72" spans="2:11" x14ac:dyDescent="0.25">
      <c r="B72">
        <v>-1400</v>
      </c>
      <c r="C72" t="s">
        <v>13</v>
      </c>
      <c r="D72" s="11">
        <v>44270</v>
      </c>
      <c r="E72" s="11"/>
      <c r="H72" s="113"/>
      <c r="I72" s="113"/>
      <c r="J72" s="113"/>
      <c r="K72" s="113"/>
    </row>
    <row r="73" spans="2:11" x14ac:dyDescent="0.25">
      <c r="B73">
        <v>1400</v>
      </c>
      <c r="C73" t="s">
        <v>12</v>
      </c>
      <c r="D73" s="11">
        <v>44309</v>
      </c>
      <c r="E73" s="11"/>
      <c r="H73" s="113"/>
      <c r="I73" s="113"/>
      <c r="J73" s="113"/>
      <c r="K73" s="113"/>
    </row>
    <row r="74" spans="2:11" x14ac:dyDescent="0.25">
      <c r="B74">
        <v>-1400</v>
      </c>
      <c r="C74" t="s">
        <v>13</v>
      </c>
      <c r="D74" s="11">
        <v>44309</v>
      </c>
      <c r="E74" s="11"/>
      <c r="H74" s="113"/>
      <c r="I74" s="113"/>
      <c r="J74" s="113"/>
      <c r="K74" s="113"/>
    </row>
    <row r="75" spans="2:11" x14ac:dyDescent="0.25">
      <c r="B75">
        <v>600</v>
      </c>
      <c r="C75" t="s">
        <v>12</v>
      </c>
      <c r="D75" s="11">
        <v>44347</v>
      </c>
      <c r="E75" s="11"/>
      <c r="H75" s="113"/>
      <c r="I75" s="113"/>
      <c r="J75" s="113"/>
      <c r="K75" s="113"/>
    </row>
    <row r="76" spans="2:11" x14ac:dyDescent="0.25">
      <c r="B76">
        <v>300</v>
      </c>
      <c r="C76" t="s">
        <v>12</v>
      </c>
      <c r="D76" s="11">
        <v>44352</v>
      </c>
      <c r="E76" s="11"/>
      <c r="H76" s="113"/>
      <c r="I76" s="113"/>
      <c r="J76" s="113"/>
      <c r="K76" s="113"/>
    </row>
    <row r="77" spans="2:11" x14ac:dyDescent="0.25">
      <c r="B77">
        <v>-900</v>
      </c>
      <c r="C77" t="s">
        <v>12</v>
      </c>
      <c r="D77" s="11">
        <v>44352</v>
      </c>
      <c r="E77" s="11"/>
      <c r="H77" s="113"/>
      <c r="I77" s="113"/>
      <c r="J77" s="113"/>
      <c r="K77" s="113"/>
    </row>
    <row r="78" spans="2:11" x14ac:dyDescent="0.25">
      <c r="B78">
        <v>150</v>
      </c>
      <c r="C78" t="s">
        <v>12</v>
      </c>
      <c r="D78" s="11">
        <v>44410</v>
      </c>
      <c r="E78" s="11"/>
      <c r="H78" s="113"/>
      <c r="I78" s="113"/>
      <c r="J78" s="113"/>
      <c r="K78" s="113"/>
    </row>
    <row r="79" spans="2:11" x14ac:dyDescent="0.25">
      <c r="B79">
        <v>-200</v>
      </c>
      <c r="C79" t="s">
        <v>13</v>
      </c>
      <c r="D79" s="11">
        <v>44410</v>
      </c>
      <c r="E79" s="11"/>
      <c r="H79" s="113"/>
      <c r="I79" s="113"/>
      <c r="J79" s="113"/>
      <c r="K79" s="113"/>
    </row>
    <row r="80" spans="2:11" x14ac:dyDescent="0.25">
      <c r="B80">
        <v>520</v>
      </c>
      <c r="C80" t="s">
        <v>12</v>
      </c>
      <c r="D80" s="11">
        <v>44421</v>
      </c>
      <c r="E80" s="11"/>
      <c r="H80" s="113"/>
      <c r="I80" s="113"/>
      <c r="J80" s="113"/>
      <c r="K80" s="113"/>
    </row>
    <row r="81" spans="2:11" x14ac:dyDescent="0.25">
      <c r="B81">
        <v>-500</v>
      </c>
      <c r="C81" t="s">
        <v>13</v>
      </c>
      <c r="D81" s="11">
        <v>44421</v>
      </c>
      <c r="E81" s="11"/>
      <c r="H81" s="113"/>
      <c r="I81" s="113"/>
      <c r="J81" s="113"/>
      <c r="K81" s="113"/>
    </row>
    <row r="82" spans="2:11" x14ac:dyDescent="0.25">
      <c r="B82">
        <v>520</v>
      </c>
      <c r="C82" t="s">
        <v>12</v>
      </c>
      <c r="D82" s="11">
        <v>44436</v>
      </c>
      <c r="E82" s="11"/>
      <c r="H82" s="113"/>
      <c r="I82" s="113"/>
      <c r="J82" s="113"/>
      <c r="K82" s="113"/>
    </row>
    <row r="83" spans="2:11" x14ac:dyDescent="0.25">
      <c r="B83">
        <v>-500</v>
      </c>
      <c r="C83" t="s">
        <v>13</v>
      </c>
      <c r="D83" s="11">
        <v>44436</v>
      </c>
      <c r="E83" s="11"/>
      <c r="H83" s="113"/>
      <c r="I83" s="113"/>
      <c r="J83" s="113"/>
      <c r="K83" s="113"/>
    </row>
    <row r="84" spans="2:11" x14ac:dyDescent="0.25">
      <c r="B84">
        <v>280</v>
      </c>
      <c r="C84" t="s">
        <v>12</v>
      </c>
      <c r="D84" s="11">
        <v>44445</v>
      </c>
      <c r="E84" s="11"/>
      <c r="H84" s="113"/>
      <c r="I84" s="113"/>
      <c r="J84" s="113"/>
      <c r="K84" s="113"/>
    </row>
    <row r="85" spans="2:11" x14ac:dyDescent="0.25">
      <c r="B85">
        <v>-300</v>
      </c>
      <c r="C85" t="s">
        <v>13</v>
      </c>
      <c r="D85" s="11"/>
      <c r="E85" s="11"/>
      <c r="H85" s="113"/>
      <c r="I85" s="113"/>
      <c r="J85" s="113"/>
      <c r="K85" s="113"/>
    </row>
    <row r="86" spans="2:11" x14ac:dyDescent="0.25">
      <c r="B86">
        <v>520</v>
      </c>
      <c r="C86" t="s">
        <v>12</v>
      </c>
      <c r="D86" s="11">
        <v>44457</v>
      </c>
      <c r="E86" s="11"/>
      <c r="H86" s="113"/>
      <c r="I86" s="113"/>
      <c r="J86" s="113"/>
      <c r="K86" s="113"/>
    </row>
    <row r="87" spans="2:11" x14ac:dyDescent="0.25">
      <c r="B87">
        <v>-500</v>
      </c>
      <c r="C87" t="s">
        <v>13</v>
      </c>
      <c r="D87" s="11"/>
      <c r="E87" s="11"/>
      <c r="H87" s="113"/>
      <c r="I87" s="113"/>
      <c r="J87" s="113"/>
      <c r="K87" s="113"/>
    </row>
    <row r="88" spans="2:11" x14ac:dyDescent="0.25">
      <c r="B88">
        <v>280</v>
      </c>
      <c r="C88" t="s">
        <v>12</v>
      </c>
      <c r="D88" s="11">
        <v>44534</v>
      </c>
      <c r="E88" s="11"/>
      <c r="H88" s="113"/>
      <c r="I88" s="113"/>
      <c r="J88" s="113"/>
      <c r="K88" s="113"/>
    </row>
    <row r="89" spans="2:11" x14ac:dyDescent="0.25">
      <c r="B89">
        <v>-300</v>
      </c>
      <c r="C89" t="s">
        <v>13</v>
      </c>
      <c r="D89" s="11">
        <v>44534</v>
      </c>
      <c r="E89" s="11"/>
      <c r="H89" s="113"/>
      <c r="I89" s="113"/>
      <c r="J89" s="113"/>
      <c r="K89" s="113"/>
    </row>
    <row r="90" spans="2:11" x14ac:dyDescent="0.25">
      <c r="B90">
        <v>1000</v>
      </c>
      <c r="C90" t="s">
        <v>141</v>
      </c>
      <c r="D90" s="11"/>
      <c r="E90" s="11"/>
      <c r="H90" s="113"/>
      <c r="I90" s="113"/>
      <c r="J90" s="113"/>
      <c r="K90" s="113"/>
    </row>
    <row r="91" spans="2:11" x14ac:dyDescent="0.25">
      <c r="B91">
        <v>-1000</v>
      </c>
      <c r="C91" t="s">
        <v>13</v>
      </c>
      <c r="D91" s="11"/>
      <c r="E91" s="11"/>
      <c r="H91" s="113"/>
      <c r="I91" s="113"/>
      <c r="J91" s="113"/>
      <c r="K91" s="113"/>
    </row>
    <row r="92" spans="2:11" x14ac:dyDescent="0.25">
      <c r="B92">
        <v>800</v>
      </c>
      <c r="C92" t="s">
        <v>184</v>
      </c>
      <c r="D92" s="11">
        <v>44597</v>
      </c>
      <c r="E92" s="11"/>
      <c r="H92" s="113"/>
      <c r="I92" s="113"/>
      <c r="J92" s="113"/>
      <c r="K92" s="113"/>
    </row>
    <row r="93" spans="2:11" x14ac:dyDescent="0.25">
      <c r="B93">
        <v>-800</v>
      </c>
      <c r="C93" t="s">
        <v>13</v>
      </c>
      <c r="D93" s="11"/>
      <c r="E93" s="11"/>
      <c r="H93" s="113"/>
      <c r="I93" s="113"/>
      <c r="J93" s="113"/>
      <c r="K93" s="113"/>
    </row>
    <row r="94" spans="2:11" x14ac:dyDescent="0.25">
      <c r="B94">
        <v>420</v>
      </c>
      <c r="C94" t="s">
        <v>74</v>
      </c>
      <c r="D94" s="11">
        <v>44614</v>
      </c>
      <c r="E94" s="11"/>
      <c r="H94" s="113"/>
      <c r="I94" s="113"/>
      <c r="J94" s="113"/>
      <c r="K94" s="113"/>
    </row>
    <row r="95" spans="2:11" x14ac:dyDescent="0.25">
      <c r="B95">
        <v>-400</v>
      </c>
      <c r="C95" t="s">
        <v>13</v>
      </c>
      <c r="D95" s="11">
        <v>44614</v>
      </c>
      <c r="E95" s="11"/>
      <c r="H95" s="113"/>
      <c r="I95" s="113"/>
      <c r="J95" s="113"/>
      <c r="K95" s="113"/>
    </row>
    <row r="96" spans="2:11" x14ac:dyDescent="0.25">
      <c r="B96">
        <v>800</v>
      </c>
      <c r="C96" t="s">
        <v>141</v>
      </c>
      <c r="D96" s="11"/>
      <c r="E96" s="11"/>
      <c r="H96" s="113"/>
      <c r="I96" s="113"/>
      <c r="J96" s="113"/>
      <c r="K96" s="113"/>
    </row>
    <row r="97" spans="2:11" x14ac:dyDescent="0.25">
      <c r="B97">
        <v>-800</v>
      </c>
      <c r="C97" t="s">
        <v>13</v>
      </c>
      <c r="D97" s="11"/>
      <c r="E97" s="11"/>
      <c r="H97" s="113"/>
      <c r="I97" s="113"/>
      <c r="J97" s="113"/>
      <c r="K97" s="113"/>
    </row>
    <row r="98" spans="2:11" x14ac:dyDescent="0.25">
      <c r="B98">
        <v>280</v>
      </c>
      <c r="C98" t="s">
        <v>138</v>
      </c>
      <c r="D98" s="11">
        <v>44681</v>
      </c>
      <c r="E98" s="11"/>
      <c r="H98" s="113"/>
      <c r="I98" s="113"/>
      <c r="J98" s="113"/>
      <c r="K98" s="113"/>
    </row>
    <row r="99" spans="2:11" x14ac:dyDescent="0.25">
      <c r="B99">
        <v>1500</v>
      </c>
      <c r="C99" t="s">
        <v>195</v>
      </c>
      <c r="D99" s="11"/>
      <c r="E99" s="11"/>
      <c r="H99" s="113"/>
      <c r="I99" s="113"/>
      <c r="J99" s="113"/>
      <c r="K99" s="113"/>
    </row>
    <row r="100" spans="2:11" x14ac:dyDescent="0.25">
      <c r="B100">
        <v>-1700</v>
      </c>
      <c r="C100" t="s">
        <v>13</v>
      </c>
      <c r="D100" s="11"/>
      <c r="E100" s="11"/>
      <c r="H100" s="113"/>
      <c r="I100" s="113"/>
      <c r="J100" s="113"/>
      <c r="K100" s="113"/>
    </row>
    <row r="101" spans="2:11" x14ac:dyDescent="0.25">
      <c r="B101">
        <v>440</v>
      </c>
      <c r="C101" t="s">
        <v>12</v>
      </c>
      <c r="D101" s="11">
        <v>44692</v>
      </c>
      <c r="E101" s="11"/>
      <c r="H101" s="113"/>
      <c r="I101" s="113"/>
      <c r="J101" s="113"/>
      <c r="K101" s="113"/>
    </row>
    <row r="102" spans="2:11" x14ac:dyDescent="0.25">
      <c r="B102">
        <v>-500</v>
      </c>
      <c r="C102" t="s">
        <v>13</v>
      </c>
      <c r="D102" s="11"/>
      <c r="E102" s="11"/>
      <c r="H102" s="113"/>
      <c r="I102" s="113"/>
      <c r="J102" s="113"/>
      <c r="K102" s="113"/>
    </row>
    <row r="103" spans="2:11" x14ac:dyDescent="0.25">
      <c r="B103">
        <v>680</v>
      </c>
      <c r="C103" t="s">
        <v>12</v>
      </c>
      <c r="D103" s="11">
        <v>44709</v>
      </c>
      <c r="E103" s="11"/>
      <c r="H103" s="113"/>
      <c r="I103" s="113"/>
      <c r="J103" s="113"/>
      <c r="K103" s="113"/>
    </row>
    <row r="104" spans="2:11" x14ac:dyDescent="0.25">
      <c r="B104">
        <v>-700</v>
      </c>
      <c r="C104" t="s">
        <v>13</v>
      </c>
      <c r="D104" s="11">
        <v>44709</v>
      </c>
      <c r="E104" s="11"/>
      <c r="H104" s="113"/>
      <c r="I104" s="113"/>
      <c r="J104" s="113"/>
      <c r="K104" s="113"/>
    </row>
    <row r="105" spans="2:11" x14ac:dyDescent="0.25">
      <c r="B105">
        <v>1120</v>
      </c>
      <c r="C105" t="s">
        <v>12</v>
      </c>
      <c r="D105" s="11">
        <v>44723</v>
      </c>
      <c r="E105" s="11"/>
      <c r="H105" s="113"/>
      <c r="I105" s="113"/>
      <c r="J105" s="113"/>
      <c r="K105" s="113"/>
    </row>
    <row r="106" spans="2:11" x14ac:dyDescent="0.25">
      <c r="B106">
        <v>-1100</v>
      </c>
      <c r="C106" t="s">
        <v>13</v>
      </c>
      <c r="D106" s="11">
        <v>44723</v>
      </c>
      <c r="E106" s="11"/>
      <c r="H106" s="113"/>
      <c r="I106" s="113"/>
      <c r="J106" s="113"/>
      <c r="K106" s="113"/>
    </row>
    <row r="107" spans="2:11" x14ac:dyDescent="0.25">
      <c r="B107">
        <v>1500</v>
      </c>
      <c r="C107" t="s">
        <v>141</v>
      </c>
      <c r="D107" s="11">
        <v>44748</v>
      </c>
      <c r="E107" s="11"/>
      <c r="H107" s="113"/>
      <c r="I107" s="113"/>
      <c r="J107" s="113"/>
      <c r="K107" s="113"/>
    </row>
    <row r="108" spans="2:11" x14ac:dyDescent="0.25">
      <c r="B108">
        <v>680</v>
      </c>
      <c r="C108" t="s">
        <v>12</v>
      </c>
      <c r="D108" s="11"/>
      <c r="E108" s="11"/>
      <c r="H108" s="113"/>
      <c r="I108" s="113"/>
      <c r="J108" s="113"/>
      <c r="K108" s="113"/>
    </row>
    <row r="109" spans="2:11" x14ac:dyDescent="0.25">
      <c r="B109">
        <v>-2200</v>
      </c>
      <c r="C109" t="s">
        <v>13</v>
      </c>
      <c r="D109" s="11"/>
      <c r="E109" s="11"/>
      <c r="H109" s="113"/>
      <c r="I109" s="113"/>
      <c r="J109" s="113"/>
      <c r="K109" s="113"/>
    </row>
    <row r="110" spans="2:11" x14ac:dyDescent="0.25">
      <c r="B110">
        <v>700</v>
      </c>
      <c r="C110" t="s">
        <v>74</v>
      </c>
      <c r="D110" s="11"/>
      <c r="E110" s="11"/>
      <c r="H110" s="113"/>
      <c r="I110" s="113"/>
      <c r="J110" s="113"/>
      <c r="K110" s="113"/>
    </row>
    <row r="111" spans="2:11" x14ac:dyDescent="0.25">
      <c r="B111">
        <v>-700</v>
      </c>
      <c r="C111" t="s">
        <v>13</v>
      </c>
      <c r="D111" s="11"/>
      <c r="E111" s="11"/>
      <c r="H111" s="113"/>
      <c r="I111" s="113"/>
      <c r="J111" s="113"/>
      <c r="K111" s="113"/>
    </row>
    <row r="112" spans="2:11" x14ac:dyDescent="0.25">
      <c r="B112">
        <v>880</v>
      </c>
      <c r="C112" t="s">
        <v>12</v>
      </c>
      <c r="D112" s="11">
        <v>44765</v>
      </c>
      <c r="E112" s="11"/>
      <c r="H112" s="113"/>
      <c r="I112" s="113"/>
      <c r="J112" s="113"/>
      <c r="K112" s="113"/>
    </row>
    <row r="113" spans="2:11" x14ac:dyDescent="0.25">
      <c r="B113">
        <v>-900</v>
      </c>
      <c r="C113" t="s">
        <v>13</v>
      </c>
      <c r="D113" s="11"/>
      <c r="E113" s="11"/>
      <c r="H113" s="113"/>
      <c r="I113" s="113"/>
      <c r="J113" s="113"/>
      <c r="K113" s="113"/>
    </row>
    <row r="114" spans="2:11" x14ac:dyDescent="0.25">
      <c r="B114">
        <v>640</v>
      </c>
      <c r="C114" t="s">
        <v>12</v>
      </c>
      <c r="D114" s="11">
        <v>44814</v>
      </c>
      <c r="E114" s="11"/>
      <c r="H114" s="113"/>
      <c r="I114" s="113"/>
      <c r="J114" s="113"/>
      <c r="K114" s="113"/>
    </row>
    <row r="115" spans="2:11" x14ac:dyDescent="0.25">
      <c r="B115">
        <v>-640</v>
      </c>
      <c r="C115" t="s">
        <v>13</v>
      </c>
      <c r="D115" s="11"/>
      <c r="E115" s="11"/>
      <c r="H115" s="113"/>
      <c r="I115" s="113"/>
      <c r="J115" s="113"/>
      <c r="K115" s="113"/>
    </row>
    <row r="116" spans="2:11" x14ac:dyDescent="0.25">
      <c r="B116">
        <v>1840</v>
      </c>
      <c r="C116" t="s">
        <v>74</v>
      </c>
      <c r="D116" s="11">
        <v>44837</v>
      </c>
      <c r="E116" s="11"/>
      <c r="H116" s="113"/>
      <c r="I116" s="113"/>
      <c r="J116" s="113"/>
      <c r="K116" s="113"/>
    </row>
    <row r="117" spans="2:11" x14ac:dyDescent="0.25">
      <c r="B117">
        <v>-1800</v>
      </c>
      <c r="C117" t="s">
        <v>13</v>
      </c>
      <c r="D117" s="11">
        <v>44837</v>
      </c>
      <c r="E117" s="11"/>
      <c r="H117" s="113"/>
      <c r="I117" s="113"/>
      <c r="J117" s="113"/>
      <c r="K117" s="113"/>
    </row>
    <row r="118" spans="2:11" x14ac:dyDescent="0.25">
      <c r="B118">
        <v>400</v>
      </c>
      <c r="C118" t="s">
        <v>12</v>
      </c>
      <c r="D118" s="11">
        <v>44869</v>
      </c>
      <c r="E118" s="11"/>
      <c r="H118" s="113"/>
      <c r="I118" s="113"/>
      <c r="J118" s="113"/>
      <c r="K118" s="113"/>
    </row>
    <row r="119" spans="2:11" x14ac:dyDescent="0.25">
      <c r="B119">
        <v>-400</v>
      </c>
      <c r="C119" t="s">
        <v>13</v>
      </c>
      <c r="D119" s="11">
        <v>44869</v>
      </c>
      <c r="E119" s="11"/>
      <c r="H119" s="113"/>
      <c r="I119" s="113"/>
      <c r="J119" s="113"/>
      <c r="K119" s="113"/>
    </row>
    <row r="120" spans="2:11" x14ac:dyDescent="0.25">
      <c r="B120">
        <v>1200</v>
      </c>
      <c r="C120" t="s">
        <v>12</v>
      </c>
      <c r="D120" s="11"/>
      <c r="E120" s="11"/>
      <c r="H120" s="113"/>
      <c r="I120" s="113"/>
      <c r="J120" s="113"/>
      <c r="K120" s="113"/>
    </row>
    <row r="121" spans="2:11" x14ac:dyDescent="0.25">
      <c r="B121">
        <v>1500</v>
      </c>
      <c r="C121" t="s">
        <v>141</v>
      </c>
      <c r="D121" s="11"/>
      <c r="E121" s="11"/>
      <c r="H121" s="113"/>
      <c r="I121" s="113"/>
      <c r="J121" s="113"/>
      <c r="K121" s="113"/>
    </row>
    <row r="122" spans="2:11" x14ac:dyDescent="0.25">
      <c r="B122">
        <v>-2700</v>
      </c>
      <c r="C122" t="s">
        <v>13</v>
      </c>
      <c r="D122" s="11"/>
      <c r="E122" s="11"/>
      <c r="H122" s="113"/>
      <c r="I122" s="113"/>
      <c r="J122" s="113"/>
      <c r="K122" s="113"/>
    </row>
    <row r="123" spans="2:11" x14ac:dyDescent="0.25">
      <c r="B123">
        <v>2000</v>
      </c>
      <c r="C123" t="s">
        <v>74</v>
      </c>
      <c r="D123" s="11">
        <v>44933</v>
      </c>
      <c r="E123" s="11"/>
      <c r="H123" s="113"/>
      <c r="I123" s="113"/>
      <c r="J123" s="113"/>
      <c r="K123" s="113"/>
    </row>
    <row r="124" spans="2:11" x14ac:dyDescent="0.25">
      <c r="B124">
        <v>-2000</v>
      </c>
      <c r="C124" t="s">
        <v>93</v>
      </c>
      <c r="D124" s="11"/>
      <c r="E124" s="11"/>
      <c r="H124" s="113"/>
      <c r="I124" s="113"/>
      <c r="J124" s="113"/>
      <c r="K124" s="113"/>
    </row>
    <row r="125" spans="2:11" x14ac:dyDescent="0.25">
      <c r="B125">
        <v>2000</v>
      </c>
      <c r="C125" t="s">
        <v>12</v>
      </c>
      <c r="D125" s="11">
        <v>44949</v>
      </c>
      <c r="E125" s="11"/>
      <c r="H125" s="113"/>
      <c r="I125" s="113"/>
      <c r="J125" s="113"/>
      <c r="K125" s="113"/>
    </row>
    <row r="126" spans="2:11" x14ac:dyDescent="0.25">
      <c r="B126">
        <v>-2000</v>
      </c>
      <c r="C126" t="s">
        <v>13</v>
      </c>
      <c r="D126" s="11">
        <v>44949</v>
      </c>
      <c r="E126" s="11"/>
      <c r="H126" s="113"/>
      <c r="I126" s="113"/>
      <c r="J126" s="113"/>
      <c r="K126" s="113"/>
    </row>
    <row r="127" spans="2:11" x14ac:dyDescent="0.25">
      <c r="B127">
        <v>800</v>
      </c>
      <c r="C127" t="s">
        <v>12</v>
      </c>
      <c r="D127" s="11">
        <v>44996</v>
      </c>
      <c r="E127" s="11"/>
      <c r="H127" s="113"/>
      <c r="I127" s="113"/>
      <c r="J127" s="113"/>
      <c r="K127" s="113"/>
    </row>
    <row r="128" spans="2:11" x14ac:dyDescent="0.25">
      <c r="B128">
        <v>-800</v>
      </c>
      <c r="C128" t="s">
        <v>13</v>
      </c>
      <c r="D128" s="11">
        <v>44996</v>
      </c>
      <c r="E128" s="11"/>
      <c r="H128" s="113"/>
      <c r="I128" s="113"/>
      <c r="J128" s="113"/>
      <c r="K128" s="113"/>
    </row>
    <row r="129" spans="2:11" x14ac:dyDescent="0.25">
      <c r="B129">
        <v>800</v>
      </c>
      <c r="C129" t="s">
        <v>12</v>
      </c>
      <c r="D129" s="11">
        <v>45002</v>
      </c>
      <c r="E129" s="11"/>
      <c r="H129" s="113"/>
      <c r="I129" s="113"/>
      <c r="J129" s="113"/>
      <c r="K129" s="113"/>
    </row>
    <row r="130" spans="2:11" x14ac:dyDescent="0.25">
      <c r="B130">
        <v>-800</v>
      </c>
      <c r="C130" t="s">
        <v>13</v>
      </c>
      <c r="D130" s="11"/>
      <c r="E130" s="11"/>
      <c r="H130" s="113"/>
      <c r="I130" s="113"/>
      <c r="J130" s="113"/>
      <c r="K130" s="113"/>
    </row>
    <row r="131" spans="2:11" x14ac:dyDescent="0.25">
      <c r="B131">
        <v>1600</v>
      </c>
      <c r="C131" t="s">
        <v>12</v>
      </c>
      <c r="D131" s="11">
        <v>45038</v>
      </c>
      <c r="E131" s="11"/>
      <c r="H131" s="113"/>
      <c r="I131" s="113"/>
      <c r="J131" s="113"/>
      <c r="K131" s="113"/>
    </row>
    <row r="132" spans="2:11" x14ac:dyDescent="0.25">
      <c r="B132">
        <v>-1600</v>
      </c>
      <c r="C132" t="s">
        <v>13</v>
      </c>
      <c r="D132" s="11"/>
      <c r="E132" s="11"/>
      <c r="H132" s="113"/>
      <c r="I132" s="113"/>
      <c r="J132" s="113"/>
      <c r="K132" s="113"/>
    </row>
    <row r="133" spans="2:11" x14ac:dyDescent="0.25">
      <c r="B133">
        <v>400</v>
      </c>
      <c r="C133" t="s">
        <v>12</v>
      </c>
      <c r="D133" s="11">
        <v>45054</v>
      </c>
      <c r="E133" s="11"/>
      <c r="H133" s="113"/>
      <c r="I133" s="113"/>
      <c r="J133" s="113"/>
      <c r="K133" s="113"/>
    </row>
    <row r="134" spans="2:11" x14ac:dyDescent="0.25">
      <c r="B134">
        <v>-400</v>
      </c>
      <c r="C134" t="s">
        <v>13</v>
      </c>
      <c r="D134" s="11"/>
      <c r="E134" s="11"/>
      <c r="H134" s="113"/>
      <c r="I134" s="113"/>
      <c r="J134" s="113"/>
      <c r="K134" s="113"/>
    </row>
    <row r="135" spans="2:11" x14ac:dyDescent="0.25">
      <c r="B135">
        <v>1200</v>
      </c>
      <c r="C135" t="s">
        <v>12</v>
      </c>
      <c r="D135" s="11">
        <v>45093</v>
      </c>
      <c r="E135" s="11"/>
      <c r="H135" s="113"/>
      <c r="I135" s="113"/>
      <c r="J135" s="113"/>
      <c r="K135" s="113"/>
    </row>
    <row r="136" spans="2:11" x14ac:dyDescent="0.25">
      <c r="B136">
        <v>-1200</v>
      </c>
      <c r="C136" t="s">
        <v>13</v>
      </c>
      <c r="D136" s="11">
        <v>45093</v>
      </c>
      <c r="E136" s="11"/>
      <c r="H136" s="113"/>
      <c r="I136" s="113"/>
      <c r="J136" s="113"/>
      <c r="K136" s="113"/>
    </row>
    <row r="137" spans="2:11" x14ac:dyDescent="0.25">
      <c r="B137">
        <v>1200</v>
      </c>
      <c r="C137" t="s">
        <v>12</v>
      </c>
      <c r="D137" s="11">
        <v>45122</v>
      </c>
      <c r="E137" s="11"/>
      <c r="H137" s="113"/>
      <c r="I137" s="113"/>
      <c r="J137" s="113"/>
      <c r="K137" s="113"/>
    </row>
    <row r="138" spans="2:11" x14ac:dyDescent="0.25">
      <c r="B138">
        <v>-1200</v>
      </c>
      <c r="C138" t="s">
        <v>13</v>
      </c>
      <c r="D138" s="11"/>
      <c r="E138" s="11"/>
      <c r="H138" s="113"/>
      <c r="I138" s="113"/>
      <c r="J138" s="113"/>
      <c r="K138" s="113"/>
    </row>
    <row r="139" spans="2:11" x14ac:dyDescent="0.25">
      <c r="B139">
        <v>1600</v>
      </c>
      <c r="C139" t="s">
        <v>12</v>
      </c>
      <c r="D139" s="11"/>
      <c r="E139" s="11"/>
      <c r="H139" s="113"/>
      <c r="I139" s="113"/>
      <c r="J139" s="113"/>
      <c r="K139" s="113"/>
    </row>
    <row r="140" spans="2:11" x14ac:dyDescent="0.25">
      <c r="B140">
        <v>-1600</v>
      </c>
      <c r="C140" t="s">
        <v>13</v>
      </c>
      <c r="D140" s="11"/>
      <c r="E140" s="11"/>
      <c r="H140" s="113"/>
      <c r="I140" s="113"/>
      <c r="J140" s="113"/>
      <c r="K140" s="113"/>
    </row>
    <row r="141" spans="2:11" x14ac:dyDescent="0.25">
      <c r="B141">
        <v>2300</v>
      </c>
      <c r="C141" t="s">
        <v>12</v>
      </c>
      <c r="D141" s="11">
        <v>45167</v>
      </c>
      <c r="E141" s="11"/>
      <c r="H141" s="113"/>
      <c r="I141" s="113"/>
      <c r="J141" s="113"/>
      <c r="K141" s="113"/>
    </row>
    <row r="142" spans="2:11" x14ac:dyDescent="0.25">
      <c r="B142">
        <v>-2300</v>
      </c>
      <c r="C142" t="s">
        <v>13</v>
      </c>
      <c r="D142" s="11"/>
      <c r="E142" s="11"/>
      <c r="H142" s="113"/>
      <c r="I142" s="113"/>
      <c r="J142" s="113"/>
      <c r="K142" s="113"/>
    </row>
    <row r="143" spans="2:11" x14ac:dyDescent="0.25">
      <c r="B143">
        <v>1600</v>
      </c>
      <c r="C143" t="s">
        <v>12</v>
      </c>
      <c r="D143" s="11">
        <v>45169</v>
      </c>
      <c r="E143" s="11"/>
      <c r="H143" s="113"/>
      <c r="I143" s="113"/>
      <c r="J143" s="113"/>
      <c r="K143" s="113"/>
    </row>
    <row r="144" spans="2:11" x14ac:dyDescent="0.25">
      <c r="B144">
        <v>-1600</v>
      </c>
      <c r="C144" t="s">
        <v>13</v>
      </c>
      <c r="D144" s="11">
        <v>45169</v>
      </c>
      <c r="E144" s="11"/>
      <c r="H144" s="113"/>
      <c r="I144" s="113"/>
      <c r="J144" s="113"/>
      <c r="K144" s="113"/>
    </row>
    <row r="145" spans="2:11" x14ac:dyDescent="0.25">
      <c r="B145">
        <v>2400</v>
      </c>
      <c r="C145" t="s">
        <v>12</v>
      </c>
      <c r="D145" s="11"/>
      <c r="E145" s="11"/>
      <c r="H145" s="113"/>
      <c r="I145" s="113"/>
      <c r="J145" s="113"/>
      <c r="K145" s="113"/>
    </row>
    <row r="146" spans="2:11" x14ac:dyDescent="0.25">
      <c r="B146">
        <v>-2400</v>
      </c>
      <c r="C146" t="s">
        <v>13</v>
      </c>
      <c r="D146" s="11"/>
      <c r="E146" s="11"/>
      <c r="H146" s="113"/>
      <c r="I146" s="113"/>
      <c r="J146" s="113"/>
      <c r="K146" s="113"/>
    </row>
    <row r="147" spans="2:11" x14ac:dyDescent="0.25">
      <c r="B147">
        <v>6000</v>
      </c>
      <c r="C147" t="s">
        <v>141</v>
      </c>
      <c r="D147" s="11">
        <v>45205</v>
      </c>
      <c r="E147" s="11"/>
      <c r="H147" s="113"/>
      <c r="I147" s="113"/>
      <c r="J147" s="113"/>
      <c r="K147" s="113"/>
    </row>
    <row r="148" spans="2:11" x14ac:dyDescent="0.25">
      <c r="B148">
        <v>-6000</v>
      </c>
      <c r="C148" t="s">
        <v>13</v>
      </c>
      <c r="D148" s="11"/>
      <c r="E148" s="11"/>
      <c r="H148" s="113"/>
      <c r="I148" s="113"/>
      <c r="J148" s="113"/>
      <c r="K148" s="113"/>
    </row>
    <row r="149" spans="2:11" x14ac:dyDescent="0.25">
      <c r="B149">
        <v>3200</v>
      </c>
      <c r="C149" t="s">
        <v>12</v>
      </c>
      <c r="D149" s="11">
        <v>45212</v>
      </c>
      <c r="E149" s="11"/>
      <c r="H149" s="113"/>
      <c r="I149" s="113"/>
      <c r="J149" s="113"/>
      <c r="K149" s="113"/>
    </row>
    <row r="150" spans="2:11" x14ac:dyDescent="0.25">
      <c r="B150">
        <v>-3200</v>
      </c>
      <c r="C150" t="s">
        <v>13</v>
      </c>
      <c r="D150" s="11">
        <v>45212</v>
      </c>
      <c r="E150" s="11"/>
      <c r="H150" s="113"/>
      <c r="I150" s="113"/>
      <c r="J150" s="113"/>
      <c r="K150" s="113"/>
    </row>
    <row r="151" spans="2:11" x14ac:dyDescent="0.25">
      <c r="B151">
        <v>1800</v>
      </c>
      <c r="C151" t="s">
        <v>74</v>
      </c>
      <c r="D151" s="11"/>
      <c r="E151" s="11"/>
      <c r="H151" s="113"/>
      <c r="I151" s="113"/>
      <c r="J151" s="113"/>
      <c r="K151" s="113"/>
    </row>
    <row r="152" spans="2:11" x14ac:dyDescent="0.25">
      <c r="B152">
        <v>-1800</v>
      </c>
      <c r="C152" t="s">
        <v>13</v>
      </c>
      <c r="D152" s="11"/>
      <c r="E152" s="11"/>
      <c r="H152" s="113"/>
      <c r="I152" s="113"/>
      <c r="J152" s="113"/>
      <c r="K152" s="113"/>
    </row>
    <row r="153" spans="2:11" x14ac:dyDescent="0.25">
      <c r="B153">
        <v>10000</v>
      </c>
      <c r="C153" t="s">
        <v>244</v>
      </c>
      <c r="D153" s="11">
        <v>45352</v>
      </c>
      <c r="E153" s="11"/>
      <c r="H153" s="113"/>
      <c r="I153" s="113"/>
      <c r="J153" s="113"/>
      <c r="K153" s="113"/>
    </row>
    <row r="154" spans="2:11" x14ac:dyDescent="0.25">
      <c r="B154">
        <v>1200</v>
      </c>
      <c r="C154" t="s">
        <v>138</v>
      </c>
      <c r="D154" s="11"/>
      <c r="E154" s="11"/>
      <c r="H154" s="113"/>
      <c r="I154" s="113"/>
      <c r="J154" s="113"/>
      <c r="K154" s="113"/>
    </row>
    <row r="155" spans="2:11" x14ac:dyDescent="0.25">
      <c r="B155">
        <v>-11200</v>
      </c>
      <c r="C155" t="s">
        <v>13</v>
      </c>
      <c r="D155" s="11"/>
      <c r="E155" s="11"/>
      <c r="H155" s="113"/>
      <c r="I155" s="113"/>
      <c r="J155" s="113"/>
      <c r="K155" s="113"/>
    </row>
    <row r="156" spans="2:11" x14ac:dyDescent="0.25">
      <c r="B156">
        <v>31500</v>
      </c>
      <c r="C156" t="s">
        <v>12</v>
      </c>
      <c r="D156" s="11">
        <v>45559</v>
      </c>
      <c r="E156" s="11"/>
      <c r="H156" s="113"/>
      <c r="I156" s="113"/>
      <c r="J156" s="113"/>
      <c r="K156" s="113"/>
    </row>
    <row r="157" spans="2:11" x14ac:dyDescent="0.25">
      <c r="B157">
        <v>-31500</v>
      </c>
      <c r="C157" t="s">
        <v>13</v>
      </c>
      <c r="D157" s="11"/>
      <c r="E157" s="11"/>
      <c r="H157" s="113"/>
      <c r="I157" s="113"/>
      <c r="J157" s="113"/>
      <c r="K157" s="113"/>
    </row>
    <row r="158" spans="2:11" x14ac:dyDescent="0.25">
      <c r="B158">
        <v>17500</v>
      </c>
      <c r="C158" t="s">
        <v>12</v>
      </c>
      <c r="D158" s="11">
        <v>45572</v>
      </c>
      <c r="E158" s="11"/>
      <c r="H158" s="113"/>
      <c r="I158" s="113"/>
      <c r="J158" s="113"/>
      <c r="K158" s="113"/>
    </row>
    <row r="159" spans="2:11" x14ac:dyDescent="0.25">
      <c r="B159">
        <v>-17500</v>
      </c>
      <c r="C159" t="s">
        <v>13</v>
      </c>
      <c r="D159" s="11">
        <v>45572</v>
      </c>
      <c r="E159" s="11"/>
      <c r="H159" s="113"/>
      <c r="I159" s="113"/>
      <c r="J159" s="113"/>
      <c r="K159" s="113"/>
    </row>
    <row r="160" spans="2:11" x14ac:dyDescent="0.25">
      <c r="B160">
        <v>-10000</v>
      </c>
      <c r="D160" s="11"/>
      <c r="E160" s="11"/>
      <c r="G160">
        <v>80000</v>
      </c>
      <c r="H160" s="113" t="s">
        <v>93</v>
      </c>
      <c r="I160" s="113"/>
      <c r="J160" s="113"/>
      <c r="K160" s="113"/>
    </row>
    <row r="161" spans="1:11" x14ac:dyDescent="0.25">
      <c r="B161">
        <v>4000</v>
      </c>
      <c r="C161" t="s">
        <v>12</v>
      </c>
      <c r="D161" s="11"/>
      <c r="E161" s="11"/>
      <c r="G161">
        <v>-37600</v>
      </c>
      <c r="H161" s="113" t="s">
        <v>74</v>
      </c>
      <c r="I161" s="113"/>
      <c r="J161" s="113"/>
      <c r="K161" s="113"/>
    </row>
    <row r="162" spans="1:11" x14ac:dyDescent="0.25">
      <c r="B162">
        <v>-4000</v>
      </c>
      <c r="C162" t="s">
        <v>13</v>
      </c>
      <c r="D162" s="11">
        <v>45916</v>
      </c>
      <c r="E162" s="11"/>
      <c r="G162">
        <f>SUM(G160:G161)</f>
        <v>42400</v>
      </c>
      <c r="H162" s="113"/>
      <c r="I162" s="113"/>
      <c r="J162" s="113"/>
      <c r="K162" s="113"/>
    </row>
    <row r="163" spans="1:11" x14ac:dyDescent="0.25">
      <c r="B163">
        <v>-1000</v>
      </c>
      <c r="C163" t="s">
        <v>175</v>
      </c>
      <c r="D163" s="11">
        <v>45986</v>
      </c>
      <c r="E163" s="11"/>
      <c r="H163" s="113"/>
      <c r="I163" s="113"/>
      <c r="J163" s="113"/>
      <c r="K163" s="113"/>
    </row>
    <row r="164" spans="1:11" x14ac:dyDescent="0.25">
      <c r="B164" s="136">
        <f>SUM(B60:B163)</f>
        <v>-13066.21</v>
      </c>
      <c r="C164" s="144">
        <v>45986</v>
      </c>
      <c r="D164" s="11"/>
      <c r="E164" s="11"/>
      <c r="J164" s="113"/>
      <c r="K164" s="113"/>
    </row>
    <row r="165" spans="1:11" x14ac:dyDescent="0.25">
      <c r="C165" t="s">
        <v>54</v>
      </c>
      <c r="D165" s="11"/>
      <c r="E165" s="11"/>
      <c r="J165" s="113"/>
      <c r="K165" s="113"/>
    </row>
    <row r="166" spans="1:11" x14ac:dyDescent="0.25">
      <c r="A166" t="s">
        <v>54</v>
      </c>
      <c r="D166" s="11"/>
      <c r="E166" s="11"/>
      <c r="J166" s="113"/>
      <c r="K166" s="113"/>
    </row>
    <row r="167" spans="1:11" x14ac:dyDescent="0.25">
      <c r="D167" s="11"/>
      <c r="E167" s="11"/>
      <c r="J167" s="113"/>
      <c r="K167" s="113"/>
    </row>
    <row r="168" spans="1:11" ht="32.450000000000003" customHeight="1" x14ac:dyDescent="0.25">
      <c r="D168" s="11"/>
      <c r="E168" s="11"/>
      <c r="J168" s="113"/>
      <c r="K168" s="113"/>
    </row>
    <row r="169" spans="1:11" x14ac:dyDescent="0.25">
      <c r="D169" s="11"/>
      <c r="E169" s="11"/>
      <c r="J169" s="113"/>
      <c r="K169" s="113"/>
    </row>
    <row r="170" spans="1:11" x14ac:dyDescent="0.25">
      <c r="D170" s="11"/>
      <c r="E170" s="11"/>
      <c r="J170" s="113"/>
      <c r="K170" s="113"/>
    </row>
    <row r="171" spans="1:11" x14ac:dyDescent="0.25">
      <c r="D171" s="11"/>
      <c r="E171" s="11"/>
      <c r="J171" s="113"/>
      <c r="K171" s="113"/>
    </row>
    <row r="172" spans="1:11" x14ac:dyDescent="0.25">
      <c r="D172" s="11"/>
      <c r="E172" s="11"/>
      <c r="J172" s="113"/>
      <c r="K172" s="113"/>
    </row>
    <row r="173" spans="1:11" x14ac:dyDescent="0.25">
      <c r="D173" s="11"/>
      <c r="E173" s="11"/>
      <c r="J173" s="113"/>
      <c r="K173" s="113"/>
    </row>
    <row r="174" spans="1:11" x14ac:dyDescent="0.25">
      <c r="D174" s="11"/>
      <c r="E174" s="11"/>
      <c r="J174" s="113"/>
      <c r="K174" s="113"/>
    </row>
    <row r="175" spans="1:11" x14ac:dyDescent="0.25">
      <c r="D175" s="11"/>
      <c r="E175" s="11"/>
      <c r="J175" s="113"/>
      <c r="K175" s="113"/>
    </row>
    <row r="176" spans="1:11" x14ac:dyDescent="0.25">
      <c r="D176" s="11"/>
      <c r="E176" s="11"/>
      <c r="J176" s="113"/>
      <c r="K176" s="113"/>
    </row>
    <row r="177" spans="4:11" x14ac:dyDescent="0.25">
      <c r="D177" s="11"/>
      <c r="E177" s="11"/>
      <c r="J177" s="113"/>
      <c r="K177" s="113"/>
    </row>
    <row r="178" spans="4:11" x14ac:dyDescent="0.25">
      <c r="D178" s="11"/>
      <c r="E178" s="11"/>
      <c r="J178" s="113"/>
      <c r="K178" s="113"/>
    </row>
    <row r="179" spans="4:11" x14ac:dyDescent="0.25">
      <c r="D179" s="11"/>
      <c r="E179" s="11"/>
      <c r="J179" s="113"/>
      <c r="K179" s="113"/>
    </row>
    <row r="180" spans="4:11" x14ac:dyDescent="0.25">
      <c r="D180" s="11"/>
      <c r="E180" s="11"/>
      <c r="J180" s="113"/>
      <c r="K180" s="113"/>
    </row>
    <row r="181" spans="4:11" x14ac:dyDescent="0.25">
      <c r="D181" s="11"/>
      <c r="E181" s="11"/>
      <c r="J181" s="113"/>
      <c r="K181" s="113"/>
    </row>
    <row r="182" spans="4:11" x14ac:dyDescent="0.25">
      <c r="D182" s="11"/>
      <c r="E182" s="11"/>
      <c r="J182" s="113"/>
      <c r="K182" s="113"/>
    </row>
    <row r="183" spans="4:11" x14ac:dyDescent="0.25">
      <c r="D183" s="11"/>
      <c r="E183" s="11"/>
      <c r="J183" s="113"/>
      <c r="K183" s="113"/>
    </row>
    <row r="184" spans="4:11" x14ac:dyDescent="0.25">
      <c r="D184" s="11"/>
      <c r="E184" s="11"/>
      <c r="J184" s="113"/>
      <c r="K184" s="113"/>
    </row>
    <row r="185" spans="4:11" x14ac:dyDescent="0.25">
      <c r="D185" s="11"/>
      <c r="E185" s="11"/>
      <c r="J185" s="113"/>
      <c r="K185" s="113"/>
    </row>
    <row r="186" spans="4:11" x14ac:dyDescent="0.25">
      <c r="D186" s="11"/>
      <c r="E186" s="11"/>
      <c r="J186" s="113"/>
      <c r="K186" s="113"/>
    </row>
    <row r="187" spans="4:11" x14ac:dyDescent="0.25">
      <c r="D187" s="11"/>
      <c r="E187" s="11"/>
      <c r="J187" s="113"/>
      <c r="K187" s="113"/>
    </row>
    <row r="188" spans="4:11" x14ac:dyDescent="0.25">
      <c r="D188" s="11"/>
      <c r="E188" s="11"/>
      <c r="J188" s="113"/>
      <c r="K188" s="113"/>
    </row>
    <row r="189" spans="4:11" x14ac:dyDescent="0.25">
      <c r="D189" s="11"/>
      <c r="E189" s="11"/>
      <c r="J189" s="113"/>
      <c r="K189" s="113"/>
    </row>
    <row r="190" spans="4:11" x14ac:dyDescent="0.25">
      <c r="D190" s="11"/>
      <c r="E190" s="11"/>
      <c r="J190" s="113"/>
      <c r="K190" s="113"/>
    </row>
    <row r="191" spans="4:11" x14ac:dyDescent="0.25">
      <c r="D191" s="11"/>
      <c r="E191" s="11"/>
      <c r="J191" s="113"/>
      <c r="K191" s="113"/>
    </row>
    <row r="192" spans="4:11" x14ac:dyDescent="0.25">
      <c r="D192" s="11"/>
      <c r="E192" s="11"/>
      <c r="J192" s="113"/>
      <c r="K192" s="113"/>
    </row>
    <row r="193" spans="1:11" x14ac:dyDescent="0.25">
      <c r="J193" s="113"/>
      <c r="K193" s="113"/>
    </row>
    <row r="194" spans="1:11" x14ac:dyDescent="0.25">
      <c r="A194" s="18"/>
      <c r="J194" s="113"/>
      <c r="K194" s="113"/>
    </row>
    <row r="195" spans="1:11" x14ac:dyDescent="0.25">
      <c r="A195" s="18"/>
      <c r="J195" s="113"/>
      <c r="K195" s="113"/>
    </row>
    <row r="196" spans="1:11" x14ac:dyDescent="0.25">
      <c r="A196" s="18"/>
      <c r="J196" s="113"/>
      <c r="K196" s="113"/>
    </row>
    <row r="197" spans="1:11" x14ac:dyDescent="0.25">
      <c r="A197" s="18"/>
      <c r="J197" s="113"/>
      <c r="K197" s="113"/>
    </row>
    <row r="198" spans="1:11" x14ac:dyDescent="0.25">
      <c r="A198" s="18"/>
      <c r="J198" s="113"/>
      <c r="K198" s="113"/>
    </row>
    <row r="199" spans="1:11" x14ac:dyDescent="0.25">
      <c r="A199" s="18"/>
      <c r="J199" s="113"/>
      <c r="K199" s="113"/>
    </row>
    <row r="200" spans="1:11" x14ac:dyDescent="0.25">
      <c r="A200" s="18"/>
      <c r="J200" s="113"/>
      <c r="K200" s="113"/>
    </row>
    <row r="201" spans="1:11" x14ac:dyDescent="0.25">
      <c r="A201" s="18"/>
      <c r="J201" s="113"/>
      <c r="K201" s="113"/>
    </row>
    <row r="202" spans="1:11" x14ac:dyDescent="0.25">
      <c r="A202" s="18"/>
      <c r="J202" s="113"/>
      <c r="K202" s="113"/>
    </row>
    <row r="203" spans="1:11" x14ac:dyDescent="0.25">
      <c r="A203" s="18"/>
      <c r="J203" s="113"/>
      <c r="K203" s="113"/>
    </row>
    <row r="204" spans="1:11" x14ac:dyDescent="0.25">
      <c r="A204" s="18"/>
      <c r="J204" s="113"/>
      <c r="K204" s="113"/>
    </row>
    <row r="205" spans="1:11" x14ac:dyDescent="0.25">
      <c r="A205" s="18"/>
      <c r="J205" s="113"/>
      <c r="K205" s="113"/>
    </row>
    <row r="206" spans="1:11" x14ac:dyDescent="0.25">
      <c r="A206" s="18"/>
      <c r="J206" s="113"/>
      <c r="K206" s="113"/>
    </row>
    <row r="207" spans="1:11" x14ac:dyDescent="0.25">
      <c r="A207" s="18"/>
      <c r="J207" s="113"/>
      <c r="K207" s="113"/>
    </row>
    <row r="208" spans="1:11" x14ac:dyDescent="0.25">
      <c r="A208" s="18"/>
      <c r="J208" s="113"/>
      <c r="K208" s="113"/>
    </row>
    <row r="209" spans="1:11" x14ac:dyDescent="0.25">
      <c r="A209" s="18"/>
      <c r="J209" s="113"/>
      <c r="K209" s="113"/>
    </row>
    <row r="210" spans="1:11" x14ac:dyDescent="0.25">
      <c r="A210" s="18"/>
      <c r="J210" s="113"/>
      <c r="K210" s="113"/>
    </row>
    <row r="211" spans="1:11" x14ac:dyDescent="0.25">
      <c r="A211" s="18"/>
      <c r="J211" s="113"/>
      <c r="K211" s="113"/>
    </row>
    <row r="212" spans="1:11" x14ac:dyDescent="0.25">
      <c r="A212" s="18"/>
      <c r="J212" s="113"/>
      <c r="K212" s="113"/>
    </row>
    <row r="213" spans="1:11" x14ac:dyDescent="0.25">
      <c r="A213" s="18"/>
      <c r="J213" s="113"/>
      <c r="K213" s="113"/>
    </row>
    <row r="214" spans="1:11" x14ac:dyDescent="0.25">
      <c r="A214" s="18"/>
      <c r="J214" s="113"/>
      <c r="K214" s="113"/>
    </row>
    <row r="215" spans="1:11" x14ac:dyDescent="0.25">
      <c r="A215" s="18"/>
      <c r="D215" s="21"/>
      <c r="E215" s="21"/>
      <c r="J215" s="113"/>
      <c r="K215" s="113"/>
    </row>
    <row r="216" spans="1:11" x14ac:dyDescent="0.25">
      <c r="A216" s="18"/>
      <c r="B216" s="23"/>
      <c r="C216" s="24"/>
      <c r="J216" s="113"/>
      <c r="K216" s="113"/>
    </row>
    <row r="217" spans="1:11" x14ac:dyDescent="0.25">
      <c r="J217" s="113"/>
      <c r="K217" s="113"/>
    </row>
    <row r="218" spans="1:11" x14ac:dyDescent="0.25">
      <c r="J218" s="113"/>
      <c r="K218" s="113"/>
    </row>
    <row r="219" spans="1:11" x14ac:dyDescent="0.25">
      <c r="J219" s="113"/>
      <c r="K219" s="113"/>
    </row>
    <row r="220" spans="1:11" x14ac:dyDescent="0.25">
      <c r="J220" s="113"/>
      <c r="K220" s="113"/>
    </row>
    <row r="221" spans="1:11" x14ac:dyDescent="0.25">
      <c r="J221" s="113"/>
      <c r="K221" s="113"/>
    </row>
    <row r="222" spans="1:11" x14ac:dyDescent="0.25">
      <c r="J222" s="113"/>
      <c r="K222" s="113"/>
    </row>
    <row r="223" spans="1:11" x14ac:dyDescent="0.25">
      <c r="J223" s="113"/>
      <c r="K223" s="113"/>
    </row>
    <row r="224" spans="1:11" x14ac:dyDescent="0.25">
      <c r="J224" s="113"/>
      <c r="K224" s="113"/>
    </row>
    <row r="225" spans="10:11" x14ac:dyDescent="0.25">
      <c r="J225" s="113"/>
      <c r="K225" s="113"/>
    </row>
    <row r="226" spans="10:11" x14ac:dyDescent="0.25">
      <c r="J226" s="113"/>
      <c r="K226" s="113"/>
    </row>
    <row r="227" spans="10:11" x14ac:dyDescent="0.25">
      <c r="J227" s="113"/>
      <c r="K227" s="113"/>
    </row>
    <row r="228" spans="10:11" x14ac:dyDescent="0.25">
      <c r="J228" s="113"/>
      <c r="K228" s="113"/>
    </row>
    <row r="229" spans="10:11" x14ac:dyDescent="0.25">
      <c r="J229" s="113"/>
      <c r="K229" s="113"/>
    </row>
    <row r="230" spans="10:11" x14ac:dyDescent="0.25">
      <c r="J230" s="113"/>
      <c r="K230" s="113"/>
    </row>
    <row r="231" spans="10:11" x14ac:dyDescent="0.25">
      <c r="J231" s="113"/>
      <c r="K231" s="113"/>
    </row>
    <row r="232" spans="10:11" x14ac:dyDescent="0.25">
      <c r="J232" s="113"/>
      <c r="K232" s="113"/>
    </row>
    <row r="233" spans="10:11" x14ac:dyDescent="0.25">
      <c r="J233" s="113"/>
      <c r="K233" s="113"/>
    </row>
    <row r="234" spans="10:11" x14ac:dyDescent="0.25">
      <c r="J234" s="113"/>
      <c r="K234" s="113"/>
    </row>
    <row r="235" spans="10:11" x14ac:dyDescent="0.25">
      <c r="J235" s="113"/>
      <c r="K235" s="113"/>
    </row>
    <row r="236" spans="10:11" x14ac:dyDescent="0.25">
      <c r="J236" s="113"/>
      <c r="K236" s="113"/>
    </row>
    <row r="237" spans="10:11" x14ac:dyDescent="0.25">
      <c r="J237" s="113"/>
      <c r="K237" s="113"/>
    </row>
    <row r="238" spans="10:11" x14ac:dyDescent="0.25">
      <c r="J238" s="113"/>
      <c r="K238" s="113"/>
    </row>
    <row r="239" spans="10:11" x14ac:dyDescent="0.25">
      <c r="J239" s="113"/>
      <c r="K239" s="113"/>
    </row>
    <row r="240" spans="10:11" x14ac:dyDescent="0.25">
      <c r="J240" s="113"/>
      <c r="K240" s="113"/>
    </row>
    <row r="241" spans="10:11" x14ac:dyDescent="0.25">
      <c r="J241" s="113"/>
      <c r="K241" s="113"/>
    </row>
    <row r="242" spans="10:11" x14ac:dyDescent="0.25">
      <c r="J242" s="113"/>
      <c r="K242" s="113"/>
    </row>
    <row r="243" spans="10:11" x14ac:dyDescent="0.25">
      <c r="J243" s="113"/>
      <c r="K243" s="113"/>
    </row>
    <row r="244" spans="10:11" x14ac:dyDescent="0.25">
      <c r="J244" s="113"/>
      <c r="K244" s="113"/>
    </row>
    <row r="245" spans="10:11" x14ac:dyDescent="0.25">
      <c r="J245" s="113"/>
      <c r="K245" s="113"/>
    </row>
    <row r="246" spans="10:11" x14ac:dyDescent="0.25">
      <c r="J246" s="113"/>
      <c r="K246" s="113"/>
    </row>
    <row r="247" spans="10:11" x14ac:dyDescent="0.25">
      <c r="J247" s="113"/>
      <c r="K247" s="113"/>
    </row>
    <row r="248" spans="10:11" x14ac:dyDescent="0.25">
      <c r="J248" s="113"/>
      <c r="K248" s="113"/>
    </row>
    <row r="249" spans="10:11" x14ac:dyDescent="0.25">
      <c r="J249" s="113"/>
      <c r="K249" s="113"/>
    </row>
    <row r="250" spans="10:11" x14ac:dyDescent="0.25">
      <c r="J250" s="113"/>
      <c r="K250" s="113"/>
    </row>
    <row r="251" spans="10:11" x14ac:dyDescent="0.25">
      <c r="J251" s="113"/>
      <c r="K251" s="113"/>
    </row>
    <row r="252" spans="10:11" x14ac:dyDescent="0.25">
      <c r="J252" s="113"/>
      <c r="K252" s="113"/>
    </row>
    <row r="253" spans="10:11" x14ac:dyDescent="0.25">
      <c r="J253" s="113"/>
      <c r="K253" s="113"/>
    </row>
    <row r="254" spans="10:11" x14ac:dyDescent="0.25">
      <c r="J254" s="113"/>
      <c r="K254" s="113"/>
    </row>
    <row r="255" spans="10:11" x14ac:dyDescent="0.25">
      <c r="J255" s="113"/>
      <c r="K255" s="113"/>
    </row>
    <row r="256" spans="10:11" x14ac:dyDescent="0.25">
      <c r="J256" s="113"/>
      <c r="K256" s="113"/>
    </row>
    <row r="257" spans="10:11" x14ac:dyDescent="0.25">
      <c r="J257" s="113"/>
      <c r="K257" s="113"/>
    </row>
    <row r="258" spans="10:11" x14ac:dyDescent="0.25">
      <c r="J258" s="113"/>
      <c r="K258" s="113"/>
    </row>
    <row r="259" spans="10:11" x14ac:dyDescent="0.25">
      <c r="J259" s="113"/>
      <c r="K259" s="113"/>
    </row>
    <row r="260" spans="10:11" x14ac:dyDescent="0.25">
      <c r="J260" s="113"/>
      <c r="K260" s="113"/>
    </row>
    <row r="261" spans="10:11" x14ac:dyDescent="0.25">
      <c r="J261" s="113"/>
      <c r="K261" s="113"/>
    </row>
    <row r="262" spans="10:11" x14ac:dyDescent="0.25">
      <c r="J262" s="113"/>
      <c r="K262" s="113"/>
    </row>
    <row r="263" spans="10:11" x14ac:dyDescent="0.25">
      <c r="J263" s="113"/>
      <c r="K263" s="113"/>
    </row>
    <row r="264" spans="10:11" x14ac:dyDescent="0.25">
      <c r="J264" s="113"/>
      <c r="K264" s="113"/>
    </row>
    <row r="265" spans="10:11" x14ac:dyDescent="0.25">
      <c r="J265" s="113"/>
      <c r="K265" s="113"/>
    </row>
    <row r="266" spans="10:11" x14ac:dyDescent="0.25">
      <c r="J266" s="113"/>
      <c r="K266" s="113"/>
    </row>
    <row r="267" spans="10:11" x14ac:dyDescent="0.25">
      <c r="J267" s="113"/>
      <c r="K267" s="113"/>
    </row>
    <row r="268" spans="10:11" x14ac:dyDescent="0.25">
      <c r="J268" s="113"/>
      <c r="K268" s="113"/>
    </row>
    <row r="269" spans="10:11" x14ac:dyDescent="0.25">
      <c r="J269" s="113"/>
      <c r="K269" s="113"/>
    </row>
    <row r="270" spans="10:11" x14ac:dyDescent="0.25">
      <c r="J270" s="113"/>
      <c r="K270" s="113"/>
    </row>
    <row r="271" spans="10:11" x14ac:dyDescent="0.25">
      <c r="J271" s="113"/>
      <c r="K271" s="113"/>
    </row>
    <row r="272" spans="10:11" x14ac:dyDescent="0.25">
      <c r="J272" s="113"/>
      <c r="K272" s="113"/>
    </row>
    <row r="273" spans="10:11" x14ac:dyDescent="0.25">
      <c r="J273" s="113"/>
      <c r="K273" s="113"/>
    </row>
    <row r="274" spans="10:11" x14ac:dyDescent="0.25">
      <c r="J274" s="113"/>
      <c r="K274" s="113"/>
    </row>
    <row r="275" spans="10:11" x14ac:dyDescent="0.25">
      <c r="J275" s="113"/>
      <c r="K275" s="113"/>
    </row>
    <row r="276" spans="10:11" x14ac:dyDescent="0.25">
      <c r="J276" s="113"/>
      <c r="K276" s="113"/>
    </row>
    <row r="277" spans="10:11" x14ac:dyDescent="0.25">
      <c r="J277" s="113"/>
      <c r="K277" s="113"/>
    </row>
    <row r="278" spans="10:11" x14ac:dyDescent="0.25">
      <c r="J278" s="113"/>
      <c r="K278" s="113"/>
    </row>
    <row r="279" spans="10:11" x14ac:dyDescent="0.25">
      <c r="J279" s="113"/>
      <c r="K279" s="113"/>
    </row>
    <row r="280" spans="10:11" x14ac:dyDescent="0.25">
      <c r="J280" s="113"/>
      <c r="K280" s="113"/>
    </row>
    <row r="281" spans="10:11" x14ac:dyDescent="0.25">
      <c r="J281" s="113"/>
      <c r="K281" s="113"/>
    </row>
    <row r="282" spans="10:11" x14ac:dyDescent="0.25">
      <c r="J282" s="113"/>
      <c r="K282" s="113"/>
    </row>
    <row r="283" spans="10:11" x14ac:dyDescent="0.25">
      <c r="J283" s="113"/>
      <c r="K283" s="113"/>
    </row>
    <row r="284" spans="10:11" x14ac:dyDescent="0.25">
      <c r="J284" s="113"/>
      <c r="K284" s="113"/>
    </row>
    <row r="285" spans="10:11" x14ac:dyDescent="0.25">
      <c r="J285" s="113"/>
      <c r="K285" s="113"/>
    </row>
    <row r="286" spans="10:11" x14ac:dyDescent="0.25">
      <c r="J286" s="113"/>
      <c r="K286" s="113"/>
    </row>
    <row r="287" spans="10:11" x14ac:dyDescent="0.25">
      <c r="J287" s="113"/>
      <c r="K287" s="113"/>
    </row>
    <row r="288" spans="10:11" x14ac:dyDescent="0.25">
      <c r="J288" s="113"/>
      <c r="K288" s="113"/>
    </row>
    <row r="289" spans="10:11" x14ac:dyDescent="0.25">
      <c r="J289" s="113"/>
      <c r="K289" s="113"/>
    </row>
    <row r="290" spans="10:11" x14ac:dyDescent="0.25">
      <c r="J290" s="113"/>
      <c r="K290" s="113"/>
    </row>
    <row r="291" spans="10:11" x14ac:dyDescent="0.25">
      <c r="J291" s="113"/>
      <c r="K291" s="113"/>
    </row>
    <row r="292" spans="10:11" x14ac:dyDescent="0.25">
      <c r="J292" s="113"/>
      <c r="K292" s="113"/>
    </row>
    <row r="293" spans="10:11" x14ac:dyDescent="0.25">
      <c r="J293" s="113"/>
      <c r="K293" s="113"/>
    </row>
    <row r="294" spans="10:11" x14ac:dyDescent="0.25">
      <c r="J294" s="113"/>
      <c r="K294" s="113"/>
    </row>
    <row r="295" spans="10:11" x14ac:dyDescent="0.25">
      <c r="J295" s="113"/>
      <c r="K295" s="113"/>
    </row>
    <row r="296" spans="10:11" x14ac:dyDescent="0.25">
      <c r="J296" s="113"/>
      <c r="K296" s="113"/>
    </row>
    <row r="297" spans="10:11" x14ac:dyDescent="0.25">
      <c r="J297" s="113"/>
      <c r="K297" s="113"/>
    </row>
    <row r="298" spans="10:11" x14ac:dyDescent="0.25">
      <c r="J298" s="113"/>
      <c r="K298" s="113"/>
    </row>
    <row r="299" spans="10:11" x14ac:dyDescent="0.25">
      <c r="J299" s="113"/>
      <c r="K299" s="113"/>
    </row>
    <row r="300" spans="10:11" x14ac:dyDescent="0.25">
      <c r="J300" s="113"/>
      <c r="K300" s="113"/>
    </row>
    <row r="301" spans="10:11" x14ac:dyDescent="0.25">
      <c r="J301" s="113"/>
      <c r="K301" s="113"/>
    </row>
    <row r="302" spans="10:11" x14ac:dyDescent="0.25">
      <c r="J302" s="113"/>
      <c r="K302" s="113"/>
    </row>
    <row r="303" spans="10:11" x14ac:dyDescent="0.25">
      <c r="J303" s="113"/>
      <c r="K303" s="113"/>
    </row>
    <row r="304" spans="10:11" x14ac:dyDescent="0.25">
      <c r="J304" s="113"/>
      <c r="K304" s="113"/>
    </row>
    <row r="305" spans="10:11" x14ac:dyDescent="0.25">
      <c r="J305" s="113"/>
      <c r="K305" s="113"/>
    </row>
    <row r="306" spans="10:11" x14ac:dyDescent="0.25">
      <c r="J306" s="113"/>
      <c r="K306" s="113"/>
    </row>
    <row r="307" spans="10:11" x14ac:dyDescent="0.25">
      <c r="J307" s="113"/>
      <c r="K307" s="113"/>
    </row>
    <row r="308" spans="10:11" x14ac:dyDescent="0.25">
      <c r="J308" s="113"/>
      <c r="K308" s="113"/>
    </row>
    <row r="309" spans="10:11" x14ac:dyDescent="0.25">
      <c r="J309" s="113"/>
      <c r="K309" s="113"/>
    </row>
    <row r="310" spans="10:11" x14ac:dyDescent="0.25">
      <c r="J310" s="113"/>
      <c r="K310" s="113"/>
    </row>
    <row r="311" spans="10:11" x14ac:dyDescent="0.25">
      <c r="J311" s="113"/>
      <c r="K311" s="113"/>
    </row>
    <row r="312" spans="10:11" x14ac:dyDescent="0.25">
      <c r="J312" s="113"/>
      <c r="K312" s="113"/>
    </row>
    <row r="313" spans="10:11" x14ac:dyDescent="0.25">
      <c r="J313" s="113"/>
      <c r="K313" s="113"/>
    </row>
    <row r="314" spans="10:11" x14ac:dyDescent="0.25">
      <c r="J314" s="113"/>
      <c r="K314" s="113"/>
    </row>
    <row r="315" spans="10:11" x14ac:dyDescent="0.25">
      <c r="J315" s="113"/>
      <c r="K315" s="113"/>
    </row>
    <row r="316" spans="10:11" x14ac:dyDescent="0.25">
      <c r="J316" s="113"/>
      <c r="K316" s="113"/>
    </row>
    <row r="317" spans="10:11" x14ac:dyDescent="0.25">
      <c r="J317" s="113"/>
      <c r="K317" s="113"/>
    </row>
    <row r="318" spans="10:11" x14ac:dyDescent="0.25">
      <c r="J318" s="113"/>
      <c r="K318" s="113"/>
    </row>
    <row r="319" spans="10:11" x14ac:dyDescent="0.25">
      <c r="J319" s="113"/>
      <c r="K319" s="113"/>
    </row>
    <row r="320" spans="10:11" x14ac:dyDescent="0.25">
      <c r="J320" s="113"/>
      <c r="K320" s="113"/>
    </row>
    <row r="321" spans="10:11" x14ac:dyDescent="0.25">
      <c r="J321" s="113"/>
      <c r="K321" s="113"/>
    </row>
    <row r="322" spans="10:11" x14ac:dyDescent="0.25">
      <c r="J322" s="113"/>
      <c r="K322" s="113"/>
    </row>
    <row r="323" spans="10:11" x14ac:dyDescent="0.25">
      <c r="J323" s="113"/>
      <c r="K323" s="113"/>
    </row>
    <row r="324" spans="10:11" x14ac:dyDescent="0.25">
      <c r="J324" s="113"/>
      <c r="K324" s="113"/>
    </row>
    <row r="325" spans="10:11" x14ac:dyDescent="0.25">
      <c r="J325" s="113"/>
      <c r="K325" s="113"/>
    </row>
    <row r="326" spans="10:11" x14ac:dyDescent="0.25">
      <c r="J326" s="113"/>
      <c r="K326" s="113"/>
    </row>
    <row r="327" spans="10:11" x14ac:dyDescent="0.25">
      <c r="J327" s="113"/>
      <c r="K327" s="113"/>
    </row>
    <row r="328" spans="10:11" x14ac:dyDescent="0.25">
      <c r="J328" s="113"/>
      <c r="K328" s="113"/>
    </row>
  </sheetData>
  <pageMargins left="0.7" right="0.7" top="0.75" bottom="0.75" header="0.51180555555555496" footer="0.51180555555555496"/>
  <pageSetup paperSize="9" firstPageNumber="0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418"/>
  <sheetViews>
    <sheetView zoomScale="110" zoomScaleNormal="110" workbookViewId="0">
      <selection activeCell="B3" sqref="B3:I5"/>
    </sheetView>
  </sheetViews>
  <sheetFormatPr baseColWidth="10" defaultRowHeight="15" x14ac:dyDescent="0.25"/>
  <cols>
    <col min="1" max="1" width="9.42578125" bestFit="1" customWidth="1"/>
    <col min="2" max="2" width="12" customWidth="1"/>
    <col min="3" max="3" width="11.7109375" customWidth="1"/>
    <col min="4" max="4" width="11" customWidth="1"/>
    <col min="6" max="6" width="10.140625" customWidth="1"/>
    <col min="7" max="7" width="11.28515625" customWidth="1"/>
    <col min="8" max="8" width="12.42578125" customWidth="1"/>
    <col min="9" max="9" width="13.28515625" customWidth="1"/>
    <col min="10" max="10" width="11.28515625" customWidth="1"/>
    <col min="11" max="11" width="14.42578125" bestFit="1" customWidth="1"/>
  </cols>
  <sheetData>
    <row r="1" spans="1:11" x14ac:dyDescent="0.25">
      <c r="D1" s="172"/>
      <c r="E1" s="87"/>
    </row>
    <row r="2" spans="1:11" ht="1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ht="15" customHeight="1" x14ac:dyDescent="0.25">
      <c r="A3" s="91">
        <v>46143</v>
      </c>
      <c r="B3" s="82" t="s">
        <v>118</v>
      </c>
      <c r="C3" s="124" t="s">
        <v>385</v>
      </c>
      <c r="D3" s="82">
        <v>1560</v>
      </c>
      <c r="E3" s="82"/>
      <c r="F3" s="82"/>
      <c r="G3" s="82"/>
      <c r="H3" s="90">
        <v>124223</v>
      </c>
      <c r="I3" s="90" t="s">
        <v>386</v>
      </c>
      <c r="J3" s="174"/>
      <c r="K3" s="220"/>
    </row>
    <row r="4" spans="1:11" ht="15" customHeight="1" x14ac:dyDescent="0.25">
      <c r="A4" s="91">
        <v>46146</v>
      </c>
      <c r="B4" s="124" t="s">
        <v>385</v>
      </c>
      <c r="C4" s="124" t="s">
        <v>227</v>
      </c>
      <c r="D4" s="82">
        <v>270</v>
      </c>
      <c r="E4" s="82"/>
      <c r="F4" s="82"/>
      <c r="G4" s="82"/>
      <c r="H4" s="83" t="s">
        <v>66</v>
      </c>
      <c r="I4" s="90"/>
      <c r="J4" s="174"/>
      <c r="K4" s="220"/>
    </row>
    <row r="5" spans="1:11" ht="15" customHeight="1" x14ac:dyDescent="0.25">
      <c r="A5" s="91">
        <v>46147</v>
      </c>
      <c r="B5" s="82" t="s">
        <v>296</v>
      </c>
      <c r="C5" s="124" t="s">
        <v>9</v>
      </c>
      <c r="D5" s="82">
        <v>820</v>
      </c>
      <c r="E5" s="82"/>
      <c r="F5" s="82">
        <v>35.5</v>
      </c>
      <c r="G5" s="82"/>
      <c r="H5" s="90">
        <v>189873</v>
      </c>
      <c r="I5" s="90" t="s">
        <v>304</v>
      </c>
      <c r="J5" s="174"/>
      <c r="K5" s="220"/>
    </row>
    <row r="6" spans="1:11" ht="15" customHeight="1" x14ac:dyDescent="0.25">
      <c r="A6" s="91">
        <v>46148</v>
      </c>
      <c r="B6" s="227" t="s">
        <v>9</v>
      </c>
      <c r="C6" s="82" t="s">
        <v>104</v>
      </c>
      <c r="D6" s="82">
        <v>320</v>
      </c>
      <c r="E6" s="82"/>
      <c r="F6" s="82"/>
      <c r="G6" s="82"/>
      <c r="H6" s="123">
        <v>769862</v>
      </c>
      <c r="I6" s="90"/>
      <c r="J6" s="174"/>
      <c r="K6" s="220"/>
    </row>
    <row r="7" spans="1:11" ht="15" customHeight="1" x14ac:dyDescent="0.25">
      <c r="A7" s="91">
        <v>46149</v>
      </c>
      <c r="B7" s="227" t="s">
        <v>104</v>
      </c>
      <c r="C7" s="82" t="s">
        <v>9</v>
      </c>
      <c r="D7" s="82">
        <v>320</v>
      </c>
      <c r="E7" s="82"/>
      <c r="F7" s="82"/>
      <c r="G7" s="82"/>
      <c r="H7" s="128" t="s">
        <v>66</v>
      </c>
      <c r="I7" s="90"/>
      <c r="J7" s="174"/>
      <c r="K7" s="220"/>
    </row>
    <row r="8" spans="1:11" ht="15" customHeight="1" x14ac:dyDescent="0.25">
      <c r="A8" s="91">
        <v>46150</v>
      </c>
      <c r="B8" s="227" t="s">
        <v>9</v>
      </c>
      <c r="C8" s="124" t="s">
        <v>300</v>
      </c>
      <c r="D8" s="82">
        <v>420</v>
      </c>
      <c r="E8" s="82"/>
      <c r="F8" s="82">
        <v>36.659999999999997</v>
      </c>
      <c r="G8" s="82"/>
      <c r="H8" s="123">
        <v>621039</v>
      </c>
      <c r="I8" s="90" t="s">
        <v>257</v>
      </c>
      <c r="J8" s="174"/>
      <c r="K8" s="220"/>
    </row>
    <row r="9" spans="1:11" ht="15" customHeight="1" x14ac:dyDescent="0.25">
      <c r="A9" s="91">
        <v>46151</v>
      </c>
      <c r="B9" s="227" t="s">
        <v>300</v>
      </c>
      <c r="C9" s="82" t="s">
        <v>118</v>
      </c>
      <c r="D9" s="82">
        <v>85</v>
      </c>
      <c r="E9" s="82"/>
      <c r="F9" s="82"/>
      <c r="G9" s="82"/>
      <c r="H9" s="128" t="s">
        <v>66</v>
      </c>
      <c r="I9" s="90"/>
      <c r="J9" s="174"/>
      <c r="K9" s="220"/>
    </row>
    <row r="10" spans="1:11" ht="15" customHeight="1" x14ac:dyDescent="0.25">
      <c r="A10" s="91">
        <v>46151</v>
      </c>
      <c r="B10" s="82" t="s">
        <v>118</v>
      </c>
      <c r="C10" s="124" t="s">
        <v>505</v>
      </c>
      <c r="D10" s="82">
        <v>1470</v>
      </c>
      <c r="E10" s="82"/>
      <c r="F10" s="82"/>
      <c r="G10" s="82"/>
      <c r="H10" s="90">
        <v>125942</v>
      </c>
      <c r="I10" s="90" t="s">
        <v>506</v>
      </c>
      <c r="J10" s="174"/>
      <c r="K10" s="220"/>
    </row>
    <row r="11" spans="1:11" ht="15" customHeight="1" x14ac:dyDescent="0.25">
      <c r="A11" s="91">
        <v>46154</v>
      </c>
      <c r="B11" s="82" t="s">
        <v>505</v>
      </c>
      <c r="C11" s="124" t="s">
        <v>9</v>
      </c>
      <c r="D11" s="82">
        <v>950</v>
      </c>
      <c r="E11" s="2"/>
      <c r="F11" s="2"/>
      <c r="G11" s="2"/>
      <c r="H11" s="306" t="s">
        <v>66</v>
      </c>
      <c r="I11" s="2"/>
      <c r="J11" s="174"/>
      <c r="K11" s="220"/>
    </row>
    <row r="12" spans="1:11" ht="15" customHeight="1" x14ac:dyDescent="0.25">
      <c r="A12" s="91"/>
      <c r="B12" s="82"/>
      <c r="C12" s="124"/>
      <c r="D12" s="82"/>
      <c r="E12" s="82"/>
      <c r="F12" s="82"/>
      <c r="G12" s="82"/>
      <c r="H12" s="83"/>
      <c r="I12" s="90"/>
      <c r="J12" s="174"/>
      <c r="K12" s="220"/>
    </row>
    <row r="13" spans="1:11" ht="15" customHeight="1" x14ac:dyDescent="0.25">
      <c r="A13" s="91"/>
      <c r="B13" s="82"/>
      <c r="C13" s="124"/>
      <c r="D13" s="82"/>
      <c r="E13" s="82"/>
      <c r="F13" s="82"/>
      <c r="G13" s="82"/>
      <c r="H13" s="83"/>
      <c r="I13" s="90"/>
      <c r="J13" s="174"/>
      <c r="K13" s="220"/>
    </row>
    <row r="14" spans="1:11" ht="15" customHeight="1" x14ac:dyDescent="0.25">
      <c r="A14" s="91"/>
      <c r="B14" s="82"/>
      <c r="C14" s="124"/>
      <c r="D14" s="82"/>
      <c r="E14" s="82"/>
      <c r="F14" s="82"/>
      <c r="G14" s="82"/>
      <c r="H14" s="83"/>
      <c r="I14" s="90"/>
      <c r="J14" s="174"/>
      <c r="K14" s="220"/>
    </row>
    <row r="15" spans="1:11" ht="15" customHeight="1" x14ac:dyDescent="0.25">
      <c r="A15" s="91"/>
      <c r="B15" s="82"/>
      <c r="C15" s="124"/>
      <c r="D15" s="82"/>
      <c r="E15" s="82"/>
      <c r="F15" s="82"/>
      <c r="G15" s="82"/>
      <c r="H15" s="83"/>
      <c r="I15" s="90"/>
      <c r="J15" s="174"/>
      <c r="K15" s="220"/>
    </row>
    <row r="16" spans="1:11" ht="15" customHeight="1" x14ac:dyDescent="0.25">
      <c r="A16" s="91"/>
      <c r="B16" s="82"/>
      <c r="C16" s="124"/>
      <c r="D16" s="82"/>
      <c r="E16" s="82"/>
      <c r="F16" s="82"/>
      <c r="G16" s="82"/>
      <c r="H16" s="83"/>
      <c r="I16" s="90"/>
      <c r="J16" s="174"/>
      <c r="K16" s="220"/>
    </row>
    <row r="17" spans="1:11" ht="15" customHeight="1" x14ac:dyDescent="0.25">
      <c r="A17" s="91"/>
      <c r="B17" s="82"/>
      <c r="C17" s="124"/>
      <c r="D17" s="82"/>
      <c r="E17" s="82"/>
      <c r="F17" s="82"/>
      <c r="G17" s="82"/>
      <c r="H17" s="83"/>
      <c r="I17" s="90"/>
      <c r="J17" s="174"/>
      <c r="K17" s="220"/>
    </row>
    <row r="18" spans="1:11" ht="15" customHeight="1" x14ac:dyDescent="0.25">
      <c r="A18" s="91"/>
      <c r="B18" s="82"/>
      <c r="C18" s="124"/>
      <c r="D18" s="82"/>
      <c r="E18" s="82"/>
      <c r="F18" s="82"/>
      <c r="G18" s="82"/>
      <c r="H18" s="83"/>
      <c r="I18" s="90"/>
      <c r="J18" s="174"/>
      <c r="K18" s="220"/>
    </row>
    <row r="19" spans="1:11" ht="15" customHeight="1" x14ac:dyDescent="0.25">
      <c r="A19" s="91"/>
      <c r="B19" s="82"/>
      <c r="C19" s="124"/>
      <c r="D19" s="82"/>
      <c r="E19" s="82"/>
      <c r="F19" s="82"/>
      <c r="G19" s="82"/>
      <c r="H19" s="83"/>
      <c r="I19" s="90"/>
      <c r="J19" s="174"/>
      <c r="K19" s="220"/>
    </row>
    <row r="20" spans="1:11" ht="15" customHeight="1" x14ac:dyDescent="0.25">
      <c r="A20" s="91"/>
      <c r="B20" s="82"/>
      <c r="C20" s="124"/>
      <c r="D20" s="82"/>
      <c r="E20" s="82"/>
      <c r="F20" s="82"/>
      <c r="G20" s="82"/>
      <c r="H20" s="83"/>
      <c r="I20" s="90"/>
      <c r="J20" s="174"/>
      <c r="K20" s="220"/>
    </row>
    <row r="21" spans="1:11" ht="15" customHeight="1" x14ac:dyDescent="0.25">
      <c r="A21" s="91"/>
      <c r="B21" s="82"/>
      <c r="C21" s="124"/>
      <c r="D21" s="82"/>
      <c r="E21" s="82"/>
      <c r="F21" s="82"/>
      <c r="G21" s="82"/>
      <c r="H21" s="83"/>
      <c r="I21" s="90"/>
      <c r="J21" s="174"/>
      <c r="K21" s="220"/>
    </row>
    <row r="22" spans="1:11" ht="15" customHeight="1" x14ac:dyDescent="0.25">
      <c r="A22" s="91"/>
      <c r="B22" s="82"/>
      <c r="C22" s="124"/>
      <c r="D22" s="82"/>
      <c r="E22" s="82"/>
      <c r="F22" s="82"/>
      <c r="G22" s="82"/>
      <c r="H22" s="83"/>
      <c r="I22" s="90"/>
      <c r="J22" s="174"/>
      <c r="K22" s="220"/>
    </row>
    <row r="23" spans="1:11" ht="15" customHeight="1" x14ac:dyDescent="0.25">
      <c r="A23" s="91"/>
      <c r="B23" s="82"/>
      <c r="C23" s="124"/>
      <c r="D23" s="82"/>
      <c r="E23" s="82"/>
      <c r="F23" s="82"/>
      <c r="G23" s="82"/>
      <c r="H23" s="83"/>
      <c r="I23" s="90"/>
      <c r="J23" s="174"/>
      <c r="K23" s="220"/>
    </row>
    <row r="24" spans="1:11" ht="15" customHeight="1" x14ac:dyDescent="0.25">
      <c r="A24" s="91"/>
      <c r="B24" s="82"/>
      <c r="C24" s="124"/>
      <c r="D24" s="82"/>
      <c r="E24" s="82"/>
      <c r="F24" s="82"/>
      <c r="G24" s="82"/>
      <c r="H24" s="83"/>
      <c r="I24" s="90"/>
      <c r="J24" s="174"/>
      <c r="K24" s="220"/>
    </row>
    <row r="25" spans="1:11" ht="15" customHeight="1" x14ac:dyDescent="0.25">
      <c r="A25" s="91"/>
      <c r="B25" s="82"/>
      <c r="C25" s="124"/>
      <c r="D25" s="82"/>
      <c r="E25" s="82"/>
      <c r="F25" s="82"/>
      <c r="G25" s="82"/>
      <c r="H25" s="83"/>
      <c r="I25" s="90"/>
      <c r="J25" s="174"/>
      <c r="K25" s="220"/>
    </row>
    <row r="26" spans="1:11" ht="15" customHeight="1" x14ac:dyDescent="0.25">
      <c r="A26" s="91"/>
      <c r="B26" s="82"/>
      <c r="C26" s="124"/>
      <c r="D26" s="82"/>
      <c r="E26" s="82"/>
      <c r="F26" s="82"/>
      <c r="G26" s="82"/>
      <c r="H26" s="83"/>
      <c r="I26" s="90"/>
      <c r="J26" s="174"/>
      <c r="K26" s="220"/>
    </row>
    <row r="27" spans="1:11" ht="15" customHeight="1" x14ac:dyDescent="0.25">
      <c r="A27" s="91"/>
      <c r="B27" s="82"/>
      <c r="C27" s="124"/>
      <c r="D27" s="82"/>
      <c r="E27" s="82"/>
      <c r="F27" s="82"/>
      <c r="G27" s="82"/>
      <c r="H27" s="83"/>
      <c r="I27" s="90"/>
      <c r="J27" s="174"/>
      <c r="K27" s="220"/>
    </row>
    <row r="28" spans="1:11" ht="15" customHeight="1" x14ac:dyDescent="0.25">
      <c r="A28" s="91">
        <v>46113</v>
      </c>
      <c r="B28" s="82" t="s">
        <v>358</v>
      </c>
      <c r="C28" s="124" t="s">
        <v>9</v>
      </c>
      <c r="D28" s="82">
        <v>1070</v>
      </c>
      <c r="E28" s="82"/>
      <c r="F28" s="82"/>
      <c r="G28" s="82"/>
      <c r="H28" s="83" t="s">
        <v>66</v>
      </c>
      <c r="I28" s="90"/>
      <c r="J28" s="174"/>
      <c r="K28" s="220"/>
    </row>
    <row r="29" spans="1:11" ht="15" customHeight="1" x14ac:dyDescent="0.25">
      <c r="A29" s="91">
        <v>46116</v>
      </c>
      <c r="B29" s="227" t="s">
        <v>9</v>
      </c>
      <c r="C29" s="124" t="s">
        <v>300</v>
      </c>
      <c r="D29" s="82">
        <v>420</v>
      </c>
      <c r="E29" s="82"/>
      <c r="F29" s="82"/>
      <c r="G29" s="82">
        <v>36.909999999999997</v>
      </c>
      <c r="H29" s="123">
        <v>618977</v>
      </c>
      <c r="I29" s="90" t="s">
        <v>257</v>
      </c>
      <c r="J29" s="174"/>
      <c r="K29" s="220"/>
    </row>
    <row r="30" spans="1:11" ht="15" customHeight="1" x14ac:dyDescent="0.25">
      <c r="A30" s="91">
        <v>46118</v>
      </c>
      <c r="B30" s="227" t="s">
        <v>300</v>
      </c>
      <c r="C30" s="82" t="s">
        <v>118</v>
      </c>
      <c r="D30" s="82">
        <v>85</v>
      </c>
      <c r="E30" s="82"/>
      <c r="F30" s="82"/>
      <c r="G30" s="82"/>
      <c r="H30" s="128" t="s">
        <v>66</v>
      </c>
      <c r="I30" s="90"/>
      <c r="J30" s="174"/>
      <c r="K30" s="220"/>
    </row>
    <row r="31" spans="1:11" ht="15" customHeight="1" x14ac:dyDescent="0.25">
      <c r="A31" s="91">
        <v>46119</v>
      </c>
      <c r="B31" s="82" t="s">
        <v>118</v>
      </c>
      <c r="C31" s="124" t="s">
        <v>385</v>
      </c>
      <c r="D31" s="82">
        <v>1560</v>
      </c>
      <c r="E31" s="82"/>
      <c r="F31" s="82"/>
      <c r="G31" s="82"/>
      <c r="H31" s="90">
        <v>119681</v>
      </c>
      <c r="I31" s="90" t="s">
        <v>386</v>
      </c>
      <c r="J31" s="174"/>
      <c r="K31" s="220"/>
    </row>
    <row r="32" spans="1:11" ht="15" customHeight="1" x14ac:dyDescent="0.25">
      <c r="A32" s="91">
        <v>46122</v>
      </c>
      <c r="B32" s="124" t="s">
        <v>385</v>
      </c>
      <c r="C32" s="124" t="s">
        <v>9</v>
      </c>
      <c r="D32" s="82">
        <v>1070</v>
      </c>
      <c r="E32" s="82"/>
      <c r="F32" s="82"/>
      <c r="G32" s="82"/>
      <c r="H32" s="83" t="s">
        <v>66</v>
      </c>
      <c r="I32" s="90"/>
      <c r="J32" s="174"/>
      <c r="K32" s="220"/>
    </row>
    <row r="33" spans="1:12" ht="15" customHeight="1" x14ac:dyDescent="0.25">
      <c r="A33" s="91">
        <v>46123</v>
      </c>
      <c r="B33" s="82" t="s">
        <v>9</v>
      </c>
      <c r="C33" s="124" t="s">
        <v>351</v>
      </c>
      <c r="D33" s="82">
        <v>1010</v>
      </c>
      <c r="E33" s="82"/>
      <c r="F33" s="82"/>
      <c r="G33" s="82">
        <v>36.36</v>
      </c>
      <c r="H33" s="90">
        <v>619511</v>
      </c>
      <c r="I33" s="90" t="s">
        <v>257</v>
      </c>
      <c r="J33" s="174"/>
      <c r="K33" s="220"/>
    </row>
    <row r="34" spans="1:12" ht="15" customHeight="1" x14ac:dyDescent="0.25">
      <c r="A34" s="91">
        <v>46126</v>
      </c>
      <c r="B34" s="82" t="s">
        <v>351</v>
      </c>
      <c r="C34" s="124" t="s">
        <v>227</v>
      </c>
      <c r="D34" s="82">
        <v>240</v>
      </c>
      <c r="E34" s="82"/>
      <c r="F34" s="82"/>
      <c r="G34" s="82"/>
      <c r="H34" s="83" t="s">
        <v>66</v>
      </c>
      <c r="I34" s="90"/>
      <c r="J34" s="174"/>
      <c r="K34" s="220"/>
    </row>
    <row r="35" spans="1:12" ht="15" customHeight="1" x14ac:dyDescent="0.25">
      <c r="A35" s="91">
        <v>46126</v>
      </c>
      <c r="B35" s="82" t="s">
        <v>296</v>
      </c>
      <c r="C35" s="124" t="s">
        <v>9</v>
      </c>
      <c r="D35" s="82">
        <v>820</v>
      </c>
      <c r="E35" s="82"/>
      <c r="F35" s="82"/>
      <c r="G35" s="82">
        <v>34.700000000000003</v>
      </c>
      <c r="H35" s="90">
        <v>189472</v>
      </c>
      <c r="I35" s="90" t="s">
        <v>304</v>
      </c>
      <c r="J35" s="174"/>
      <c r="K35" s="220">
        <v>949499.51</v>
      </c>
    </row>
    <row r="36" spans="1:12" ht="15" customHeight="1" x14ac:dyDescent="0.25">
      <c r="A36" s="91">
        <v>46128</v>
      </c>
      <c r="B36" s="82" t="s">
        <v>9</v>
      </c>
      <c r="C36" s="124" t="s">
        <v>351</v>
      </c>
      <c r="D36" s="82">
        <v>1010</v>
      </c>
      <c r="E36" s="82"/>
      <c r="F36" s="82"/>
      <c r="G36" s="82">
        <v>36.51</v>
      </c>
      <c r="H36" s="90">
        <v>619789</v>
      </c>
      <c r="I36" s="90" t="s">
        <v>257</v>
      </c>
      <c r="J36" s="174"/>
      <c r="K36" s="220"/>
    </row>
    <row r="37" spans="1:12" ht="15" customHeight="1" x14ac:dyDescent="0.25">
      <c r="A37" s="91">
        <v>46129</v>
      </c>
      <c r="B37" s="82" t="s">
        <v>351</v>
      </c>
      <c r="C37" s="124" t="s">
        <v>9</v>
      </c>
      <c r="D37" s="82">
        <v>1060</v>
      </c>
      <c r="E37" s="82"/>
      <c r="F37" s="82"/>
      <c r="G37" s="82"/>
      <c r="H37" s="90">
        <v>16418</v>
      </c>
      <c r="I37" s="90" t="s">
        <v>365</v>
      </c>
      <c r="J37" s="174"/>
      <c r="K37" s="220"/>
    </row>
    <row r="38" spans="1:12" ht="15" customHeight="1" x14ac:dyDescent="0.25">
      <c r="A38" s="91">
        <v>46135</v>
      </c>
      <c r="B38" s="227" t="s">
        <v>9</v>
      </c>
      <c r="C38" s="82" t="s">
        <v>300</v>
      </c>
      <c r="D38" s="82">
        <v>430</v>
      </c>
      <c r="E38" s="82"/>
      <c r="F38" s="82"/>
      <c r="G38" s="82"/>
      <c r="H38" s="90" t="s">
        <v>430</v>
      </c>
      <c r="I38" s="90" t="s">
        <v>15</v>
      </c>
      <c r="J38" s="174"/>
      <c r="K38" s="220"/>
    </row>
    <row r="39" spans="1:12" ht="15" customHeight="1" x14ac:dyDescent="0.25">
      <c r="A39" s="91">
        <v>46136</v>
      </c>
      <c r="B39" s="227" t="s">
        <v>300</v>
      </c>
      <c r="C39" s="82" t="s">
        <v>118</v>
      </c>
      <c r="D39" s="82">
        <v>85</v>
      </c>
      <c r="E39" s="82"/>
      <c r="F39" s="82"/>
      <c r="G39" s="82"/>
      <c r="H39" s="128" t="s">
        <v>66</v>
      </c>
      <c r="I39" s="90"/>
      <c r="J39" s="174"/>
      <c r="K39" s="220"/>
    </row>
    <row r="40" spans="1:12" ht="15" customHeight="1" x14ac:dyDescent="0.25">
      <c r="A40" s="91">
        <v>46136</v>
      </c>
      <c r="B40" s="82" t="s">
        <v>118</v>
      </c>
      <c r="C40" s="124" t="s">
        <v>385</v>
      </c>
      <c r="D40" s="82">
        <v>1560</v>
      </c>
      <c r="E40" s="82"/>
      <c r="F40" s="82"/>
      <c r="G40" s="82"/>
      <c r="H40" s="90">
        <v>122785</v>
      </c>
      <c r="I40" s="90" t="s">
        <v>386</v>
      </c>
      <c r="J40" s="174"/>
      <c r="K40" s="220"/>
    </row>
    <row r="41" spans="1:12" ht="15" customHeight="1" x14ac:dyDescent="0.25">
      <c r="A41" s="91">
        <v>46139</v>
      </c>
      <c r="B41" s="124" t="s">
        <v>385</v>
      </c>
      <c r="C41" s="124" t="s">
        <v>227</v>
      </c>
      <c r="D41" s="82">
        <v>270</v>
      </c>
      <c r="E41" s="82"/>
      <c r="F41" s="82"/>
      <c r="G41" s="82"/>
      <c r="H41" s="83" t="s">
        <v>66</v>
      </c>
      <c r="I41" s="90"/>
      <c r="J41" s="174"/>
      <c r="K41" s="220"/>
    </row>
    <row r="42" spans="1:12" ht="15" customHeight="1" x14ac:dyDescent="0.25">
      <c r="A42" s="91">
        <v>46140</v>
      </c>
      <c r="B42" s="82" t="s">
        <v>296</v>
      </c>
      <c r="C42" s="124" t="s">
        <v>9</v>
      </c>
      <c r="D42" s="82">
        <v>820</v>
      </c>
      <c r="E42" s="82"/>
      <c r="F42" s="82"/>
      <c r="G42" s="82">
        <v>36.1</v>
      </c>
      <c r="H42" s="90">
        <v>189990</v>
      </c>
      <c r="I42" s="90" t="s">
        <v>304</v>
      </c>
      <c r="J42" s="174"/>
      <c r="K42" s="220"/>
    </row>
    <row r="43" spans="1:12" ht="15" customHeight="1" x14ac:dyDescent="0.25">
      <c r="A43" s="91">
        <v>46142</v>
      </c>
      <c r="B43" s="82" t="s">
        <v>9</v>
      </c>
      <c r="C43" s="124" t="s">
        <v>428</v>
      </c>
      <c r="D43" s="82">
        <v>390</v>
      </c>
      <c r="E43" s="82"/>
      <c r="F43" s="82"/>
      <c r="G43" s="82">
        <v>35.840000000000003</v>
      </c>
      <c r="H43" s="90">
        <v>294831</v>
      </c>
      <c r="I43" s="90" t="s">
        <v>15</v>
      </c>
      <c r="J43" s="174"/>
      <c r="K43" s="220"/>
    </row>
    <row r="44" spans="1:12" ht="15" customHeight="1" x14ac:dyDescent="0.25">
      <c r="A44" s="91">
        <v>46142</v>
      </c>
      <c r="B44" s="82" t="s">
        <v>428</v>
      </c>
      <c r="C44" s="124" t="s">
        <v>118</v>
      </c>
      <c r="D44" s="82">
        <v>170</v>
      </c>
      <c r="E44" s="82"/>
      <c r="F44" s="82"/>
      <c r="G44" s="82"/>
      <c r="H44" s="83" t="s">
        <v>66</v>
      </c>
      <c r="I44" s="90"/>
      <c r="J44" s="174"/>
      <c r="K44" s="220"/>
    </row>
    <row r="45" spans="1:12" ht="15" customHeight="1" x14ac:dyDescent="0.25">
      <c r="A45" s="91"/>
      <c r="B45" s="82"/>
      <c r="C45" s="124"/>
      <c r="D45" s="151" t="s">
        <v>451</v>
      </c>
      <c r="E45" s="82"/>
      <c r="F45" s="82"/>
      <c r="G45" s="82"/>
      <c r="H45" s="83"/>
      <c r="I45" s="90"/>
      <c r="J45" s="174"/>
      <c r="K45" s="220"/>
    </row>
    <row r="46" spans="1:12" x14ac:dyDescent="0.25">
      <c r="A46" s="5"/>
      <c r="B46" s="6"/>
      <c r="C46" s="6"/>
      <c r="D46" s="6"/>
      <c r="E46" s="6"/>
      <c r="F46" s="6"/>
      <c r="G46" s="6"/>
      <c r="H46" s="7"/>
      <c r="I46" s="7"/>
      <c r="J46" s="12"/>
      <c r="K46" s="221"/>
    </row>
    <row r="47" spans="1:12" x14ac:dyDescent="0.25">
      <c r="D47" s="17">
        <f>SUM(D3:D46)</f>
        <v>18285</v>
      </c>
      <c r="E47" s="175"/>
      <c r="F47" s="13" t="e">
        <f>AVERAGE(#REF!)</f>
        <v>#REF!</v>
      </c>
      <c r="G47" s="13">
        <f>AVERAGE(G3:G45)</f>
        <v>36.07</v>
      </c>
      <c r="J47" s="139">
        <f>SUM(J3:J46)</f>
        <v>0</v>
      </c>
      <c r="K47" s="245">
        <f>SUM(K3:K46)</f>
        <v>949499.51</v>
      </c>
      <c r="L47" s="89">
        <f>K47/D47</f>
        <v>51.927782882143838</v>
      </c>
    </row>
    <row r="48" spans="1:12" x14ac:dyDescent="0.25">
      <c r="D48" s="11"/>
      <c r="E48" s="11"/>
      <c r="H48" s="113"/>
      <c r="I48" s="113"/>
      <c r="J48" s="113"/>
      <c r="K48" s="113"/>
    </row>
    <row r="49" spans="2:11" x14ac:dyDescent="0.25">
      <c r="B49">
        <v>-1968.2</v>
      </c>
      <c r="D49" s="11"/>
      <c r="E49" s="11"/>
      <c r="H49" s="113"/>
      <c r="I49" s="113"/>
      <c r="J49" s="113"/>
      <c r="K49" s="113"/>
    </row>
    <row r="50" spans="2:11" x14ac:dyDescent="0.25">
      <c r="B50">
        <v>630</v>
      </c>
      <c r="C50" t="s">
        <v>12</v>
      </c>
      <c r="D50" s="11"/>
      <c r="E50" s="11"/>
      <c r="H50" s="113"/>
      <c r="I50" s="113"/>
      <c r="J50" s="113"/>
      <c r="K50" s="113" t="s">
        <v>223</v>
      </c>
    </row>
    <row r="51" spans="2:11" x14ac:dyDescent="0.25">
      <c r="B51">
        <v>-700</v>
      </c>
      <c r="C51" t="s">
        <v>13</v>
      </c>
      <c r="D51" s="11"/>
      <c r="E51" s="11"/>
      <c r="H51" s="113"/>
      <c r="I51" s="113"/>
      <c r="J51" s="113"/>
      <c r="K51" s="113"/>
    </row>
    <row r="52" spans="2:11" x14ac:dyDescent="0.25">
      <c r="B52">
        <v>630</v>
      </c>
      <c r="C52" t="s">
        <v>12</v>
      </c>
      <c r="D52" s="11"/>
      <c r="E52" s="11"/>
      <c r="H52" s="113"/>
      <c r="I52" s="113"/>
      <c r="J52" s="113"/>
      <c r="K52" s="113"/>
    </row>
    <row r="53" spans="2:11" x14ac:dyDescent="0.25">
      <c r="B53">
        <v>-600</v>
      </c>
      <c r="C53" t="s">
        <v>13</v>
      </c>
      <c r="D53" s="11"/>
      <c r="E53" s="11"/>
      <c r="H53" s="113"/>
      <c r="I53" s="113"/>
      <c r="J53" s="113"/>
      <c r="K53" s="113"/>
    </row>
    <row r="54" spans="2:11" x14ac:dyDescent="0.25">
      <c r="B54">
        <v>1110</v>
      </c>
      <c r="C54" t="s">
        <v>12</v>
      </c>
      <c r="D54" s="11"/>
      <c r="E54" s="11"/>
      <c r="H54" s="113"/>
      <c r="I54" s="113"/>
      <c r="J54" s="113"/>
      <c r="K54" s="113"/>
    </row>
    <row r="55" spans="2:11" x14ac:dyDescent="0.25">
      <c r="B55">
        <v>-1200</v>
      </c>
      <c r="C55" t="s">
        <v>13</v>
      </c>
      <c r="D55" s="11"/>
      <c r="E55" s="11"/>
      <c r="H55" s="113"/>
      <c r="I55" s="113"/>
      <c r="J55" s="113"/>
      <c r="K55" s="113"/>
    </row>
    <row r="56" spans="2:11" x14ac:dyDescent="0.25">
      <c r="B56">
        <v>680</v>
      </c>
      <c r="C56" t="s">
        <v>12</v>
      </c>
      <c r="D56" s="11">
        <v>44131</v>
      </c>
      <c r="E56" s="11"/>
      <c r="H56" s="113"/>
      <c r="I56" s="113"/>
      <c r="J56" s="113"/>
      <c r="K56" s="113"/>
    </row>
    <row r="57" spans="2:11" x14ac:dyDescent="0.25">
      <c r="B57">
        <v>-600</v>
      </c>
      <c r="C57" t="s">
        <v>13</v>
      </c>
      <c r="D57" s="11"/>
      <c r="E57" s="11"/>
      <c r="H57" s="113"/>
      <c r="I57" s="113"/>
      <c r="J57" s="113"/>
      <c r="K57" s="113"/>
    </row>
    <row r="58" spans="2:11" x14ac:dyDescent="0.25">
      <c r="B58">
        <v>400</v>
      </c>
      <c r="C58" t="s">
        <v>12</v>
      </c>
      <c r="D58" s="11"/>
      <c r="E58" s="11"/>
      <c r="H58" s="113"/>
      <c r="I58" s="113"/>
      <c r="J58" s="113"/>
      <c r="K58" s="113"/>
    </row>
    <row r="59" spans="2:11" x14ac:dyDescent="0.25">
      <c r="B59">
        <v>-400</v>
      </c>
      <c r="C59" t="s">
        <v>13</v>
      </c>
      <c r="D59" s="11"/>
      <c r="E59" s="11"/>
      <c r="H59" s="113"/>
      <c r="I59" s="113"/>
      <c r="J59" s="113"/>
      <c r="K59" s="113"/>
    </row>
    <row r="60" spans="2:11" x14ac:dyDescent="0.25">
      <c r="B60">
        <v>2855</v>
      </c>
      <c r="C60" t="s">
        <v>12</v>
      </c>
      <c r="D60" s="11">
        <v>44182</v>
      </c>
      <c r="E60" s="11"/>
      <c r="H60" s="113"/>
      <c r="I60" s="113"/>
      <c r="J60" s="113"/>
      <c r="K60" s="113"/>
    </row>
    <row r="61" spans="2:11" x14ac:dyDescent="0.25">
      <c r="B61">
        <v>-2900</v>
      </c>
      <c r="C61" t="s">
        <v>13</v>
      </c>
      <c r="D61" s="11"/>
      <c r="E61" s="11"/>
      <c r="H61" s="113"/>
      <c r="I61" s="113"/>
      <c r="J61" s="113"/>
      <c r="K61" s="113"/>
    </row>
    <row r="62" spans="2:11" x14ac:dyDescent="0.25">
      <c r="B62">
        <v>315</v>
      </c>
      <c r="C62" t="s">
        <v>12</v>
      </c>
      <c r="D62" s="11">
        <v>44195</v>
      </c>
      <c r="E62" s="11"/>
      <c r="H62" s="113"/>
      <c r="I62" s="113"/>
      <c r="J62" s="113"/>
      <c r="K62" s="113"/>
    </row>
    <row r="63" spans="2:11" x14ac:dyDescent="0.25">
      <c r="B63">
        <v>-300</v>
      </c>
      <c r="C63" t="s">
        <v>13</v>
      </c>
      <c r="D63" s="11"/>
      <c r="E63" s="11"/>
      <c r="H63" s="113"/>
      <c r="I63" s="113"/>
      <c r="J63" s="113"/>
      <c r="K63" s="113"/>
    </row>
    <row r="64" spans="2:11" x14ac:dyDescent="0.25">
      <c r="B64">
        <v>1990</v>
      </c>
      <c r="C64" t="s">
        <v>12</v>
      </c>
      <c r="D64" s="11">
        <v>44216</v>
      </c>
      <c r="E64" s="11"/>
      <c r="H64" s="113"/>
      <c r="I64" s="113"/>
      <c r="J64" s="113"/>
      <c r="K64" s="113"/>
    </row>
    <row r="65" spans="2:11" x14ac:dyDescent="0.25">
      <c r="B65">
        <v>-2000</v>
      </c>
      <c r="C65" t="s">
        <v>13</v>
      </c>
      <c r="D65" s="11">
        <v>44216</v>
      </c>
      <c r="E65" s="11"/>
      <c r="H65" s="113"/>
      <c r="I65" s="113"/>
      <c r="J65" s="113"/>
      <c r="K65" s="113"/>
    </row>
    <row r="66" spans="2:11" x14ac:dyDescent="0.25">
      <c r="B66">
        <v>950</v>
      </c>
      <c r="C66" t="s">
        <v>12</v>
      </c>
      <c r="D66" s="11">
        <v>44226</v>
      </c>
      <c r="E66" s="11"/>
      <c r="H66" s="113"/>
      <c r="I66" s="113"/>
      <c r="J66" s="113"/>
      <c r="K66" s="113"/>
    </row>
    <row r="67" spans="2:11" x14ac:dyDescent="0.25">
      <c r="B67">
        <v>450</v>
      </c>
      <c r="C67" t="s">
        <v>141</v>
      </c>
      <c r="D67" s="11"/>
      <c r="E67" s="11"/>
      <c r="H67" s="113"/>
      <c r="I67" s="113"/>
      <c r="J67" s="113"/>
      <c r="K67" s="113"/>
    </row>
    <row r="68" spans="2:11" x14ac:dyDescent="0.25">
      <c r="B68">
        <v>-1400</v>
      </c>
      <c r="C68" t="s">
        <v>13</v>
      </c>
      <c r="D68" s="11"/>
      <c r="E68" s="11"/>
      <c r="H68" s="113"/>
      <c r="I68" s="113"/>
      <c r="J68" s="113"/>
      <c r="K68" s="113"/>
    </row>
    <row r="69" spans="2:11" x14ac:dyDescent="0.25">
      <c r="B69">
        <v>1700</v>
      </c>
      <c r="C69" t="s">
        <v>106</v>
      </c>
      <c r="D69" s="11">
        <v>44316</v>
      </c>
      <c r="E69" s="11"/>
      <c r="H69" s="113"/>
      <c r="I69" s="113"/>
      <c r="J69" s="113"/>
      <c r="K69" s="113"/>
    </row>
    <row r="70" spans="2:11" x14ac:dyDescent="0.25">
      <c r="B70">
        <v>1290</v>
      </c>
      <c r="C70" t="s">
        <v>12</v>
      </c>
      <c r="D70" s="11">
        <v>44321</v>
      </c>
      <c r="E70" s="11"/>
      <c r="H70" s="113"/>
      <c r="I70" s="113"/>
      <c r="J70" s="113"/>
      <c r="K70" s="113"/>
    </row>
    <row r="71" spans="2:11" x14ac:dyDescent="0.25">
      <c r="B71">
        <v>-3000</v>
      </c>
      <c r="C71" t="s">
        <v>13</v>
      </c>
      <c r="D71" s="11"/>
      <c r="E71" s="11"/>
      <c r="H71" s="113"/>
      <c r="I71" s="113"/>
      <c r="J71" s="113"/>
      <c r="K71" s="113"/>
    </row>
    <row r="72" spans="2:11" x14ac:dyDescent="0.25">
      <c r="B72">
        <v>1250</v>
      </c>
      <c r="C72" t="s">
        <v>74</v>
      </c>
      <c r="D72" s="11">
        <v>44369</v>
      </c>
      <c r="E72" s="11"/>
      <c r="H72" s="113"/>
      <c r="I72" s="113"/>
      <c r="J72" s="113"/>
      <c r="K72" s="113"/>
    </row>
    <row r="73" spans="2:11" x14ac:dyDescent="0.25">
      <c r="B73">
        <v>-1200</v>
      </c>
      <c r="C73" t="s">
        <v>13</v>
      </c>
      <c r="D73" s="11">
        <v>44369</v>
      </c>
      <c r="E73" s="11"/>
      <c r="H73" s="113"/>
      <c r="I73" s="113"/>
      <c r="J73" s="113"/>
      <c r="K73" s="113"/>
    </row>
    <row r="74" spans="2:11" x14ac:dyDescent="0.25">
      <c r="B74">
        <v>200</v>
      </c>
      <c r="C74" t="s">
        <v>12</v>
      </c>
      <c r="D74" s="11">
        <v>44434</v>
      </c>
      <c r="E74" s="11"/>
      <c r="H74" s="113"/>
      <c r="I74" s="113"/>
      <c r="J74" s="113"/>
      <c r="K74" s="113"/>
    </row>
    <row r="75" spans="2:11" x14ac:dyDescent="0.25">
      <c r="B75">
        <v>-200</v>
      </c>
      <c r="C75" t="s">
        <v>13</v>
      </c>
      <c r="D75" s="11">
        <v>44434</v>
      </c>
      <c r="E75" s="11"/>
      <c r="H75" s="113"/>
      <c r="I75" s="113"/>
      <c r="J75" s="113"/>
      <c r="K75" s="113"/>
    </row>
    <row r="76" spans="2:11" x14ac:dyDescent="0.25">
      <c r="B76">
        <v>300</v>
      </c>
      <c r="C76" t="s">
        <v>94</v>
      </c>
      <c r="D76" s="11">
        <v>44457</v>
      </c>
      <c r="E76" s="11"/>
      <c r="H76" s="113"/>
      <c r="I76" s="113"/>
      <c r="J76" s="113"/>
      <c r="K76" s="113"/>
    </row>
    <row r="77" spans="2:11" x14ac:dyDescent="0.25">
      <c r="B77">
        <v>-300</v>
      </c>
      <c r="C77" t="s">
        <v>13</v>
      </c>
      <c r="D77" s="11"/>
      <c r="E77" s="11"/>
      <c r="H77" s="113"/>
      <c r="I77" s="113"/>
      <c r="J77" s="113"/>
      <c r="K77" s="113"/>
    </row>
    <row r="78" spans="2:11" x14ac:dyDescent="0.25">
      <c r="B78">
        <v>220</v>
      </c>
      <c r="C78" t="s">
        <v>74</v>
      </c>
      <c r="D78" s="11">
        <v>44543</v>
      </c>
      <c r="E78" s="11"/>
      <c r="H78" s="113"/>
      <c r="I78" s="113"/>
      <c r="J78" s="113"/>
      <c r="K78" s="113"/>
    </row>
    <row r="79" spans="2:11" x14ac:dyDescent="0.25">
      <c r="B79">
        <v>-300</v>
      </c>
      <c r="C79" t="s">
        <v>13</v>
      </c>
      <c r="D79" s="11">
        <v>44543</v>
      </c>
      <c r="E79" s="11"/>
      <c r="H79" s="113"/>
      <c r="I79" s="113"/>
      <c r="J79" s="113"/>
      <c r="K79" s="113"/>
    </row>
    <row r="80" spans="2:11" x14ac:dyDescent="0.25">
      <c r="B80">
        <v>1170</v>
      </c>
      <c r="C80" t="s">
        <v>181</v>
      </c>
      <c r="D80" s="11">
        <v>44574</v>
      </c>
      <c r="E80" s="11"/>
      <c r="H80" s="113"/>
      <c r="I80" s="113"/>
      <c r="J80" s="113"/>
      <c r="K80" s="113"/>
    </row>
    <row r="81" spans="2:11" x14ac:dyDescent="0.25">
      <c r="B81">
        <v>-1100</v>
      </c>
      <c r="C81" t="s">
        <v>13</v>
      </c>
      <c r="D81" s="11"/>
      <c r="E81" s="11"/>
      <c r="H81" s="113"/>
      <c r="I81" s="113"/>
      <c r="J81" s="113"/>
      <c r="K81" s="113"/>
    </row>
    <row r="82" spans="2:11" x14ac:dyDescent="0.25">
      <c r="B82">
        <v>420</v>
      </c>
      <c r="C82" t="s">
        <v>94</v>
      </c>
      <c r="D82" s="11">
        <v>44576</v>
      </c>
      <c r="E82" s="11"/>
      <c r="H82" s="113"/>
      <c r="I82" s="113"/>
      <c r="J82" s="113"/>
      <c r="K82" s="113"/>
    </row>
    <row r="83" spans="2:11" x14ac:dyDescent="0.25">
      <c r="B83">
        <v>-400</v>
      </c>
      <c r="C83" t="s">
        <v>13</v>
      </c>
      <c r="D83" s="11"/>
      <c r="E83" s="11"/>
      <c r="H83" s="113"/>
      <c r="I83" s="113"/>
      <c r="J83" s="113"/>
      <c r="K83" s="113"/>
    </row>
    <row r="84" spans="2:11" x14ac:dyDescent="0.25">
      <c r="B84">
        <v>3250</v>
      </c>
      <c r="C84" t="s">
        <v>12</v>
      </c>
      <c r="D84" s="11"/>
      <c r="E84" s="11"/>
      <c r="H84" s="113"/>
      <c r="I84" s="113"/>
      <c r="J84" s="113"/>
      <c r="K84" s="113"/>
    </row>
    <row r="85" spans="2:11" x14ac:dyDescent="0.25">
      <c r="B85">
        <v>-3300</v>
      </c>
      <c r="C85" t="s">
        <v>13</v>
      </c>
      <c r="D85" s="11">
        <v>44600</v>
      </c>
      <c r="E85" s="11"/>
      <c r="H85" s="113"/>
      <c r="I85" s="113"/>
      <c r="J85" s="113"/>
      <c r="K85" s="113"/>
    </row>
    <row r="86" spans="2:11" x14ac:dyDescent="0.25">
      <c r="B86">
        <v>420</v>
      </c>
      <c r="C86" t="s">
        <v>94</v>
      </c>
      <c r="D86" s="11"/>
      <c r="E86" s="11"/>
      <c r="H86" s="113"/>
      <c r="I86" s="113"/>
      <c r="J86" s="113"/>
      <c r="K86" s="113"/>
    </row>
    <row r="87" spans="2:11" x14ac:dyDescent="0.25">
      <c r="B87">
        <v>-400</v>
      </c>
      <c r="C87" t="s">
        <v>188</v>
      </c>
      <c r="D87" s="11">
        <v>44611</v>
      </c>
      <c r="E87" s="11"/>
      <c r="H87" s="113"/>
      <c r="I87" s="113"/>
      <c r="J87" s="113"/>
      <c r="K87" s="113"/>
    </row>
    <row r="88" spans="2:11" x14ac:dyDescent="0.25">
      <c r="B88">
        <v>1260</v>
      </c>
      <c r="C88" t="s">
        <v>137</v>
      </c>
      <c r="D88" s="11">
        <v>44628</v>
      </c>
      <c r="E88" s="11"/>
      <c r="H88" s="113"/>
      <c r="I88" s="113"/>
      <c r="J88" s="113"/>
      <c r="K88" s="113"/>
    </row>
    <row r="89" spans="2:11" x14ac:dyDescent="0.25">
      <c r="B89">
        <v>-1300</v>
      </c>
      <c r="C89" t="s">
        <v>13</v>
      </c>
      <c r="D89" s="11">
        <v>44628</v>
      </c>
      <c r="E89" s="11"/>
      <c r="H89" s="113"/>
      <c r="I89" s="113"/>
      <c r="J89" s="113"/>
      <c r="K89" s="113"/>
    </row>
    <row r="90" spans="2:11" x14ac:dyDescent="0.25">
      <c r="B90">
        <v>1160</v>
      </c>
      <c r="C90" t="s">
        <v>12</v>
      </c>
      <c r="D90" s="11"/>
      <c r="E90" s="11"/>
      <c r="H90" s="113"/>
      <c r="I90" s="113"/>
      <c r="J90" s="113"/>
      <c r="K90" s="113"/>
    </row>
    <row r="91" spans="2:11" x14ac:dyDescent="0.25">
      <c r="B91">
        <v>-1100</v>
      </c>
      <c r="C91" t="s">
        <v>13</v>
      </c>
      <c r="D91" s="11"/>
      <c r="E91" s="11"/>
      <c r="H91" s="113"/>
      <c r="I91" s="113"/>
      <c r="J91" s="113"/>
      <c r="K91" s="113"/>
    </row>
    <row r="92" spans="2:11" x14ac:dyDescent="0.25">
      <c r="B92">
        <v>880</v>
      </c>
      <c r="C92" t="s">
        <v>12</v>
      </c>
      <c r="D92" s="11">
        <v>44671</v>
      </c>
      <c r="E92" s="11"/>
      <c r="H92" s="113"/>
      <c r="I92" s="113"/>
      <c r="J92" s="113"/>
      <c r="K92" s="113"/>
    </row>
    <row r="93" spans="2:11" x14ac:dyDescent="0.25">
      <c r="B93">
        <v>-900</v>
      </c>
      <c r="C93" t="s">
        <v>13</v>
      </c>
      <c r="D93" s="11"/>
      <c r="E93" s="11"/>
      <c r="H93" s="113"/>
      <c r="I93" s="113"/>
      <c r="J93" s="113"/>
      <c r="K93" s="113"/>
    </row>
    <row r="94" spans="2:11" x14ac:dyDescent="0.25">
      <c r="B94">
        <v>680</v>
      </c>
      <c r="C94" t="s">
        <v>12</v>
      </c>
      <c r="D94" s="11">
        <v>44679</v>
      </c>
      <c r="E94" s="11"/>
      <c r="H94" s="113"/>
      <c r="I94" s="113"/>
      <c r="J94" s="113"/>
      <c r="K94" s="113"/>
    </row>
    <row r="95" spans="2:11" x14ac:dyDescent="0.25">
      <c r="B95">
        <v>-700</v>
      </c>
      <c r="C95" t="s">
        <v>13</v>
      </c>
      <c r="D95" s="11">
        <v>44679</v>
      </c>
      <c r="E95" s="11"/>
      <c r="H95" s="113"/>
      <c r="I95" s="113"/>
      <c r="J95" s="113"/>
      <c r="K95" s="113"/>
    </row>
    <row r="96" spans="2:11" x14ac:dyDescent="0.25">
      <c r="B96">
        <v>4110</v>
      </c>
      <c r="C96" t="s">
        <v>74</v>
      </c>
      <c r="D96" s="11">
        <v>44690</v>
      </c>
      <c r="E96" s="11"/>
      <c r="H96" s="113"/>
      <c r="I96" s="113"/>
      <c r="J96" s="113"/>
      <c r="K96" s="113"/>
    </row>
    <row r="97" spans="2:11" x14ac:dyDescent="0.25">
      <c r="B97">
        <v>-4100</v>
      </c>
      <c r="C97" t="s">
        <v>13</v>
      </c>
      <c r="D97" s="11">
        <v>44690</v>
      </c>
      <c r="E97" s="11"/>
      <c r="H97" s="113"/>
      <c r="I97" s="113"/>
      <c r="J97" s="113"/>
      <c r="K97" s="113"/>
    </row>
    <row r="98" spans="2:11" x14ac:dyDescent="0.25">
      <c r="B98">
        <v>880</v>
      </c>
      <c r="C98" t="s">
        <v>12</v>
      </c>
      <c r="D98" s="11">
        <v>44693</v>
      </c>
      <c r="E98" s="11"/>
      <c r="H98" s="113"/>
      <c r="I98" s="113"/>
      <c r="J98" s="113"/>
      <c r="K98" s="113"/>
    </row>
    <row r="99" spans="2:11" x14ac:dyDescent="0.25">
      <c r="B99">
        <v>-900</v>
      </c>
      <c r="C99" t="s">
        <v>13</v>
      </c>
      <c r="D99" s="11"/>
      <c r="E99" s="11"/>
      <c r="H99" s="113"/>
      <c r="I99" s="113"/>
      <c r="J99" s="113"/>
      <c r="K99" s="113"/>
    </row>
    <row r="100" spans="2:11" x14ac:dyDescent="0.25">
      <c r="B100">
        <v>960</v>
      </c>
      <c r="C100" t="s">
        <v>12</v>
      </c>
      <c r="D100" s="11">
        <v>44727</v>
      </c>
      <c r="E100" s="11"/>
      <c r="H100" s="113"/>
      <c r="I100" s="113"/>
      <c r="J100" s="113"/>
      <c r="K100" s="113"/>
    </row>
    <row r="101" spans="2:11" x14ac:dyDescent="0.25">
      <c r="B101">
        <v>-1000</v>
      </c>
      <c r="C101" t="s">
        <v>13</v>
      </c>
      <c r="D101" s="11">
        <v>44727</v>
      </c>
      <c r="E101" s="11"/>
      <c r="H101" s="113"/>
      <c r="I101" s="113"/>
      <c r="J101" s="113"/>
      <c r="K101" s="113"/>
    </row>
    <row r="102" spans="2:11" x14ac:dyDescent="0.25">
      <c r="B102">
        <v>-980</v>
      </c>
      <c r="C102" t="s">
        <v>175</v>
      </c>
      <c r="D102" s="11">
        <v>44735</v>
      </c>
      <c r="E102" s="11"/>
      <c r="H102" s="113"/>
      <c r="I102" s="113"/>
      <c r="J102" s="113"/>
      <c r="K102" s="113"/>
    </row>
    <row r="103" spans="2:11" x14ac:dyDescent="0.25">
      <c r="B103">
        <v>920</v>
      </c>
      <c r="C103" t="s">
        <v>12</v>
      </c>
      <c r="D103" s="11">
        <v>44775</v>
      </c>
      <c r="E103" s="11"/>
      <c r="H103" s="113"/>
      <c r="I103" s="113"/>
      <c r="J103" s="113"/>
      <c r="K103" s="113"/>
    </row>
    <row r="104" spans="2:11" x14ac:dyDescent="0.25">
      <c r="B104">
        <v>-900</v>
      </c>
      <c r="C104" t="s">
        <v>13</v>
      </c>
      <c r="D104" s="11">
        <v>44775</v>
      </c>
      <c r="E104" s="11"/>
      <c r="H104" s="113"/>
      <c r="I104" s="113"/>
      <c r="J104" s="113"/>
      <c r="K104" s="113"/>
    </row>
    <row r="105" spans="2:11" x14ac:dyDescent="0.25">
      <c r="B105">
        <v>480</v>
      </c>
      <c r="C105" t="s">
        <v>74</v>
      </c>
      <c r="D105" s="11">
        <v>44783</v>
      </c>
      <c r="E105" s="11"/>
      <c r="H105" s="113"/>
      <c r="I105" s="113"/>
      <c r="J105" s="113"/>
      <c r="K105" s="113"/>
    </row>
    <row r="106" spans="2:11" x14ac:dyDescent="0.25">
      <c r="B106">
        <v>-500</v>
      </c>
      <c r="C106" t="s">
        <v>13</v>
      </c>
      <c r="D106" s="11">
        <v>44783</v>
      </c>
      <c r="E106" s="11"/>
      <c r="H106" s="113"/>
      <c r="I106" s="113"/>
      <c r="J106" s="113"/>
      <c r="K106" s="113"/>
    </row>
    <row r="107" spans="2:11" x14ac:dyDescent="0.25">
      <c r="B107">
        <v>480</v>
      </c>
      <c r="C107" t="s">
        <v>12</v>
      </c>
      <c r="D107" s="11">
        <v>44793</v>
      </c>
      <c r="E107" s="11"/>
      <c r="H107" s="113"/>
      <c r="I107" s="113"/>
      <c r="J107" s="113"/>
      <c r="K107" s="113"/>
    </row>
    <row r="108" spans="2:11" x14ac:dyDescent="0.25">
      <c r="B108">
        <v>5010</v>
      </c>
      <c r="C108" t="s">
        <v>12</v>
      </c>
      <c r="D108" s="11">
        <v>44827</v>
      </c>
      <c r="E108" s="11"/>
      <c r="H108" s="113"/>
      <c r="I108" s="113"/>
      <c r="J108" s="113"/>
      <c r="K108" s="113"/>
    </row>
    <row r="109" spans="2:11" x14ac:dyDescent="0.25">
      <c r="B109">
        <v>-5000</v>
      </c>
      <c r="C109" t="s">
        <v>13</v>
      </c>
      <c r="D109" s="11">
        <v>44827</v>
      </c>
      <c r="E109" s="11"/>
      <c r="H109" s="113"/>
      <c r="I109" s="113"/>
      <c r="J109" s="113"/>
      <c r="K109" s="113"/>
    </row>
    <row r="110" spans="2:11" x14ac:dyDescent="0.25">
      <c r="B110">
        <v>-20000</v>
      </c>
      <c r="C110" t="s">
        <v>13</v>
      </c>
      <c r="D110" s="11">
        <v>44835</v>
      </c>
      <c r="E110" s="11" t="s">
        <v>212</v>
      </c>
      <c r="F110" t="s">
        <v>215</v>
      </c>
      <c r="H110" s="113"/>
      <c r="I110" s="113"/>
      <c r="J110" s="113"/>
      <c r="K110" s="113"/>
    </row>
    <row r="111" spans="2:11" x14ac:dyDescent="0.25">
      <c r="B111">
        <f>12320+6884.34+13047.19</f>
        <v>32251.53</v>
      </c>
      <c r="C111" t="s">
        <v>214</v>
      </c>
      <c r="D111" s="11">
        <v>44841</v>
      </c>
      <c r="E111" s="11" t="s">
        <v>212</v>
      </c>
      <c r="H111" s="113"/>
      <c r="I111" s="113"/>
      <c r="J111" s="113"/>
      <c r="K111" s="113"/>
    </row>
    <row r="112" spans="2:11" x14ac:dyDescent="0.25">
      <c r="B112">
        <v>-12300</v>
      </c>
      <c r="C112" t="s">
        <v>213</v>
      </c>
      <c r="D112" s="11">
        <v>44841</v>
      </c>
      <c r="E112" s="11" t="s">
        <v>212</v>
      </c>
      <c r="H112" s="113"/>
      <c r="I112" s="113"/>
      <c r="J112" s="113"/>
      <c r="K112" s="113"/>
    </row>
    <row r="113" spans="2:11" x14ac:dyDescent="0.25">
      <c r="B113">
        <v>-30000</v>
      </c>
      <c r="C113" t="s">
        <v>13</v>
      </c>
      <c r="D113" s="11">
        <v>44841</v>
      </c>
      <c r="E113" s="11" t="s">
        <v>212</v>
      </c>
      <c r="H113" s="113"/>
      <c r="I113" s="113"/>
      <c r="J113" s="113"/>
      <c r="K113" s="113"/>
    </row>
    <row r="114" spans="2:11" x14ac:dyDescent="0.25">
      <c r="B114">
        <v>9940</v>
      </c>
      <c r="C114" t="s">
        <v>214</v>
      </c>
      <c r="D114" s="11">
        <v>44847</v>
      </c>
      <c r="E114" s="11"/>
      <c r="H114" s="113"/>
      <c r="I114" s="113"/>
      <c r="J114" s="113"/>
      <c r="K114" s="113"/>
    </row>
    <row r="115" spans="2:11" x14ac:dyDescent="0.25">
      <c r="B115">
        <v>-9950</v>
      </c>
      <c r="C115" t="s">
        <v>13</v>
      </c>
      <c r="D115" s="11">
        <v>44847</v>
      </c>
      <c r="E115" s="11"/>
      <c r="H115" s="113"/>
      <c r="I115" s="113"/>
      <c r="J115" s="113"/>
      <c r="K115" s="113"/>
    </row>
    <row r="116" spans="2:11" x14ac:dyDescent="0.25">
      <c r="B116">
        <v>92739.82</v>
      </c>
      <c r="C116" t="s">
        <v>217</v>
      </c>
      <c r="D116" s="11">
        <v>44858</v>
      </c>
      <c r="E116" s="11"/>
      <c r="H116" s="113"/>
      <c r="I116" s="113"/>
      <c r="J116" s="113"/>
      <c r="K116" s="113"/>
    </row>
    <row r="117" spans="2:11" x14ac:dyDescent="0.25">
      <c r="B117">
        <v>-70000</v>
      </c>
      <c r="C117" t="s">
        <v>13</v>
      </c>
      <c r="D117" s="11">
        <v>44858</v>
      </c>
      <c r="E117" s="11"/>
      <c r="H117" s="113"/>
      <c r="I117" s="113"/>
      <c r="J117" s="113"/>
      <c r="K117" s="113"/>
    </row>
    <row r="118" spans="2:11" x14ac:dyDescent="0.25">
      <c r="B118">
        <v>1200</v>
      </c>
      <c r="C118" t="s">
        <v>74</v>
      </c>
      <c r="D118" s="11">
        <v>45094</v>
      </c>
      <c r="E118" s="11"/>
      <c r="H118" s="113"/>
      <c r="I118" s="113"/>
      <c r="J118" s="113"/>
      <c r="K118" s="113"/>
    </row>
    <row r="119" spans="2:11" x14ac:dyDescent="0.25">
      <c r="B119">
        <v>-1200</v>
      </c>
      <c r="C119" t="s">
        <v>93</v>
      </c>
      <c r="D119" s="11">
        <v>45094</v>
      </c>
      <c r="E119" s="11"/>
      <c r="H119" s="113"/>
      <c r="I119" s="113"/>
      <c r="J119" s="113"/>
      <c r="K119" s="113"/>
    </row>
    <row r="120" spans="2:11" x14ac:dyDescent="0.25">
      <c r="B120">
        <v>-1250</v>
      </c>
      <c r="C120" t="s">
        <v>12</v>
      </c>
      <c r="D120" s="11">
        <v>45115</v>
      </c>
      <c r="E120" s="11"/>
      <c r="H120" s="113"/>
      <c r="I120" s="113"/>
      <c r="J120" s="113"/>
      <c r="K120" s="113"/>
    </row>
    <row r="121" spans="2:11" x14ac:dyDescent="0.25">
      <c r="B121">
        <v>800</v>
      </c>
      <c r="C121" t="s">
        <v>13</v>
      </c>
      <c r="D121" s="11"/>
      <c r="E121" s="11"/>
      <c r="H121" s="113"/>
      <c r="I121" s="113"/>
      <c r="J121" s="113"/>
      <c r="K121" s="113"/>
    </row>
    <row r="122" spans="2:11" x14ac:dyDescent="0.25">
      <c r="B122">
        <v>-800</v>
      </c>
      <c r="C122" t="s">
        <v>238</v>
      </c>
      <c r="D122" s="11"/>
      <c r="E122" s="11"/>
      <c r="H122" s="113"/>
      <c r="I122" s="113"/>
      <c r="J122" s="113"/>
      <c r="K122" s="113"/>
    </row>
    <row r="123" spans="2:11" x14ac:dyDescent="0.25">
      <c r="B123">
        <v>2400</v>
      </c>
      <c r="C123" t="s">
        <v>12</v>
      </c>
      <c r="D123" s="11">
        <v>45238</v>
      </c>
      <c r="E123" s="11"/>
      <c r="H123" s="113"/>
      <c r="I123" s="113"/>
      <c r="J123" s="113"/>
      <c r="K123" s="113"/>
    </row>
    <row r="124" spans="2:11" x14ac:dyDescent="0.25">
      <c r="B124">
        <v>-2400</v>
      </c>
      <c r="C124" t="s">
        <v>13</v>
      </c>
      <c r="D124" s="11">
        <v>45238</v>
      </c>
      <c r="E124" s="11"/>
      <c r="H124" s="113"/>
      <c r="I124" s="113"/>
      <c r="J124" s="113"/>
      <c r="K124" s="113"/>
    </row>
    <row r="125" spans="2:11" x14ac:dyDescent="0.25">
      <c r="B125">
        <v>3000</v>
      </c>
      <c r="C125" t="s">
        <v>12</v>
      </c>
      <c r="D125" s="11">
        <v>45283</v>
      </c>
      <c r="E125" s="11"/>
      <c r="H125" s="113"/>
      <c r="I125" s="113"/>
      <c r="J125" s="113"/>
      <c r="K125" s="113"/>
    </row>
    <row r="126" spans="2:11" x14ac:dyDescent="0.25">
      <c r="B126">
        <v>-3000</v>
      </c>
      <c r="D126" s="11">
        <v>45283</v>
      </c>
      <c r="E126" s="11"/>
      <c r="H126" s="113"/>
      <c r="I126" s="113"/>
      <c r="J126" s="113"/>
      <c r="K126" s="113"/>
    </row>
    <row r="127" spans="2:11" x14ac:dyDescent="0.25">
      <c r="B127">
        <v>18300</v>
      </c>
      <c r="C127" t="s">
        <v>74</v>
      </c>
      <c r="D127" s="11">
        <v>45360</v>
      </c>
      <c r="E127" s="11"/>
      <c r="H127" s="113"/>
      <c r="I127" s="113"/>
      <c r="J127" s="113"/>
      <c r="K127" s="113"/>
    </row>
    <row r="128" spans="2:11" x14ac:dyDescent="0.25">
      <c r="B128">
        <v>-30000</v>
      </c>
      <c r="C128" t="s">
        <v>192</v>
      </c>
      <c r="D128" s="11">
        <v>45360</v>
      </c>
      <c r="E128" s="11"/>
      <c r="H128" s="113"/>
      <c r="I128" s="113"/>
      <c r="J128" s="113"/>
      <c r="K128" s="113"/>
    </row>
    <row r="129" spans="2:11 16384:16384" x14ac:dyDescent="0.25">
      <c r="B129">
        <v>-1100</v>
      </c>
      <c r="C129" t="s">
        <v>175</v>
      </c>
      <c r="D129" s="11">
        <v>45442</v>
      </c>
      <c r="E129" s="11"/>
      <c r="H129" s="113"/>
      <c r="I129" s="113"/>
      <c r="J129" s="113"/>
      <c r="K129" s="113"/>
    </row>
    <row r="130" spans="2:11 16384:16384" x14ac:dyDescent="0.25">
      <c r="B130">
        <v>42300</v>
      </c>
      <c r="C130" t="s">
        <v>74</v>
      </c>
      <c r="D130" s="11">
        <v>45593</v>
      </c>
      <c r="E130" s="11"/>
      <c r="H130" s="113"/>
      <c r="I130" s="113"/>
      <c r="J130" s="113"/>
      <c r="K130" s="113"/>
    </row>
    <row r="131" spans="2:11 16384:16384" x14ac:dyDescent="0.25">
      <c r="B131">
        <v>-30000</v>
      </c>
      <c r="C131" t="s">
        <v>93</v>
      </c>
      <c r="D131" s="11">
        <v>45593</v>
      </c>
      <c r="E131" s="11"/>
      <c r="H131" s="113"/>
      <c r="I131" s="113"/>
      <c r="J131" s="113"/>
      <c r="K131" s="113"/>
    </row>
    <row r="132" spans="2:11 16384:16384" x14ac:dyDescent="0.25">
      <c r="B132">
        <v>5100</v>
      </c>
      <c r="C132" t="s">
        <v>138</v>
      </c>
      <c r="D132" s="11"/>
      <c r="E132" s="11"/>
      <c r="H132" s="113"/>
      <c r="I132" s="113"/>
      <c r="J132" s="113"/>
      <c r="K132" s="113"/>
    </row>
    <row r="133" spans="2:11 16384:16384" x14ac:dyDescent="0.25">
      <c r="B133">
        <v>-5100</v>
      </c>
      <c r="C133" t="s">
        <v>13</v>
      </c>
      <c r="D133" s="11">
        <v>45751</v>
      </c>
      <c r="E133" s="11"/>
      <c r="H133" s="113"/>
      <c r="I133" s="113"/>
      <c r="J133" s="113"/>
      <c r="K133" s="113"/>
    </row>
    <row r="134" spans="2:11 16384:16384" x14ac:dyDescent="0.25">
      <c r="B134">
        <v>10200</v>
      </c>
      <c r="C134" t="s">
        <v>138</v>
      </c>
      <c r="D134" s="11"/>
      <c r="E134" s="11"/>
      <c r="H134" s="113"/>
      <c r="I134" s="113"/>
      <c r="J134" s="113"/>
      <c r="K134" s="113"/>
    </row>
    <row r="135" spans="2:11 16384:16384" x14ac:dyDescent="0.25">
      <c r="B135">
        <v>-10200</v>
      </c>
      <c r="C135" t="s">
        <v>13</v>
      </c>
      <c r="D135" s="11"/>
      <c r="E135" s="11"/>
      <c r="H135" s="113"/>
      <c r="I135" s="113"/>
      <c r="J135" s="113"/>
      <c r="K135" s="113"/>
    </row>
    <row r="136" spans="2:11 16384:16384" x14ac:dyDescent="0.25">
      <c r="B136">
        <v>9200</v>
      </c>
      <c r="C136" t="s">
        <v>138</v>
      </c>
      <c r="D136" s="11">
        <v>45916</v>
      </c>
      <c r="E136" s="11"/>
      <c r="H136" s="113"/>
      <c r="I136" s="113"/>
      <c r="J136" s="113"/>
      <c r="K136" s="113"/>
    </row>
    <row r="137" spans="2:11 16384:16384" x14ac:dyDescent="0.25">
      <c r="B137">
        <v>-10000</v>
      </c>
      <c r="C137" t="s">
        <v>13</v>
      </c>
      <c r="D137" s="11"/>
      <c r="E137" s="11"/>
      <c r="H137" s="113"/>
      <c r="I137" s="113"/>
      <c r="J137" s="113"/>
      <c r="K137" s="113"/>
    </row>
    <row r="138" spans="2:11 16384:16384" x14ac:dyDescent="0.25">
      <c r="B138">
        <v>9200</v>
      </c>
      <c r="C138" t="s">
        <v>138</v>
      </c>
      <c r="D138" s="11">
        <v>45936</v>
      </c>
      <c r="E138" s="11"/>
      <c r="H138" s="113"/>
      <c r="I138" s="113"/>
      <c r="J138" s="113"/>
      <c r="K138" s="113"/>
    </row>
    <row r="139" spans="2:11 16384:16384" x14ac:dyDescent="0.25">
      <c r="B139">
        <v>-9200</v>
      </c>
      <c r="C139" t="s">
        <v>13</v>
      </c>
      <c r="D139" s="11"/>
      <c r="E139" s="11"/>
      <c r="H139" s="113"/>
      <c r="I139" s="113"/>
      <c r="J139" s="113"/>
      <c r="K139" s="113"/>
    </row>
    <row r="140" spans="2:11 16384:16384" x14ac:dyDescent="0.25">
      <c r="B140">
        <v>18400</v>
      </c>
      <c r="C140" t="s">
        <v>138</v>
      </c>
      <c r="D140" s="11">
        <v>45959</v>
      </c>
      <c r="E140" s="11"/>
      <c r="H140" s="113"/>
      <c r="I140" s="113"/>
      <c r="J140" s="113"/>
      <c r="K140" s="113"/>
    </row>
    <row r="141" spans="2:11 16384:16384" x14ac:dyDescent="0.25">
      <c r="B141">
        <v>-26000</v>
      </c>
      <c r="C141" t="s">
        <v>13</v>
      </c>
      <c r="D141" s="11"/>
      <c r="E141" s="11"/>
      <c r="H141" s="113"/>
      <c r="I141" s="113"/>
      <c r="J141" s="113"/>
      <c r="K141" s="113"/>
    </row>
    <row r="142" spans="2:11 16384:16384" x14ac:dyDescent="0.25">
      <c r="B142" s="136">
        <f>SUM(B49:B141)</f>
        <v>-20066.849999999991</v>
      </c>
      <c r="C142" s="144">
        <v>45959</v>
      </c>
      <c r="D142" s="11"/>
      <c r="E142" s="11"/>
      <c r="H142" s="113"/>
      <c r="I142" s="113"/>
      <c r="J142" s="113"/>
      <c r="K142" s="113"/>
      <c r="XFD142">
        <f>SUM(A142:XFC142)</f>
        <v>25892.150000000009</v>
      </c>
    </row>
    <row r="143" spans="2:11 16384:16384" x14ac:dyDescent="0.25">
      <c r="C143" t="s">
        <v>54</v>
      </c>
      <c r="D143" s="11"/>
      <c r="E143" s="11"/>
    </row>
    <row r="144" spans="2:11 16384:16384" x14ac:dyDescent="0.25">
      <c r="D144" s="11"/>
      <c r="E144" s="11"/>
    </row>
    <row r="145" spans="4:5" x14ac:dyDescent="0.25">
      <c r="D145" s="11"/>
      <c r="E145" s="11"/>
    </row>
    <row r="146" spans="4:5" x14ac:dyDescent="0.25">
      <c r="D146" s="11"/>
      <c r="E146" s="11"/>
    </row>
    <row r="147" spans="4:5" x14ac:dyDescent="0.25">
      <c r="D147" s="11"/>
      <c r="E147" s="11"/>
    </row>
    <row r="148" spans="4:5" x14ac:dyDescent="0.25">
      <c r="D148" s="11"/>
      <c r="E148" s="11"/>
    </row>
    <row r="149" spans="4:5" x14ac:dyDescent="0.25">
      <c r="D149" s="11"/>
      <c r="E149" s="11"/>
    </row>
    <row r="150" spans="4:5" x14ac:dyDescent="0.25">
      <c r="D150" s="11"/>
      <c r="E150" s="11"/>
    </row>
    <row r="151" spans="4:5" x14ac:dyDescent="0.25">
      <c r="D151" s="11"/>
      <c r="E151" s="11"/>
    </row>
    <row r="152" spans="4:5" x14ac:dyDescent="0.25">
      <c r="D152" s="11"/>
      <c r="E152" s="11"/>
    </row>
    <row r="153" spans="4:5" x14ac:dyDescent="0.25">
      <c r="D153" s="11"/>
      <c r="E153" s="11"/>
    </row>
    <row r="154" spans="4:5" x14ac:dyDescent="0.25">
      <c r="D154" s="11"/>
      <c r="E154" s="11"/>
    </row>
    <row r="155" spans="4:5" x14ac:dyDescent="0.25">
      <c r="D155" s="11"/>
      <c r="E155" s="11"/>
    </row>
    <row r="156" spans="4:5" x14ac:dyDescent="0.25">
      <c r="D156" s="11"/>
      <c r="E156" s="11"/>
    </row>
    <row r="157" spans="4:5" x14ac:dyDescent="0.25">
      <c r="D157" s="11"/>
      <c r="E157" s="11"/>
    </row>
    <row r="158" spans="4:5" x14ac:dyDescent="0.25">
      <c r="D158" s="11"/>
      <c r="E158" s="11"/>
    </row>
    <row r="159" spans="4:5" x14ac:dyDescent="0.25">
      <c r="D159" s="11"/>
      <c r="E159" s="11"/>
    </row>
    <row r="160" spans="4:5" x14ac:dyDescent="0.25">
      <c r="D160" s="11"/>
      <c r="E160" s="11"/>
    </row>
    <row r="161" spans="1:5" x14ac:dyDescent="0.25">
      <c r="D161" s="11"/>
      <c r="E161" s="11"/>
    </row>
    <row r="162" spans="1:5" x14ac:dyDescent="0.25">
      <c r="D162" s="11"/>
      <c r="E162" s="11"/>
    </row>
    <row r="163" spans="1:5" x14ac:dyDescent="0.25">
      <c r="D163" s="11"/>
      <c r="E163" s="11"/>
    </row>
    <row r="164" spans="1:5" x14ac:dyDescent="0.25">
      <c r="D164" s="11"/>
      <c r="E164" s="11"/>
    </row>
    <row r="165" spans="1:5" x14ac:dyDescent="0.25">
      <c r="D165" s="11"/>
      <c r="E165" s="11"/>
    </row>
    <row r="166" spans="1:5" x14ac:dyDescent="0.25">
      <c r="D166" s="11"/>
      <c r="E166" s="11"/>
    </row>
    <row r="167" spans="1:5" x14ac:dyDescent="0.25">
      <c r="D167" s="11"/>
      <c r="E167" s="11"/>
    </row>
    <row r="168" spans="1:5" x14ac:dyDescent="0.25">
      <c r="D168" s="11"/>
      <c r="E168" s="11"/>
    </row>
    <row r="169" spans="1:5" x14ac:dyDescent="0.25">
      <c r="D169" s="11"/>
      <c r="E169" s="11"/>
    </row>
    <row r="170" spans="1:5" x14ac:dyDescent="0.25">
      <c r="D170" s="11"/>
      <c r="E170" s="11"/>
    </row>
    <row r="172" spans="1:5" x14ac:dyDescent="0.25">
      <c r="A172" s="18"/>
    </row>
    <row r="173" spans="1:5" x14ac:dyDescent="0.25">
      <c r="A173" s="18"/>
    </row>
    <row r="174" spans="1:5" x14ac:dyDescent="0.25">
      <c r="A174" s="18"/>
    </row>
    <row r="175" spans="1:5" x14ac:dyDescent="0.25">
      <c r="A175" s="18"/>
    </row>
    <row r="176" spans="1:5" x14ac:dyDescent="0.25">
      <c r="A176" s="18"/>
    </row>
    <row r="177" spans="1:1" x14ac:dyDescent="0.25">
      <c r="A177" s="18"/>
    </row>
    <row r="178" spans="1:1" x14ac:dyDescent="0.25">
      <c r="A178" s="18"/>
    </row>
    <row r="179" spans="1:1" x14ac:dyDescent="0.25">
      <c r="A179" s="18"/>
    </row>
    <row r="180" spans="1:1" x14ac:dyDescent="0.25">
      <c r="A180" s="18"/>
    </row>
    <row r="181" spans="1:1" x14ac:dyDescent="0.25">
      <c r="A181" s="18"/>
    </row>
    <row r="182" spans="1:1" x14ac:dyDescent="0.25">
      <c r="A182" s="18"/>
    </row>
    <row r="183" spans="1:1" x14ac:dyDescent="0.25">
      <c r="A183" s="18"/>
    </row>
    <row r="184" spans="1:1" x14ac:dyDescent="0.25">
      <c r="A184" s="18"/>
    </row>
    <row r="185" spans="1:1" x14ac:dyDescent="0.25">
      <c r="A185" s="18"/>
    </row>
    <row r="186" spans="1:1" x14ac:dyDescent="0.25">
      <c r="A186" s="18"/>
    </row>
    <row r="187" spans="1:1" x14ac:dyDescent="0.25">
      <c r="A187" s="18"/>
    </row>
    <row r="188" spans="1:1" x14ac:dyDescent="0.25">
      <c r="A188" s="18"/>
    </row>
    <row r="189" spans="1:1" x14ac:dyDescent="0.25">
      <c r="A189" s="18"/>
    </row>
    <row r="190" spans="1:1" x14ac:dyDescent="0.25">
      <c r="A190" s="18"/>
    </row>
    <row r="191" spans="1:1" x14ac:dyDescent="0.25">
      <c r="A191" s="18"/>
    </row>
    <row r="192" spans="1:1" x14ac:dyDescent="0.25">
      <c r="A192" s="18"/>
    </row>
    <row r="193" spans="1:5" x14ac:dyDescent="0.25">
      <c r="A193" s="18"/>
      <c r="D193" s="21"/>
      <c r="E193" s="21"/>
    </row>
    <row r="194" spans="1:5" x14ac:dyDescent="0.25">
      <c r="A194" s="18"/>
      <c r="B194" s="23"/>
      <c r="C194" s="24"/>
    </row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</sheetData>
  <pageMargins left="0.7" right="0.7" top="0.75" bottom="0.75" header="0.51180555555555496" footer="0.51180555555555496"/>
  <pageSetup paperSize="9" firstPageNumber="0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D352"/>
  <sheetViews>
    <sheetView tabSelected="1" zoomScale="110" zoomScaleNormal="110" workbookViewId="0">
      <selection activeCell="A13" sqref="A13"/>
    </sheetView>
  </sheetViews>
  <sheetFormatPr baseColWidth="10" defaultRowHeight="15" x14ac:dyDescent="0.25"/>
  <cols>
    <col min="1" max="1" width="10.5703125" bestFit="1" customWidth="1"/>
    <col min="2" max="2" width="12.85546875" customWidth="1"/>
    <col min="3" max="3" width="13.42578125" customWidth="1"/>
    <col min="4" max="4" width="10.7109375" customWidth="1"/>
    <col min="5" max="5" width="11.28515625" customWidth="1"/>
    <col min="6" max="6" width="10.42578125" bestFit="1" customWidth="1"/>
    <col min="7" max="7" width="11.7109375" customWidth="1"/>
    <col min="8" max="8" width="12.28515625" customWidth="1"/>
    <col min="9" max="9" width="13.7109375" bestFit="1" customWidth="1"/>
    <col min="11" max="11" width="12.7109375" bestFit="1" customWidth="1"/>
  </cols>
  <sheetData>
    <row r="1" spans="1:11" x14ac:dyDescent="0.25">
      <c r="D1" s="171" t="s">
        <v>156</v>
      </c>
    </row>
    <row r="2" spans="1:11" ht="1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174" t="s">
        <v>65</v>
      </c>
      <c r="K2" s="15" t="s">
        <v>6</v>
      </c>
    </row>
    <row r="3" spans="1:11" x14ac:dyDescent="0.25">
      <c r="A3" s="251">
        <v>46142</v>
      </c>
      <c r="B3" s="227" t="s">
        <v>9</v>
      </c>
      <c r="C3" s="124" t="s">
        <v>300</v>
      </c>
      <c r="D3" s="82">
        <v>420</v>
      </c>
      <c r="E3" s="82"/>
      <c r="F3" s="82">
        <v>34.46</v>
      </c>
      <c r="G3" s="82"/>
      <c r="H3" s="123">
        <v>620612</v>
      </c>
      <c r="I3" s="90" t="s">
        <v>257</v>
      </c>
      <c r="J3" s="40"/>
      <c r="K3" s="218"/>
    </row>
    <row r="4" spans="1:11" x14ac:dyDescent="0.25">
      <c r="A4" s="251">
        <v>46144</v>
      </c>
      <c r="B4" s="227" t="s">
        <v>300</v>
      </c>
      <c r="C4" s="82" t="s">
        <v>118</v>
      </c>
      <c r="D4" s="82">
        <v>85</v>
      </c>
      <c r="E4" s="82"/>
      <c r="F4" s="82"/>
      <c r="G4" s="82"/>
      <c r="H4" s="128" t="s">
        <v>66</v>
      </c>
      <c r="I4" s="90"/>
      <c r="J4" s="40"/>
      <c r="K4" s="218"/>
    </row>
    <row r="5" spans="1:11" x14ac:dyDescent="0.25">
      <c r="A5" s="251">
        <v>46144</v>
      </c>
      <c r="B5" s="82" t="s">
        <v>118</v>
      </c>
      <c r="C5" s="124" t="s">
        <v>385</v>
      </c>
      <c r="D5" s="82">
        <v>1560</v>
      </c>
      <c r="E5" s="82"/>
      <c r="F5" s="82"/>
      <c r="G5" s="82"/>
      <c r="H5" s="90">
        <v>124501</v>
      </c>
      <c r="I5" s="90" t="s">
        <v>386</v>
      </c>
      <c r="J5" s="40"/>
      <c r="K5" s="218"/>
    </row>
    <row r="6" spans="1:11" x14ac:dyDescent="0.25">
      <c r="A6" s="251">
        <v>46148</v>
      </c>
      <c r="B6" s="124" t="s">
        <v>385</v>
      </c>
      <c r="C6" s="124" t="s">
        <v>227</v>
      </c>
      <c r="D6" s="82">
        <v>270</v>
      </c>
      <c r="E6" s="82"/>
      <c r="F6" s="82"/>
      <c r="G6" s="82"/>
      <c r="H6" s="83" t="s">
        <v>66</v>
      </c>
      <c r="I6" s="90"/>
      <c r="J6" s="40"/>
      <c r="K6" s="218"/>
    </row>
    <row r="7" spans="1:11" x14ac:dyDescent="0.25">
      <c r="A7" s="251">
        <v>46150</v>
      </c>
      <c r="B7" s="82" t="s">
        <v>296</v>
      </c>
      <c r="C7" s="124" t="s">
        <v>9</v>
      </c>
      <c r="D7" s="82">
        <v>820</v>
      </c>
      <c r="E7" s="82"/>
      <c r="F7" s="82">
        <v>34.700000000000003</v>
      </c>
      <c r="G7" s="82"/>
      <c r="H7" s="90">
        <v>190217</v>
      </c>
      <c r="I7" s="90" t="s">
        <v>304</v>
      </c>
      <c r="J7" s="40"/>
      <c r="K7" s="218"/>
    </row>
    <row r="8" spans="1:11" x14ac:dyDescent="0.25">
      <c r="A8" s="251">
        <v>46153</v>
      </c>
      <c r="B8" s="82" t="s">
        <v>9</v>
      </c>
      <c r="C8" s="124" t="s">
        <v>351</v>
      </c>
      <c r="D8" s="82">
        <v>1010</v>
      </c>
      <c r="E8" s="82"/>
      <c r="F8" s="82"/>
      <c r="G8" s="82"/>
      <c r="H8" s="90">
        <v>621266</v>
      </c>
      <c r="I8" s="90" t="s">
        <v>257</v>
      </c>
      <c r="J8" s="40"/>
      <c r="K8" s="218"/>
    </row>
    <row r="9" spans="1:11" x14ac:dyDescent="0.25">
      <c r="A9" s="251">
        <v>46154</v>
      </c>
      <c r="B9" s="82" t="s">
        <v>351</v>
      </c>
      <c r="C9" s="124" t="s">
        <v>227</v>
      </c>
      <c r="D9" s="82">
        <v>240</v>
      </c>
      <c r="E9" s="82"/>
      <c r="F9" s="82"/>
      <c r="G9" s="82"/>
      <c r="H9" s="83" t="s">
        <v>66</v>
      </c>
      <c r="I9" s="90"/>
      <c r="J9" s="40"/>
      <c r="K9" s="218"/>
    </row>
    <row r="10" spans="1:11" x14ac:dyDescent="0.25">
      <c r="A10" s="251">
        <v>46155</v>
      </c>
      <c r="B10" s="82" t="s">
        <v>296</v>
      </c>
      <c r="C10" s="124" t="s">
        <v>9</v>
      </c>
      <c r="D10" s="82">
        <v>820</v>
      </c>
      <c r="E10" s="82"/>
      <c r="F10" s="82">
        <v>34.799999999999997</v>
      </c>
      <c r="G10" s="82"/>
      <c r="H10" s="90">
        <v>190447</v>
      </c>
      <c r="I10" s="90" t="s">
        <v>304</v>
      </c>
      <c r="J10" s="40"/>
      <c r="K10" s="218"/>
    </row>
    <row r="11" spans="1:11" x14ac:dyDescent="0.25">
      <c r="A11" s="251">
        <v>46157</v>
      </c>
      <c r="B11" s="227" t="s">
        <v>9</v>
      </c>
      <c r="C11" s="124" t="s">
        <v>300</v>
      </c>
      <c r="D11" s="82">
        <v>420</v>
      </c>
      <c r="E11" s="82"/>
      <c r="F11" s="82">
        <v>34.79</v>
      </c>
      <c r="G11" s="82"/>
      <c r="H11" s="123">
        <v>621578</v>
      </c>
      <c r="I11" s="90" t="s">
        <v>257</v>
      </c>
      <c r="J11" s="40"/>
      <c r="K11" s="218"/>
    </row>
    <row r="12" spans="1:11" x14ac:dyDescent="0.25">
      <c r="A12" s="251">
        <v>46157</v>
      </c>
      <c r="B12" s="227" t="s">
        <v>300</v>
      </c>
      <c r="C12" s="82" t="s">
        <v>118</v>
      </c>
      <c r="D12" s="82">
        <v>85</v>
      </c>
      <c r="E12" s="82"/>
      <c r="F12" s="82"/>
      <c r="G12" s="82"/>
      <c r="H12" s="128" t="s">
        <v>66</v>
      </c>
      <c r="I12" s="90"/>
      <c r="J12" s="40"/>
      <c r="K12" s="218"/>
    </row>
    <row r="13" spans="1:11" x14ac:dyDescent="0.25">
      <c r="A13" s="251"/>
      <c r="B13" s="82"/>
      <c r="C13" s="124"/>
      <c r="D13" s="82"/>
      <c r="E13" s="82"/>
      <c r="F13" s="82"/>
      <c r="G13" s="82"/>
      <c r="H13" s="123"/>
      <c r="I13" s="90"/>
      <c r="J13" s="40"/>
      <c r="K13" s="218"/>
    </row>
    <row r="14" spans="1:11" x14ac:dyDescent="0.25">
      <c r="A14" s="251"/>
      <c r="B14" s="82"/>
      <c r="C14" s="124"/>
      <c r="D14" s="82"/>
      <c r="E14" s="82"/>
      <c r="F14" s="82"/>
      <c r="G14" s="82"/>
      <c r="H14" s="123"/>
      <c r="I14" s="90"/>
      <c r="J14" s="40"/>
      <c r="K14" s="218"/>
    </row>
    <row r="15" spans="1:11" x14ac:dyDescent="0.25">
      <c r="A15" s="251"/>
      <c r="B15" s="82"/>
      <c r="C15" s="124"/>
      <c r="D15" s="82"/>
      <c r="E15" s="82"/>
      <c r="F15" s="82"/>
      <c r="G15" s="82"/>
      <c r="H15" s="123"/>
      <c r="I15" s="90"/>
      <c r="J15" s="40"/>
      <c r="K15" s="218"/>
    </row>
    <row r="16" spans="1:11" x14ac:dyDescent="0.25">
      <c r="A16" s="251"/>
      <c r="B16" s="82"/>
      <c r="C16" s="124"/>
      <c r="D16" s="82"/>
      <c r="E16" s="82"/>
      <c r="F16" s="82"/>
      <c r="G16" s="82"/>
      <c r="H16" s="123"/>
      <c r="I16" s="90"/>
      <c r="J16" s="40"/>
      <c r="K16" s="218"/>
    </row>
    <row r="17" spans="1:11" x14ac:dyDescent="0.25">
      <c r="A17" s="251"/>
      <c r="B17" s="82"/>
      <c r="C17" s="124"/>
      <c r="D17" s="82"/>
      <c r="E17" s="82"/>
      <c r="F17" s="82"/>
      <c r="G17" s="82"/>
      <c r="H17" s="123"/>
      <c r="I17" s="90"/>
      <c r="J17" s="40"/>
      <c r="K17" s="218"/>
    </row>
    <row r="18" spans="1:11" x14ac:dyDescent="0.25">
      <c r="A18" s="251"/>
      <c r="B18" s="82"/>
      <c r="C18" s="124"/>
      <c r="D18" s="82"/>
      <c r="E18" s="82"/>
      <c r="F18" s="82"/>
      <c r="G18" s="82"/>
      <c r="H18" s="123"/>
      <c r="I18" s="90"/>
      <c r="J18" s="40"/>
      <c r="K18" s="218"/>
    </row>
    <row r="19" spans="1:11" x14ac:dyDescent="0.25">
      <c r="A19" s="251"/>
      <c r="B19" s="82"/>
      <c r="C19" s="124"/>
      <c r="D19" s="82"/>
      <c r="E19" s="82"/>
      <c r="F19" s="82"/>
      <c r="G19" s="82"/>
      <c r="H19" s="83"/>
      <c r="I19" s="90"/>
      <c r="J19" s="40"/>
      <c r="K19" s="218"/>
    </row>
    <row r="20" spans="1:11" x14ac:dyDescent="0.25">
      <c r="A20" s="251"/>
      <c r="B20" s="82"/>
      <c r="C20" s="124"/>
      <c r="D20" s="82"/>
      <c r="E20" s="82"/>
      <c r="F20" s="82"/>
      <c r="G20" s="82"/>
      <c r="H20" s="83"/>
      <c r="I20" s="90"/>
      <c r="J20" s="40"/>
      <c r="K20" s="218"/>
    </row>
    <row r="21" spans="1:11" x14ac:dyDescent="0.25">
      <c r="A21" s="251"/>
      <c r="B21" s="82"/>
      <c r="C21" s="124"/>
      <c r="D21" s="82"/>
      <c r="E21" s="82"/>
      <c r="F21" s="82"/>
      <c r="G21" s="82"/>
      <c r="H21" s="83"/>
      <c r="I21" s="90"/>
      <c r="J21" s="40"/>
      <c r="K21" s="218"/>
    </row>
    <row r="22" spans="1:11" x14ac:dyDescent="0.25">
      <c r="A22" s="251"/>
      <c r="B22" s="82"/>
      <c r="C22" s="124"/>
      <c r="D22" s="82"/>
      <c r="E22" s="82"/>
      <c r="F22" s="82"/>
      <c r="G22" s="82"/>
      <c r="H22" s="83"/>
      <c r="I22" s="90"/>
      <c r="J22" s="40"/>
      <c r="K22" s="218"/>
    </row>
    <row r="23" spans="1:11" x14ac:dyDescent="0.25">
      <c r="A23" s="251"/>
      <c r="B23" s="82"/>
      <c r="C23" s="124"/>
      <c r="D23" s="82"/>
      <c r="E23" s="82"/>
      <c r="F23" s="82"/>
      <c r="G23" s="82"/>
      <c r="H23" s="83"/>
      <c r="I23" s="90"/>
      <c r="J23" s="40"/>
      <c r="K23" s="218"/>
    </row>
    <row r="24" spans="1:11" x14ac:dyDescent="0.25">
      <c r="A24" s="251"/>
      <c r="B24" s="82"/>
      <c r="C24" s="124"/>
      <c r="D24" s="82"/>
      <c r="E24" s="82"/>
      <c r="F24" s="82"/>
      <c r="G24" s="82"/>
      <c r="H24" s="83"/>
      <c r="I24" s="90"/>
      <c r="J24" s="40"/>
      <c r="K24" s="218"/>
    </row>
    <row r="25" spans="1:11" x14ac:dyDescent="0.25">
      <c r="A25" s="251"/>
      <c r="B25" s="82"/>
      <c r="C25" s="124"/>
      <c r="D25" s="82"/>
      <c r="E25" s="82"/>
      <c r="F25" s="82"/>
      <c r="G25" s="82"/>
      <c r="H25" s="83"/>
      <c r="I25" s="90"/>
      <c r="J25" s="40"/>
      <c r="K25" s="218"/>
    </row>
    <row r="26" spans="1:11" x14ac:dyDescent="0.25">
      <c r="A26" s="251">
        <v>46112</v>
      </c>
      <c r="B26" s="82" t="s">
        <v>118</v>
      </c>
      <c r="C26" s="124" t="s">
        <v>358</v>
      </c>
      <c r="D26" s="82">
        <v>1450</v>
      </c>
      <c r="E26" s="82"/>
      <c r="F26" s="82"/>
      <c r="G26" s="82"/>
      <c r="H26" s="123">
        <v>118504</v>
      </c>
      <c r="I26" s="90" t="s">
        <v>359</v>
      </c>
      <c r="J26" s="40"/>
      <c r="K26" s="218"/>
    </row>
    <row r="27" spans="1:11" x14ac:dyDescent="0.25">
      <c r="A27" s="251">
        <v>46114</v>
      </c>
      <c r="B27" s="82" t="s">
        <v>358</v>
      </c>
      <c r="C27" s="124" t="s">
        <v>9</v>
      </c>
      <c r="D27" s="82">
        <v>1070</v>
      </c>
      <c r="E27" s="82"/>
      <c r="F27" s="82"/>
      <c r="G27" s="82"/>
      <c r="H27" s="83" t="s">
        <v>66</v>
      </c>
      <c r="I27" s="90"/>
      <c r="J27" s="40"/>
      <c r="K27" s="218"/>
    </row>
    <row r="28" spans="1:11" x14ac:dyDescent="0.25">
      <c r="A28" s="251">
        <v>46119</v>
      </c>
      <c r="B28" s="227" t="s">
        <v>9</v>
      </c>
      <c r="C28" s="124" t="s">
        <v>300</v>
      </c>
      <c r="D28" s="82">
        <v>420</v>
      </c>
      <c r="E28" s="82"/>
      <c r="F28" s="82">
        <v>35.119999999999997</v>
      </c>
      <c r="G28" s="82"/>
      <c r="H28" s="123">
        <v>619142</v>
      </c>
      <c r="I28" s="90" t="s">
        <v>257</v>
      </c>
      <c r="J28" s="40"/>
      <c r="K28" s="218"/>
    </row>
    <row r="29" spans="1:11" x14ac:dyDescent="0.25">
      <c r="A29" s="251">
        <v>46120</v>
      </c>
      <c r="B29" s="227" t="s">
        <v>300</v>
      </c>
      <c r="C29" s="82" t="s">
        <v>118</v>
      </c>
      <c r="D29" s="82">
        <v>85</v>
      </c>
      <c r="E29" s="82"/>
      <c r="F29" s="82"/>
      <c r="G29" s="82"/>
      <c r="H29" s="128" t="s">
        <v>66</v>
      </c>
      <c r="I29" s="90"/>
      <c r="J29" s="40"/>
      <c r="K29" s="218"/>
    </row>
    <row r="30" spans="1:11" x14ac:dyDescent="0.25">
      <c r="A30" s="251">
        <v>46120</v>
      </c>
      <c r="B30" s="82" t="s">
        <v>118</v>
      </c>
      <c r="C30" s="124" t="s">
        <v>385</v>
      </c>
      <c r="D30" s="82">
        <v>1560</v>
      </c>
      <c r="E30" s="82"/>
      <c r="F30" s="82"/>
      <c r="G30" s="82"/>
      <c r="H30" s="90">
        <v>119914</v>
      </c>
      <c r="I30" s="90" t="s">
        <v>386</v>
      </c>
      <c r="J30" s="40"/>
      <c r="K30" s="218"/>
    </row>
    <row r="31" spans="1:11" x14ac:dyDescent="0.25">
      <c r="A31" s="251">
        <v>46123</v>
      </c>
      <c r="B31" s="124" t="s">
        <v>385</v>
      </c>
      <c r="C31" s="124" t="s">
        <v>9</v>
      </c>
      <c r="D31" s="82">
        <v>1070</v>
      </c>
      <c r="E31" s="82"/>
      <c r="F31" s="82"/>
      <c r="G31" s="82"/>
      <c r="H31" s="83" t="s">
        <v>66</v>
      </c>
      <c r="I31" s="90"/>
      <c r="J31" s="40"/>
      <c r="K31" s="218"/>
    </row>
    <row r="32" spans="1:11" x14ac:dyDescent="0.25">
      <c r="A32" s="251">
        <v>46126</v>
      </c>
      <c r="B32" s="82" t="s">
        <v>9</v>
      </c>
      <c r="C32" s="124" t="s">
        <v>254</v>
      </c>
      <c r="D32" s="82">
        <v>730</v>
      </c>
      <c r="E32" s="82"/>
      <c r="F32" s="82"/>
      <c r="G32" s="82"/>
      <c r="H32" s="123">
        <v>766240</v>
      </c>
      <c r="I32" s="90"/>
      <c r="J32" s="40"/>
      <c r="K32" s="218"/>
    </row>
    <row r="33" spans="1:11" x14ac:dyDescent="0.25">
      <c r="A33" s="251">
        <v>46127</v>
      </c>
      <c r="B33" s="82" t="s">
        <v>254</v>
      </c>
      <c r="C33" s="124" t="s">
        <v>347</v>
      </c>
      <c r="D33" s="82">
        <v>140</v>
      </c>
      <c r="E33" s="82"/>
      <c r="F33" s="82"/>
      <c r="G33" s="82"/>
      <c r="H33" s="128" t="s">
        <v>66</v>
      </c>
      <c r="I33" s="90"/>
      <c r="J33" s="40"/>
      <c r="K33" s="218"/>
    </row>
    <row r="34" spans="1:11" x14ac:dyDescent="0.25">
      <c r="A34" s="251">
        <v>46127</v>
      </c>
      <c r="B34" s="82" t="s">
        <v>347</v>
      </c>
      <c r="C34" s="124" t="s">
        <v>75</v>
      </c>
      <c r="D34" s="82">
        <v>340</v>
      </c>
      <c r="E34" s="82"/>
      <c r="F34" s="82">
        <v>36.1</v>
      </c>
      <c r="G34" s="82"/>
      <c r="H34" s="90" t="s">
        <v>387</v>
      </c>
      <c r="I34" s="90"/>
      <c r="J34" s="40"/>
      <c r="K34" s="218"/>
    </row>
    <row r="35" spans="1:11" x14ac:dyDescent="0.25">
      <c r="A35" s="251">
        <v>46128</v>
      </c>
      <c r="B35" s="82" t="s">
        <v>75</v>
      </c>
      <c r="C35" s="124" t="s">
        <v>10</v>
      </c>
      <c r="D35" s="82">
        <v>80</v>
      </c>
      <c r="E35" s="82"/>
      <c r="F35" s="82"/>
      <c r="G35" s="82"/>
      <c r="H35" s="83" t="s">
        <v>66</v>
      </c>
      <c r="I35" s="90"/>
      <c r="J35" s="40"/>
      <c r="K35" s="218"/>
    </row>
    <row r="36" spans="1:11" x14ac:dyDescent="0.25">
      <c r="A36" s="251">
        <v>46128</v>
      </c>
      <c r="B36" s="82" t="s">
        <v>10</v>
      </c>
      <c r="C36" s="82" t="s">
        <v>9</v>
      </c>
      <c r="D36" s="82">
        <v>500</v>
      </c>
      <c r="E36" s="82"/>
      <c r="F36" s="82">
        <v>35.590000000000003</v>
      </c>
      <c r="G36" s="82"/>
      <c r="H36" s="123">
        <v>1065369</v>
      </c>
      <c r="I36" s="90" t="s">
        <v>368</v>
      </c>
      <c r="J36" s="40"/>
      <c r="K36" s="218"/>
    </row>
    <row r="37" spans="1:11" x14ac:dyDescent="0.25">
      <c r="A37" s="251">
        <v>46129</v>
      </c>
      <c r="B37" s="82" t="s">
        <v>9</v>
      </c>
      <c r="C37" s="124" t="s">
        <v>351</v>
      </c>
      <c r="D37" s="82">
        <v>1010</v>
      </c>
      <c r="E37" s="82"/>
      <c r="F37" s="82">
        <v>35.21</v>
      </c>
      <c r="G37" s="82"/>
      <c r="H37" s="90">
        <v>619896</v>
      </c>
      <c r="I37" s="90" t="s">
        <v>257</v>
      </c>
      <c r="J37" s="40"/>
      <c r="K37" s="218"/>
    </row>
    <row r="38" spans="1:11" x14ac:dyDescent="0.25">
      <c r="A38" s="251">
        <v>46132</v>
      </c>
      <c r="B38" s="82" t="s">
        <v>351</v>
      </c>
      <c r="C38" s="124" t="s">
        <v>227</v>
      </c>
      <c r="D38" s="82">
        <v>240</v>
      </c>
      <c r="E38" s="82"/>
      <c r="F38" s="82"/>
      <c r="G38" s="82"/>
      <c r="H38" s="83" t="s">
        <v>66</v>
      </c>
      <c r="I38" s="90"/>
      <c r="J38" s="40"/>
      <c r="K38" s="218"/>
    </row>
    <row r="39" spans="1:11" x14ac:dyDescent="0.25">
      <c r="A39" s="251">
        <v>46133</v>
      </c>
      <c r="B39" s="82" t="s">
        <v>296</v>
      </c>
      <c r="C39" s="124" t="s">
        <v>9</v>
      </c>
      <c r="D39" s="82">
        <v>820</v>
      </c>
      <c r="E39" s="82"/>
      <c r="F39" s="82">
        <v>34</v>
      </c>
      <c r="G39" s="82"/>
      <c r="H39" s="90">
        <v>189785</v>
      </c>
      <c r="I39" s="90" t="s">
        <v>304</v>
      </c>
      <c r="J39" s="40"/>
      <c r="K39" s="218"/>
    </row>
    <row r="40" spans="1:11" x14ac:dyDescent="0.25">
      <c r="A40" s="251">
        <v>46135</v>
      </c>
      <c r="B40" s="82" t="s">
        <v>9</v>
      </c>
      <c r="C40" s="124" t="s">
        <v>351</v>
      </c>
      <c r="D40" s="82">
        <v>1010</v>
      </c>
      <c r="E40" s="82"/>
      <c r="F40" s="82">
        <v>34.5</v>
      </c>
      <c r="G40" s="82"/>
      <c r="H40" s="90">
        <v>620187</v>
      </c>
      <c r="I40" s="90" t="s">
        <v>257</v>
      </c>
      <c r="J40" s="40"/>
      <c r="K40" s="218"/>
    </row>
    <row r="41" spans="1:11" x14ac:dyDescent="0.25">
      <c r="A41" s="251">
        <v>46136</v>
      </c>
      <c r="B41" s="82" t="s">
        <v>351</v>
      </c>
      <c r="C41" s="124" t="s">
        <v>227</v>
      </c>
      <c r="D41" s="82">
        <v>240</v>
      </c>
      <c r="E41" s="82"/>
      <c r="F41" s="82"/>
      <c r="G41" s="82"/>
      <c r="H41" s="83" t="s">
        <v>66</v>
      </c>
      <c r="I41" s="90"/>
      <c r="J41" s="40"/>
      <c r="K41" s="218"/>
    </row>
    <row r="42" spans="1:11" x14ac:dyDescent="0.25">
      <c r="A42" s="251">
        <v>46136</v>
      </c>
      <c r="B42" s="82" t="s">
        <v>296</v>
      </c>
      <c r="C42" s="124" t="s">
        <v>9</v>
      </c>
      <c r="D42" s="82">
        <v>820</v>
      </c>
      <c r="E42" s="82"/>
      <c r="F42" s="82">
        <v>34.200000000000003</v>
      </c>
      <c r="G42" s="82"/>
      <c r="H42" s="90">
        <v>189919</v>
      </c>
      <c r="I42" s="90" t="s">
        <v>304</v>
      </c>
      <c r="J42" s="40"/>
      <c r="K42" s="218"/>
    </row>
    <row r="43" spans="1:11" x14ac:dyDescent="0.25">
      <c r="A43" s="251">
        <v>46139</v>
      </c>
      <c r="B43" s="82" t="s">
        <v>9</v>
      </c>
      <c r="C43" s="124" t="s">
        <v>276</v>
      </c>
      <c r="D43" s="82">
        <v>400</v>
      </c>
      <c r="E43" s="82"/>
      <c r="F43" s="82">
        <v>34.74</v>
      </c>
      <c r="G43" s="82"/>
      <c r="H43" s="123">
        <v>294655</v>
      </c>
      <c r="I43" s="90" t="s">
        <v>15</v>
      </c>
      <c r="J43" s="40"/>
      <c r="K43" s="218"/>
    </row>
    <row r="44" spans="1:11" x14ac:dyDescent="0.25">
      <c r="A44" s="251">
        <v>46140</v>
      </c>
      <c r="B44" s="82" t="s">
        <v>424</v>
      </c>
      <c r="C44" s="124" t="s">
        <v>220</v>
      </c>
      <c r="D44" s="82">
        <v>140</v>
      </c>
      <c r="E44" s="82"/>
      <c r="F44" s="82"/>
      <c r="G44" s="82"/>
      <c r="H44" s="128" t="s">
        <v>66</v>
      </c>
      <c r="I44" s="90"/>
      <c r="J44" s="40"/>
      <c r="K44" s="218"/>
    </row>
    <row r="45" spans="1:11" x14ac:dyDescent="0.25">
      <c r="A45" s="251">
        <v>46140</v>
      </c>
      <c r="B45" s="82" t="s">
        <v>220</v>
      </c>
      <c r="C45" s="124" t="s">
        <v>10</v>
      </c>
      <c r="D45" s="82">
        <v>300</v>
      </c>
      <c r="E45" s="82"/>
      <c r="F45" s="82"/>
      <c r="G45" s="82"/>
      <c r="H45" s="123">
        <v>5302</v>
      </c>
      <c r="I45" s="90" t="s">
        <v>452</v>
      </c>
      <c r="J45" s="40"/>
      <c r="K45" s="218"/>
    </row>
    <row r="46" spans="1:11" x14ac:dyDescent="0.25">
      <c r="A46" s="251">
        <v>46141</v>
      </c>
      <c r="B46" s="82" t="s">
        <v>10</v>
      </c>
      <c r="C46" s="124" t="s">
        <v>9</v>
      </c>
      <c r="D46" s="82">
        <v>500</v>
      </c>
      <c r="E46" s="82"/>
      <c r="F46" s="82">
        <v>35.549999999999997</v>
      </c>
      <c r="G46" s="82"/>
      <c r="H46" s="123">
        <v>1067730</v>
      </c>
      <c r="I46" s="90" t="s">
        <v>176</v>
      </c>
      <c r="J46" s="40"/>
      <c r="K46" s="218"/>
    </row>
    <row r="47" spans="1:11" x14ac:dyDescent="0.25">
      <c r="A47" s="251"/>
      <c r="B47" s="82"/>
      <c r="C47" s="124"/>
      <c r="D47" s="151" t="s">
        <v>446</v>
      </c>
      <c r="E47" s="82"/>
      <c r="F47" s="82"/>
      <c r="G47" s="82"/>
      <c r="H47" s="123"/>
      <c r="I47" s="90"/>
      <c r="J47" s="40"/>
      <c r="K47" s="218"/>
    </row>
    <row r="48" spans="1:11" x14ac:dyDescent="0.25">
      <c r="A48" s="5"/>
      <c r="B48" s="6"/>
      <c r="C48" s="6"/>
      <c r="D48" s="6"/>
      <c r="E48" s="6"/>
      <c r="F48" s="6"/>
      <c r="G48" s="6"/>
      <c r="H48" s="7"/>
      <c r="I48" s="12"/>
      <c r="J48" s="137"/>
      <c r="K48" s="218"/>
    </row>
    <row r="49" spans="2:11" x14ac:dyDescent="0.25">
      <c r="D49" s="17">
        <f>SUM(D3:D48)</f>
        <v>18655</v>
      </c>
      <c r="E49" s="13"/>
      <c r="F49" s="129">
        <f>AVERAGE(F3:F47)</f>
        <v>34.904615384615383</v>
      </c>
      <c r="G49" s="180"/>
      <c r="H49" s="170"/>
      <c r="J49" s="126">
        <f>SUM(J3:J48)</f>
        <v>0</v>
      </c>
      <c r="K49" s="219">
        <f>SUM(K3:K48)</f>
        <v>0</v>
      </c>
    </row>
    <row r="50" spans="2:11" x14ac:dyDescent="0.25">
      <c r="D50" s="11"/>
      <c r="F50" s="113"/>
      <c r="G50" s="113"/>
      <c r="H50" s="113"/>
    </row>
    <row r="51" spans="2:11" x14ac:dyDescent="0.25">
      <c r="B51">
        <v>-2222.5</v>
      </c>
      <c r="D51" s="11"/>
      <c r="F51" s="113"/>
      <c r="G51" s="113"/>
      <c r="H51" s="113"/>
    </row>
    <row r="52" spans="2:11" x14ac:dyDescent="0.25">
      <c r="B52">
        <v>200</v>
      </c>
      <c r="C52" t="s">
        <v>12</v>
      </c>
      <c r="D52" s="11"/>
      <c r="F52" s="113"/>
      <c r="G52" s="113"/>
      <c r="H52" s="113"/>
    </row>
    <row r="53" spans="2:11" x14ac:dyDescent="0.25">
      <c r="B53">
        <v>2800</v>
      </c>
      <c r="C53" t="s">
        <v>12</v>
      </c>
      <c r="D53" s="11"/>
      <c r="F53" s="113"/>
      <c r="G53" s="113"/>
      <c r="H53" s="113"/>
    </row>
    <row r="54" spans="2:11" x14ac:dyDescent="0.25">
      <c r="B54">
        <v>-2800</v>
      </c>
      <c r="C54" t="s">
        <v>13</v>
      </c>
      <c r="D54" s="11">
        <v>44055</v>
      </c>
      <c r="F54" s="113"/>
      <c r="G54" s="113"/>
      <c r="H54" s="113"/>
    </row>
    <row r="55" spans="2:11" x14ac:dyDescent="0.25">
      <c r="B55">
        <v>200</v>
      </c>
      <c r="C55" t="s">
        <v>12</v>
      </c>
      <c r="D55" s="11"/>
      <c r="F55" s="113"/>
      <c r="G55" s="113"/>
      <c r="H55" s="113"/>
    </row>
    <row r="56" spans="2:11" x14ac:dyDescent="0.25">
      <c r="B56">
        <v>130</v>
      </c>
      <c r="C56" t="s">
        <v>12</v>
      </c>
      <c r="D56" s="11">
        <v>44179</v>
      </c>
      <c r="F56" s="113"/>
      <c r="G56" s="113"/>
      <c r="H56" s="113"/>
    </row>
    <row r="57" spans="2:11" x14ac:dyDescent="0.25">
      <c r="B57">
        <v>-400</v>
      </c>
      <c r="C57" t="s">
        <v>13</v>
      </c>
      <c r="D57" s="11">
        <v>44179</v>
      </c>
      <c r="F57" s="113"/>
      <c r="G57" s="113"/>
      <c r="H57" s="113"/>
    </row>
    <row r="58" spans="2:11" x14ac:dyDescent="0.25">
      <c r="B58">
        <v>300</v>
      </c>
      <c r="C58" t="s">
        <v>150</v>
      </c>
      <c r="D58" s="11"/>
      <c r="F58" s="113"/>
      <c r="G58" s="113"/>
      <c r="H58" s="113"/>
    </row>
    <row r="59" spans="2:11" x14ac:dyDescent="0.25">
      <c r="B59">
        <v>-300</v>
      </c>
      <c r="C59" t="s">
        <v>13</v>
      </c>
      <c r="D59" s="11"/>
      <c r="F59" s="113"/>
      <c r="G59" s="113"/>
      <c r="H59" s="113"/>
    </row>
    <row r="60" spans="2:11" x14ac:dyDescent="0.25">
      <c r="B60">
        <v>300</v>
      </c>
      <c r="C60" t="s">
        <v>12</v>
      </c>
      <c r="D60" s="11"/>
      <c r="F60" s="113"/>
      <c r="G60" s="113"/>
      <c r="H60" s="113"/>
    </row>
    <row r="61" spans="2:11" x14ac:dyDescent="0.25">
      <c r="B61">
        <v>-300</v>
      </c>
      <c r="C61" t="s">
        <v>93</v>
      </c>
      <c r="D61" s="11"/>
      <c r="F61" s="113"/>
      <c r="G61" s="113"/>
      <c r="H61" s="113"/>
    </row>
    <row r="62" spans="2:11" x14ac:dyDescent="0.25">
      <c r="B62">
        <v>130</v>
      </c>
      <c r="C62" t="s">
        <v>12</v>
      </c>
      <c r="D62" s="11">
        <v>44282</v>
      </c>
      <c r="F62" s="113"/>
      <c r="G62" s="113"/>
      <c r="H62" s="113"/>
    </row>
    <row r="63" spans="2:11" x14ac:dyDescent="0.25">
      <c r="B63">
        <v>300</v>
      </c>
      <c r="C63" t="s">
        <v>94</v>
      </c>
      <c r="D63" s="11">
        <v>44285</v>
      </c>
      <c r="F63" s="113"/>
      <c r="G63" s="113"/>
      <c r="H63" s="113"/>
    </row>
    <row r="64" spans="2:11" x14ac:dyDescent="0.25">
      <c r="B64">
        <v>-400</v>
      </c>
      <c r="C64" t="s">
        <v>13</v>
      </c>
      <c r="D64" s="11"/>
      <c r="F64" s="113"/>
      <c r="G64" s="113"/>
      <c r="H64" s="113"/>
    </row>
    <row r="65" spans="2:8" x14ac:dyDescent="0.25">
      <c r="B65">
        <v>400</v>
      </c>
      <c r="C65" t="s">
        <v>74</v>
      </c>
      <c r="D65" s="11">
        <v>44299</v>
      </c>
      <c r="F65" s="113"/>
      <c r="G65" s="113"/>
      <c r="H65" s="113"/>
    </row>
    <row r="66" spans="2:8" x14ac:dyDescent="0.25">
      <c r="B66">
        <v>500</v>
      </c>
      <c r="C66" t="s">
        <v>95</v>
      </c>
      <c r="D66" s="11">
        <v>44299</v>
      </c>
      <c r="F66" s="113"/>
      <c r="G66" s="113"/>
      <c r="H66" s="113"/>
    </row>
    <row r="67" spans="2:8" x14ac:dyDescent="0.25">
      <c r="B67">
        <v>-900</v>
      </c>
      <c r="C67" t="s">
        <v>13</v>
      </c>
      <c r="D67" s="11">
        <v>44299</v>
      </c>
      <c r="F67" s="113"/>
      <c r="G67" s="113"/>
      <c r="H67" s="113"/>
    </row>
    <row r="68" spans="2:8" x14ac:dyDescent="0.25">
      <c r="B68">
        <v>200</v>
      </c>
      <c r="C68" t="s">
        <v>12</v>
      </c>
      <c r="D68" s="11">
        <v>44361</v>
      </c>
      <c r="F68" s="113"/>
      <c r="G68" s="113"/>
      <c r="H68" s="113"/>
    </row>
    <row r="69" spans="2:8" x14ac:dyDescent="0.25">
      <c r="B69">
        <v>-200</v>
      </c>
      <c r="C69" t="s">
        <v>13</v>
      </c>
      <c r="D69" s="11">
        <v>44361</v>
      </c>
      <c r="F69" s="113"/>
      <c r="G69" s="113"/>
      <c r="H69" s="113"/>
    </row>
    <row r="70" spans="2:8" x14ac:dyDescent="0.25">
      <c r="B70">
        <v>620</v>
      </c>
      <c r="C70" t="s">
        <v>12</v>
      </c>
      <c r="D70" s="11">
        <v>44455</v>
      </c>
      <c r="F70" s="113"/>
      <c r="G70" s="113"/>
      <c r="H70" s="113"/>
    </row>
    <row r="71" spans="2:8" x14ac:dyDescent="0.25">
      <c r="B71">
        <v>-600</v>
      </c>
      <c r="C71" t="s">
        <v>13</v>
      </c>
      <c r="D71" s="11">
        <v>44455</v>
      </c>
      <c r="F71" s="113"/>
      <c r="G71" s="113"/>
      <c r="H71" s="113"/>
    </row>
    <row r="72" spans="2:8" x14ac:dyDescent="0.25">
      <c r="B72">
        <v>840</v>
      </c>
      <c r="C72" t="s">
        <v>177</v>
      </c>
      <c r="D72" s="11"/>
      <c r="F72" s="113"/>
      <c r="G72" s="113"/>
      <c r="H72" s="113"/>
    </row>
    <row r="73" spans="2:8" x14ac:dyDescent="0.25">
      <c r="B73">
        <v>-840</v>
      </c>
      <c r="C73" t="s">
        <v>13</v>
      </c>
      <c r="D73" s="11"/>
      <c r="F73" s="113"/>
      <c r="G73" s="113"/>
      <c r="H73" s="113"/>
    </row>
    <row r="74" spans="2:8" x14ac:dyDescent="0.25">
      <c r="B74">
        <v>1560</v>
      </c>
      <c r="C74" t="s">
        <v>197</v>
      </c>
      <c r="D74" s="11"/>
      <c r="F74" s="113"/>
      <c r="G74" s="113"/>
      <c r="H74" s="113"/>
    </row>
    <row r="75" spans="2:8" x14ac:dyDescent="0.25">
      <c r="B75">
        <v>-1600</v>
      </c>
      <c r="C75" t="s">
        <v>13</v>
      </c>
      <c r="D75" s="11">
        <v>44699</v>
      </c>
      <c r="F75" s="113"/>
      <c r="G75" s="113"/>
      <c r="H75" s="113"/>
    </row>
    <row r="76" spans="2:8" x14ac:dyDescent="0.25">
      <c r="B76">
        <v>480</v>
      </c>
      <c r="C76" t="s">
        <v>74</v>
      </c>
      <c r="D76" s="11">
        <v>44767</v>
      </c>
      <c r="F76" s="113"/>
      <c r="G76" s="113"/>
      <c r="H76" s="113"/>
    </row>
    <row r="77" spans="2:8" x14ac:dyDescent="0.25">
      <c r="B77">
        <v>-500</v>
      </c>
      <c r="C77" t="s">
        <v>13</v>
      </c>
      <c r="D77" s="11">
        <v>44767</v>
      </c>
      <c r="F77" s="113"/>
      <c r="G77" s="113"/>
      <c r="H77" s="113"/>
    </row>
    <row r="78" spans="2:8" x14ac:dyDescent="0.25">
      <c r="B78">
        <v>-300</v>
      </c>
      <c r="C78" t="s">
        <v>190</v>
      </c>
      <c r="D78" s="11">
        <v>44774</v>
      </c>
      <c r="F78" s="113"/>
      <c r="G78" s="113"/>
      <c r="H78" s="113"/>
    </row>
    <row r="79" spans="2:8" x14ac:dyDescent="0.25">
      <c r="B79">
        <v>1000</v>
      </c>
      <c r="C79" t="s">
        <v>205</v>
      </c>
      <c r="D79" s="11">
        <v>44775</v>
      </c>
      <c r="F79" s="113"/>
      <c r="G79" s="113"/>
      <c r="H79" s="113"/>
    </row>
    <row r="80" spans="2:8" x14ac:dyDescent="0.25">
      <c r="B80">
        <v>-1000</v>
      </c>
      <c r="D80" s="11"/>
      <c r="F80" s="113"/>
      <c r="G80" s="113"/>
      <c r="H80" s="113"/>
    </row>
    <row r="81" spans="2:9" x14ac:dyDescent="0.25">
      <c r="B81">
        <v>840</v>
      </c>
      <c r="C81" t="s">
        <v>74</v>
      </c>
      <c r="D81" s="11">
        <v>44783</v>
      </c>
      <c r="F81" s="113"/>
      <c r="G81" s="113"/>
      <c r="H81" s="113"/>
      <c r="I81" t="s">
        <v>54</v>
      </c>
    </row>
    <row r="82" spans="2:9" x14ac:dyDescent="0.25">
      <c r="B82">
        <v>-500</v>
      </c>
      <c r="C82" t="s">
        <v>13</v>
      </c>
      <c r="D82" s="11">
        <v>44783</v>
      </c>
      <c r="F82" s="113"/>
      <c r="G82" s="113"/>
      <c r="H82" s="113"/>
    </row>
    <row r="83" spans="2:9" x14ac:dyDescent="0.25">
      <c r="B83">
        <v>280</v>
      </c>
      <c r="C83" t="s">
        <v>74</v>
      </c>
      <c r="D83" s="11">
        <v>44790</v>
      </c>
      <c r="F83" s="113"/>
      <c r="G83" s="113"/>
      <c r="H83" s="113"/>
    </row>
    <row r="84" spans="2:9" x14ac:dyDescent="0.25">
      <c r="B84">
        <v>-300</v>
      </c>
      <c r="C84" t="s">
        <v>13</v>
      </c>
      <c r="D84" s="11">
        <v>44790</v>
      </c>
      <c r="F84" s="113"/>
      <c r="G84" s="113"/>
      <c r="H84" s="113"/>
    </row>
    <row r="85" spans="2:9" x14ac:dyDescent="0.25">
      <c r="B85">
        <v>480</v>
      </c>
      <c r="C85" t="s">
        <v>12</v>
      </c>
      <c r="D85" s="11">
        <v>44814</v>
      </c>
      <c r="F85" s="113"/>
      <c r="G85" s="113"/>
      <c r="H85" s="113"/>
    </row>
    <row r="86" spans="2:9" x14ac:dyDescent="0.25">
      <c r="B86">
        <v>-400</v>
      </c>
      <c r="C86" t="s">
        <v>13</v>
      </c>
      <c r="D86" s="11"/>
      <c r="F86" s="113"/>
      <c r="G86" s="113"/>
      <c r="H86" s="113"/>
    </row>
    <row r="87" spans="2:9" x14ac:dyDescent="0.25">
      <c r="B87">
        <v>480</v>
      </c>
      <c r="C87" t="s">
        <v>12</v>
      </c>
      <c r="D87" s="11">
        <v>44828</v>
      </c>
      <c r="F87" s="113"/>
      <c r="G87" s="113"/>
      <c r="H87" s="113"/>
    </row>
    <row r="88" spans="2:9" x14ac:dyDescent="0.25">
      <c r="B88">
        <v>-500</v>
      </c>
      <c r="C88" t="s">
        <v>13</v>
      </c>
      <c r="D88" s="11"/>
      <c r="F88" s="113"/>
      <c r="G88" s="113"/>
      <c r="H88" s="113"/>
    </row>
    <row r="89" spans="2:9" x14ac:dyDescent="0.25">
      <c r="B89">
        <v>480</v>
      </c>
      <c r="C89" t="s">
        <v>12</v>
      </c>
      <c r="D89" s="11"/>
      <c r="F89" s="113"/>
      <c r="G89" s="113"/>
      <c r="H89" s="113"/>
    </row>
    <row r="90" spans="2:9" x14ac:dyDescent="0.25">
      <c r="B90">
        <v>-400</v>
      </c>
      <c r="C90" t="s">
        <v>13</v>
      </c>
      <c r="D90" s="11"/>
      <c r="F90" s="113"/>
      <c r="G90" s="113"/>
      <c r="H90" s="113"/>
    </row>
    <row r="91" spans="2:9" x14ac:dyDescent="0.25">
      <c r="B91">
        <v>480</v>
      </c>
      <c r="C91" t="s">
        <v>12</v>
      </c>
      <c r="D91" s="11"/>
      <c r="F91" s="113"/>
      <c r="G91" s="113"/>
      <c r="H91" s="113"/>
    </row>
    <row r="92" spans="2:9" x14ac:dyDescent="0.25">
      <c r="B92">
        <v>-500</v>
      </c>
      <c r="C92" t="s">
        <v>13</v>
      </c>
      <c r="D92" s="11"/>
      <c r="F92" s="113"/>
      <c r="G92" s="113"/>
      <c r="H92" s="113"/>
    </row>
    <row r="93" spans="2:9" x14ac:dyDescent="0.25">
      <c r="B93">
        <v>800</v>
      </c>
      <c r="C93" t="s">
        <v>12</v>
      </c>
      <c r="D93" s="11"/>
      <c r="F93" s="113"/>
      <c r="G93" s="113"/>
      <c r="H93" s="113"/>
    </row>
    <row r="94" spans="2:9" x14ac:dyDescent="0.25">
      <c r="B94">
        <v>-800</v>
      </c>
      <c r="C94" t="s">
        <v>13</v>
      </c>
      <c r="D94" s="11">
        <v>44877</v>
      </c>
      <c r="F94" s="113"/>
      <c r="G94" s="113"/>
      <c r="H94" s="113"/>
    </row>
    <row r="95" spans="2:9" x14ac:dyDescent="0.25">
      <c r="B95">
        <v>2000</v>
      </c>
      <c r="C95" t="s">
        <v>12</v>
      </c>
      <c r="D95" s="11">
        <v>44884</v>
      </c>
      <c r="F95" s="113"/>
      <c r="G95" s="113"/>
      <c r="H95" s="113"/>
    </row>
    <row r="96" spans="2:9" x14ac:dyDescent="0.25">
      <c r="B96">
        <v>-2000</v>
      </c>
      <c r="C96" t="s">
        <v>13</v>
      </c>
      <c r="D96" s="11"/>
      <c r="F96" s="113"/>
      <c r="G96" s="113"/>
      <c r="H96" s="113"/>
    </row>
    <row r="97" spans="2:8" x14ac:dyDescent="0.25">
      <c r="B97">
        <v>800</v>
      </c>
      <c r="C97" t="s">
        <v>12</v>
      </c>
      <c r="D97" s="11">
        <v>44925</v>
      </c>
      <c r="F97" s="113"/>
      <c r="G97" s="113"/>
      <c r="H97" s="113"/>
    </row>
    <row r="98" spans="2:8" x14ac:dyDescent="0.25">
      <c r="B98">
        <v>-900</v>
      </c>
      <c r="C98" t="s">
        <v>13</v>
      </c>
      <c r="D98" s="11"/>
      <c r="F98" s="113"/>
      <c r="G98" s="113"/>
      <c r="H98" s="113"/>
    </row>
    <row r="99" spans="2:8" x14ac:dyDescent="0.25">
      <c r="B99">
        <v>800</v>
      </c>
      <c r="C99" t="s">
        <v>12</v>
      </c>
      <c r="D99" s="11">
        <v>44940</v>
      </c>
      <c r="F99" s="113"/>
      <c r="G99" s="113"/>
      <c r="H99" s="113"/>
    </row>
    <row r="100" spans="2:8" x14ac:dyDescent="0.25">
      <c r="B100">
        <v>-800</v>
      </c>
      <c r="C100" t="s">
        <v>13</v>
      </c>
      <c r="D100" s="11"/>
      <c r="F100" s="113"/>
      <c r="G100" s="113"/>
      <c r="H100" s="113"/>
    </row>
    <row r="101" spans="2:8" x14ac:dyDescent="0.25">
      <c r="B101">
        <v>400</v>
      </c>
      <c r="C101" t="s">
        <v>12</v>
      </c>
      <c r="D101" s="11">
        <v>44951</v>
      </c>
      <c r="F101" s="113"/>
      <c r="G101" s="113"/>
      <c r="H101" s="113"/>
    </row>
    <row r="102" spans="2:8" x14ac:dyDescent="0.25">
      <c r="B102">
        <v>-400</v>
      </c>
      <c r="C102" t="s">
        <v>13</v>
      </c>
      <c r="D102" s="11"/>
      <c r="F102" s="113"/>
      <c r="G102" s="113"/>
      <c r="H102" s="113"/>
    </row>
    <row r="103" spans="2:8" x14ac:dyDescent="0.25">
      <c r="B103">
        <v>800</v>
      </c>
      <c r="C103" t="s">
        <v>137</v>
      </c>
      <c r="D103" s="11">
        <v>45002</v>
      </c>
      <c r="F103" s="113"/>
      <c r="G103" s="113"/>
      <c r="H103" s="113"/>
    </row>
    <row r="104" spans="2:8" x14ac:dyDescent="0.25">
      <c r="B104">
        <v>-800</v>
      </c>
      <c r="C104" t="s">
        <v>13</v>
      </c>
      <c r="D104" s="11">
        <v>45002</v>
      </c>
      <c r="F104" s="113"/>
      <c r="G104" s="113"/>
      <c r="H104" s="113"/>
    </row>
    <row r="105" spans="2:8" x14ac:dyDescent="0.25">
      <c r="B105">
        <v>800</v>
      </c>
      <c r="C105" t="s">
        <v>12</v>
      </c>
      <c r="D105" s="11">
        <v>45044</v>
      </c>
      <c r="F105" s="113"/>
      <c r="G105" s="113"/>
      <c r="H105" s="113"/>
    </row>
    <row r="106" spans="2:8" x14ac:dyDescent="0.25">
      <c r="B106">
        <v>-800</v>
      </c>
      <c r="C106" t="s">
        <v>13</v>
      </c>
      <c r="D106" s="11">
        <v>45044</v>
      </c>
      <c r="F106" s="113"/>
      <c r="G106" s="113"/>
      <c r="H106" s="113"/>
    </row>
    <row r="107" spans="2:8" x14ac:dyDescent="0.25">
      <c r="B107">
        <v>800</v>
      </c>
      <c r="C107" t="s">
        <v>12</v>
      </c>
      <c r="D107" s="11">
        <v>45052</v>
      </c>
      <c r="F107" s="113"/>
      <c r="G107" s="113"/>
      <c r="H107" s="113"/>
    </row>
    <row r="108" spans="2:8" x14ac:dyDescent="0.25">
      <c r="B108">
        <v>-800</v>
      </c>
      <c r="C108" t="s">
        <v>13</v>
      </c>
      <c r="D108" s="11">
        <v>45052</v>
      </c>
      <c r="F108" s="113"/>
      <c r="G108" s="113"/>
      <c r="H108" s="113"/>
    </row>
    <row r="109" spans="2:8" x14ac:dyDescent="0.25">
      <c r="B109">
        <v>1200</v>
      </c>
      <c r="C109" t="s">
        <v>12</v>
      </c>
      <c r="D109" s="11">
        <v>45086</v>
      </c>
      <c r="F109" s="113"/>
      <c r="G109" s="113"/>
      <c r="H109" s="113"/>
    </row>
    <row r="110" spans="2:8" x14ac:dyDescent="0.25">
      <c r="B110">
        <v>-1200</v>
      </c>
      <c r="C110" t="s">
        <v>13</v>
      </c>
      <c r="D110" s="11"/>
      <c r="F110" s="113"/>
      <c r="G110" s="113"/>
      <c r="H110" s="113"/>
    </row>
    <row r="111" spans="2:8" x14ac:dyDescent="0.25">
      <c r="B111">
        <v>6000</v>
      </c>
      <c r="C111" t="s">
        <v>95</v>
      </c>
      <c r="D111" s="11">
        <v>45428</v>
      </c>
      <c r="F111" s="113"/>
      <c r="G111" s="113"/>
      <c r="H111" s="113"/>
    </row>
    <row r="112" spans="2:8" x14ac:dyDescent="0.25">
      <c r="B112">
        <v>-14000</v>
      </c>
      <c r="C112" t="s">
        <v>13</v>
      </c>
      <c r="D112" s="11">
        <v>45428</v>
      </c>
      <c r="F112" s="113"/>
      <c r="G112" s="113"/>
      <c r="H112" s="113"/>
    </row>
    <row r="113" spans="2:8 16384:16384" x14ac:dyDescent="0.25">
      <c r="B113">
        <v>-1000</v>
      </c>
      <c r="C113" t="s">
        <v>190</v>
      </c>
      <c r="D113" s="11">
        <v>45504</v>
      </c>
      <c r="F113" s="113"/>
      <c r="G113" s="113"/>
      <c r="H113" s="113"/>
    </row>
    <row r="114" spans="2:8 16384:16384" x14ac:dyDescent="0.25">
      <c r="B114">
        <v>-1000</v>
      </c>
      <c r="C114" t="s">
        <v>190</v>
      </c>
      <c r="D114" s="11">
        <v>45842</v>
      </c>
      <c r="F114" s="113"/>
      <c r="G114" s="113"/>
      <c r="H114" s="113"/>
    </row>
    <row r="115" spans="2:8 16384:16384" x14ac:dyDescent="0.25">
      <c r="D115" s="11"/>
      <c r="F115" s="113"/>
      <c r="G115" s="113"/>
      <c r="H115" s="113"/>
    </row>
    <row r="116" spans="2:8 16384:16384" x14ac:dyDescent="0.25">
      <c r="B116" s="136">
        <f>SUM(B51:B114)</f>
        <v>-12062.5</v>
      </c>
      <c r="C116" s="144">
        <v>45842</v>
      </c>
      <c r="D116" s="11"/>
      <c r="F116" s="113"/>
      <c r="G116" s="113"/>
      <c r="H116" s="113"/>
      <c r="XFD116">
        <f>SUM(A116:XFC116)</f>
        <v>33779.5</v>
      </c>
    </row>
    <row r="117" spans="2:8 16384:16384" x14ac:dyDescent="0.25">
      <c r="C117" t="s">
        <v>54</v>
      </c>
      <c r="D117" s="11"/>
    </row>
    <row r="118" spans="2:8 16384:16384" x14ac:dyDescent="0.25">
      <c r="D118" s="11"/>
    </row>
    <row r="119" spans="2:8 16384:16384" x14ac:dyDescent="0.25">
      <c r="D119" s="11"/>
    </row>
    <row r="120" spans="2:8 16384:16384" x14ac:dyDescent="0.25">
      <c r="D120" s="11"/>
    </row>
    <row r="121" spans="2:8 16384:16384" x14ac:dyDescent="0.25">
      <c r="D121" s="11"/>
    </row>
    <row r="122" spans="2:8 16384:16384" x14ac:dyDescent="0.25">
      <c r="D122" s="11"/>
    </row>
    <row r="123" spans="2:8 16384:16384" x14ac:dyDescent="0.25">
      <c r="D123" s="11"/>
    </row>
    <row r="124" spans="2:8 16384:16384" x14ac:dyDescent="0.25">
      <c r="D124" s="11"/>
    </row>
    <row r="125" spans="2:8 16384:16384" x14ac:dyDescent="0.25">
      <c r="D125" s="11"/>
    </row>
    <row r="126" spans="2:8 16384:16384" x14ac:dyDescent="0.25">
      <c r="D126" s="11"/>
    </row>
    <row r="127" spans="2:8 16384:16384" x14ac:dyDescent="0.25">
      <c r="D127" s="11"/>
    </row>
    <row r="128" spans="2:8 16384:16384" x14ac:dyDescent="0.25">
      <c r="D128" s="11"/>
    </row>
    <row r="129" spans="4:4" x14ac:dyDescent="0.25">
      <c r="D129" s="11"/>
    </row>
    <row r="130" spans="4:4" x14ac:dyDescent="0.25">
      <c r="D130" s="11"/>
    </row>
    <row r="131" spans="4:4" x14ac:dyDescent="0.25">
      <c r="D131" s="11"/>
    </row>
    <row r="132" spans="4:4" x14ac:dyDescent="0.25">
      <c r="D132" s="11"/>
    </row>
    <row r="133" spans="4:4" x14ac:dyDescent="0.25">
      <c r="D133" s="11"/>
    </row>
    <row r="134" spans="4:4" x14ac:dyDescent="0.25">
      <c r="D134" s="11"/>
    </row>
    <row r="135" spans="4:4" x14ac:dyDescent="0.25">
      <c r="D135" s="11"/>
    </row>
    <row r="136" spans="4:4" x14ac:dyDescent="0.25">
      <c r="D136" s="11"/>
    </row>
    <row r="137" spans="4:4" x14ac:dyDescent="0.25">
      <c r="D137" s="11"/>
    </row>
    <row r="138" spans="4:4" x14ac:dyDescent="0.25">
      <c r="D138" s="11"/>
    </row>
    <row r="139" spans="4:4" x14ac:dyDescent="0.25">
      <c r="D139" s="11"/>
    </row>
    <row r="140" spans="4:4" x14ac:dyDescent="0.25">
      <c r="D140" s="11"/>
    </row>
    <row r="141" spans="4:4" x14ac:dyDescent="0.25">
      <c r="D141" s="11"/>
    </row>
    <row r="142" spans="4:4" x14ac:dyDescent="0.25">
      <c r="D142" s="11"/>
    </row>
    <row r="143" spans="4:4" x14ac:dyDescent="0.25">
      <c r="D143" s="11"/>
    </row>
    <row r="144" spans="4:4" x14ac:dyDescent="0.25">
      <c r="D144" s="11"/>
    </row>
    <row r="146" spans="1:1" x14ac:dyDescent="0.25">
      <c r="A146" s="18"/>
    </row>
    <row r="147" spans="1:1" x14ac:dyDescent="0.25">
      <c r="A147" s="18"/>
    </row>
    <row r="148" spans="1:1" x14ac:dyDescent="0.25">
      <c r="A148" s="18"/>
    </row>
    <row r="149" spans="1:1" x14ac:dyDescent="0.25">
      <c r="A149" s="18"/>
    </row>
    <row r="150" spans="1:1" x14ac:dyDescent="0.25">
      <c r="A150" s="18"/>
    </row>
    <row r="151" spans="1:1" x14ac:dyDescent="0.25">
      <c r="A151" s="18"/>
    </row>
    <row r="152" spans="1:1" x14ac:dyDescent="0.25">
      <c r="A152" s="18"/>
    </row>
    <row r="153" spans="1:1" x14ac:dyDescent="0.25">
      <c r="A153" s="18"/>
    </row>
    <row r="154" spans="1:1" x14ac:dyDescent="0.25">
      <c r="A154" s="18"/>
    </row>
    <row r="155" spans="1:1" x14ac:dyDescent="0.25">
      <c r="A155" s="18"/>
    </row>
    <row r="156" spans="1:1" x14ac:dyDescent="0.25">
      <c r="A156" s="18"/>
    </row>
    <row r="157" spans="1:1" x14ac:dyDescent="0.25">
      <c r="A157" s="18"/>
    </row>
    <row r="158" spans="1:1" x14ac:dyDescent="0.25">
      <c r="A158" s="18"/>
    </row>
    <row r="159" spans="1:1" x14ac:dyDescent="0.25">
      <c r="A159" s="18"/>
    </row>
    <row r="160" spans="1:1" x14ac:dyDescent="0.25">
      <c r="A160" s="18"/>
    </row>
    <row r="161" spans="1:1" x14ac:dyDescent="0.25">
      <c r="A161" s="18"/>
    </row>
    <row r="162" spans="1:1" x14ac:dyDescent="0.25">
      <c r="A162" s="18"/>
    </row>
    <row r="163" spans="1:1" x14ac:dyDescent="0.25">
      <c r="A163" s="18"/>
    </row>
    <row r="164" spans="1:1" x14ac:dyDescent="0.25">
      <c r="A164" s="18"/>
    </row>
    <row r="165" spans="1:1" x14ac:dyDescent="0.25">
      <c r="A165" s="18"/>
    </row>
    <row r="166" spans="1:1" x14ac:dyDescent="0.25">
      <c r="A166" s="18"/>
    </row>
    <row r="167" spans="1:1" x14ac:dyDescent="0.25">
      <c r="A167" s="18"/>
    </row>
    <row r="168" spans="1:1" x14ac:dyDescent="0.25">
      <c r="A168" s="18"/>
    </row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</sheetData>
  <pageMargins left="0.7" right="0.7" top="0.75" bottom="0.75" header="0.51180555555555496" footer="0.51180555555555496"/>
  <pageSetup paperSize="9" firstPageNumber="0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87"/>
  <sheetViews>
    <sheetView topLeftCell="A25" zoomScale="110" zoomScaleNormal="110" workbookViewId="0">
      <selection activeCell="B3" sqref="B3:I5"/>
    </sheetView>
  </sheetViews>
  <sheetFormatPr baseColWidth="10" defaultRowHeight="15" x14ac:dyDescent="0.25"/>
  <cols>
    <col min="2" max="2" width="13.42578125" customWidth="1"/>
    <col min="3" max="3" width="12.140625" customWidth="1"/>
    <col min="8" max="8" width="12.85546875" bestFit="1" customWidth="1"/>
    <col min="9" max="9" width="13.42578125" customWidth="1"/>
    <col min="11" max="11" width="13.7109375" bestFit="1" customWidth="1"/>
  </cols>
  <sheetData>
    <row r="1" spans="1:15" x14ac:dyDescent="0.25">
      <c r="D1" s="14" t="s">
        <v>158</v>
      </c>
      <c r="E1" s="14"/>
    </row>
    <row r="2" spans="1:15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5" x14ac:dyDescent="0.25">
      <c r="A3" s="91"/>
      <c r="B3" s="82"/>
      <c r="C3" s="124"/>
      <c r="D3" s="82"/>
      <c r="E3" s="82"/>
      <c r="F3" s="82"/>
      <c r="G3" s="82"/>
      <c r="H3" s="90"/>
      <c r="I3" s="90"/>
      <c r="J3" s="138"/>
      <c r="K3" s="218"/>
      <c r="M3" s="113"/>
      <c r="N3" s="113"/>
      <c r="O3" s="113"/>
    </row>
    <row r="4" spans="1:15" x14ac:dyDescent="0.25">
      <c r="A4" s="91"/>
      <c r="B4" s="82"/>
      <c r="C4" s="124"/>
      <c r="D4" s="82"/>
      <c r="E4" s="82"/>
      <c r="F4" s="82"/>
      <c r="G4" s="82"/>
      <c r="H4" s="90"/>
      <c r="I4" s="90"/>
      <c r="J4" s="138"/>
      <c r="K4" s="218"/>
      <c r="M4" s="113"/>
      <c r="N4" s="113"/>
      <c r="O4" s="113"/>
    </row>
    <row r="5" spans="1:15" x14ac:dyDescent="0.25">
      <c r="A5" s="91"/>
      <c r="B5" s="82"/>
      <c r="C5" s="124"/>
      <c r="D5" s="82"/>
      <c r="E5" s="82"/>
      <c r="F5" s="82"/>
      <c r="G5" s="82"/>
      <c r="H5" s="90"/>
      <c r="I5" s="90"/>
      <c r="J5" s="138"/>
      <c r="K5" s="218"/>
      <c r="M5" s="113"/>
      <c r="N5" s="113"/>
      <c r="O5" s="113"/>
    </row>
    <row r="6" spans="1:15" x14ac:dyDescent="0.25">
      <c r="A6" s="91"/>
      <c r="B6" s="82"/>
      <c r="C6" s="124"/>
      <c r="D6" s="82"/>
      <c r="E6" s="82"/>
      <c r="F6" s="82"/>
      <c r="G6" s="82"/>
      <c r="H6" s="90"/>
      <c r="I6" s="90"/>
      <c r="J6" s="138"/>
      <c r="K6" s="218"/>
      <c r="M6" s="113"/>
      <c r="N6" s="113"/>
      <c r="O6" s="113"/>
    </row>
    <row r="7" spans="1:15" x14ac:dyDescent="0.25">
      <c r="A7" s="91"/>
      <c r="B7" s="82"/>
      <c r="C7" s="124"/>
      <c r="D7" s="82"/>
      <c r="E7" s="82"/>
      <c r="F7" s="82"/>
      <c r="G7" s="82"/>
      <c r="H7" s="90"/>
      <c r="I7" s="90"/>
      <c r="J7" s="138"/>
      <c r="K7" s="218"/>
      <c r="M7" s="113"/>
      <c r="N7" s="113"/>
      <c r="O7" s="113"/>
    </row>
    <row r="8" spans="1:15" x14ac:dyDescent="0.25">
      <c r="A8" s="91"/>
      <c r="B8" s="82"/>
      <c r="C8" s="124"/>
      <c r="D8" s="82"/>
      <c r="E8" s="82"/>
      <c r="F8" s="82"/>
      <c r="G8" s="82"/>
      <c r="H8" s="90"/>
      <c r="I8" s="90"/>
      <c r="J8" s="138"/>
      <c r="K8" s="218"/>
      <c r="M8" s="113"/>
      <c r="N8" s="113"/>
      <c r="O8" s="113"/>
    </row>
    <row r="9" spans="1:15" x14ac:dyDescent="0.25">
      <c r="A9" s="91"/>
      <c r="B9" s="82"/>
      <c r="C9" s="124"/>
      <c r="D9" s="82"/>
      <c r="E9" s="82"/>
      <c r="F9" s="82"/>
      <c r="G9" s="82"/>
      <c r="H9" s="90"/>
      <c r="I9" s="90"/>
      <c r="J9" s="138"/>
      <c r="K9" s="218"/>
      <c r="M9" s="113"/>
      <c r="N9" s="113"/>
      <c r="O9" s="113"/>
    </row>
    <row r="10" spans="1:15" x14ac:dyDescent="0.25">
      <c r="A10" s="91"/>
      <c r="B10" s="82"/>
      <c r="C10" s="124"/>
      <c r="D10" s="82"/>
      <c r="E10" s="82"/>
      <c r="F10" s="82"/>
      <c r="G10" s="82"/>
      <c r="H10" s="90"/>
      <c r="I10" s="90"/>
      <c r="J10" s="138"/>
      <c r="K10" s="218"/>
      <c r="M10" s="113"/>
      <c r="N10" s="113"/>
      <c r="O10" s="113"/>
    </row>
    <row r="11" spans="1:15" x14ac:dyDescent="0.25">
      <c r="A11" s="91"/>
      <c r="B11" s="82"/>
      <c r="C11" s="124"/>
      <c r="D11" s="82"/>
      <c r="E11" s="82"/>
      <c r="F11" s="82"/>
      <c r="G11" s="82"/>
      <c r="H11" s="90"/>
      <c r="I11" s="90"/>
      <c r="J11" s="138"/>
      <c r="K11" s="218"/>
      <c r="M11" s="113"/>
      <c r="N11" s="113"/>
      <c r="O11" s="113"/>
    </row>
    <row r="12" spans="1:15" x14ac:dyDescent="0.25">
      <c r="A12" s="91"/>
      <c r="B12" s="82"/>
      <c r="C12" s="124"/>
      <c r="D12" s="82"/>
      <c r="E12" s="82"/>
      <c r="F12" s="82"/>
      <c r="G12" s="82"/>
      <c r="H12" s="90"/>
      <c r="I12" s="90"/>
      <c r="J12" s="138"/>
      <c r="K12" s="218"/>
      <c r="M12" s="113"/>
      <c r="N12" s="113"/>
      <c r="O12" s="113"/>
    </row>
    <row r="13" spans="1:15" x14ac:dyDescent="0.25">
      <c r="A13" s="91"/>
      <c r="B13" s="82"/>
      <c r="C13" s="124"/>
      <c r="D13" s="82"/>
      <c r="E13" s="82"/>
      <c r="F13" s="82"/>
      <c r="G13" s="82"/>
      <c r="H13" s="90"/>
      <c r="I13" s="90"/>
      <c r="J13" s="138"/>
      <c r="K13" s="218"/>
      <c r="M13" s="113"/>
      <c r="N13" s="113"/>
      <c r="O13" s="113"/>
    </row>
    <row r="14" spans="1:15" x14ac:dyDescent="0.25">
      <c r="A14" s="91"/>
      <c r="B14" s="82"/>
      <c r="C14" s="124"/>
      <c r="D14" s="82"/>
      <c r="E14" s="82"/>
      <c r="F14" s="82"/>
      <c r="G14" s="82"/>
      <c r="H14" s="90"/>
      <c r="I14" s="90"/>
      <c r="J14" s="138"/>
      <c r="K14" s="218"/>
      <c r="M14" s="113"/>
      <c r="N14" s="113"/>
      <c r="O14" s="113"/>
    </row>
    <row r="15" spans="1:15" x14ac:dyDescent="0.25">
      <c r="A15" s="91"/>
      <c r="B15" s="82"/>
      <c r="C15" s="124"/>
      <c r="D15" s="82"/>
      <c r="E15" s="82"/>
      <c r="F15" s="82"/>
      <c r="G15" s="82"/>
      <c r="H15" s="90"/>
      <c r="I15" s="90"/>
      <c r="J15" s="138"/>
      <c r="K15" s="218"/>
      <c r="M15" s="113"/>
      <c r="N15" s="113"/>
      <c r="O15" s="113"/>
    </row>
    <row r="16" spans="1:15" x14ac:dyDescent="0.25">
      <c r="A16" s="91"/>
      <c r="B16" s="82"/>
      <c r="C16" s="124"/>
      <c r="D16" s="82"/>
      <c r="E16" s="82"/>
      <c r="F16" s="82"/>
      <c r="G16" s="82"/>
      <c r="H16" s="90"/>
      <c r="I16" s="90"/>
      <c r="J16" s="138"/>
      <c r="K16" s="218"/>
      <c r="M16" s="113"/>
      <c r="N16" s="113"/>
      <c r="O16" s="113"/>
    </row>
    <row r="17" spans="1:15" x14ac:dyDescent="0.25">
      <c r="A17" s="91"/>
      <c r="B17" s="82"/>
      <c r="C17" s="124"/>
      <c r="D17" s="82"/>
      <c r="E17" s="82"/>
      <c r="F17" s="82"/>
      <c r="G17" s="82"/>
      <c r="H17" s="90"/>
      <c r="I17" s="90"/>
      <c r="J17" s="138"/>
      <c r="K17" s="218"/>
      <c r="M17" s="113"/>
      <c r="N17" s="113"/>
      <c r="O17" s="113"/>
    </row>
    <row r="18" spans="1:15" x14ac:dyDescent="0.25">
      <c r="A18" s="91"/>
      <c r="B18" s="82"/>
      <c r="C18" s="124"/>
      <c r="D18" s="82"/>
      <c r="E18" s="82"/>
      <c r="F18" s="82"/>
      <c r="G18" s="82"/>
      <c r="H18" s="90"/>
      <c r="I18" s="90"/>
      <c r="J18" s="138"/>
      <c r="K18" s="218"/>
      <c r="M18" s="113"/>
      <c r="N18" s="113"/>
      <c r="O18" s="113"/>
    </row>
    <row r="19" spans="1:15" x14ac:dyDescent="0.25">
      <c r="A19" s="91"/>
      <c r="B19" s="82"/>
      <c r="C19" s="124"/>
      <c r="D19" s="82"/>
      <c r="E19" s="82"/>
      <c r="F19" s="82"/>
      <c r="G19" s="82"/>
      <c r="H19" s="90"/>
      <c r="I19" s="90"/>
      <c r="J19" s="138"/>
      <c r="K19" s="218"/>
      <c r="M19" s="113"/>
      <c r="N19" s="113"/>
      <c r="O19" s="113"/>
    </row>
    <row r="20" spans="1:15" x14ac:dyDescent="0.25">
      <c r="A20" s="91"/>
      <c r="B20" s="82"/>
      <c r="C20" s="124"/>
      <c r="D20" s="82"/>
      <c r="E20" s="82"/>
      <c r="F20" s="82"/>
      <c r="G20" s="82"/>
      <c r="H20" s="90"/>
      <c r="I20" s="90"/>
      <c r="J20" s="138"/>
      <c r="K20" s="218"/>
      <c r="M20" s="113"/>
      <c r="N20" s="113"/>
      <c r="O20" s="113"/>
    </row>
    <row r="21" spans="1:15" x14ac:dyDescent="0.25">
      <c r="A21" s="91"/>
      <c r="B21" s="82"/>
      <c r="C21" s="124"/>
      <c r="D21" s="82"/>
      <c r="E21" s="82"/>
      <c r="F21" s="82"/>
      <c r="G21" s="82"/>
      <c r="H21" s="90"/>
      <c r="I21" s="90"/>
      <c r="J21" s="138"/>
      <c r="K21" s="218"/>
      <c r="M21" s="113"/>
      <c r="N21" s="113"/>
      <c r="O21" s="113"/>
    </row>
    <row r="22" spans="1:15" x14ac:dyDescent="0.25">
      <c r="A22" s="91"/>
      <c r="B22" s="82"/>
      <c r="C22" s="124"/>
      <c r="D22" s="82"/>
      <c r="E22" s="82"/>
      <c r="F22" s="82"/>
      <c r="G22" s="82"/>
      <c r="H22" s="90"/>
      <c r="I22" s="90"/>
      <c r="J22" s="138"/>
      <c r="K22" s="218"/>
      <c r="M22" s="113"/>
      <c r="N22" s="113"/>
      <c r="O22" s="113"/>
    </row>
    <row r="23" spans="1:15" x14ac:dyDescent="0.25">
      <c r="A23" s="91"/>
      <c r="B23" s="82"/>
      <c r="C23" s="124"/>
      <c r="D23" s="82"/>
      <c r="E23" s="82"/>
      <c r="F23" s="82"/>
      <c r="G23" s="82"/>
      <c r="H23" s="90"/>
      <c r="I23" s="90"/>
      <c r="J23" s="138"/>
      <c r="K23" s="218"/>
      <c r="M23" s="113"/>
      <c r="N23" s="113"/>
      <c r="O23" s="113"/>
    </row>
    <row r="24" spans="1:15" x14ac:dyDescent="0.25">
      <c r="A24" s="91"/>
      <c r="B24" s="82"/>
      <c r="C24" s="124"/>
      <c r="D24" s="82"/>
      <c r="E24" s="82"/>
      <c r="F24" s="82"/>
      <c r="G24" s="82"/>
      <c r="H24" s="90"/>
      <c r="I24" s="90"/>
      <c r="J24" s="138"/>
      <c r="K24" s="218"/>
      <c r="M24" s="113"/>
      <c r="N24" s="113"/>
      <c r="O24" s="113"/>
    </row>
    <row r="25" spans="1:15" x14ac:dyDescent="0.25">
      <c r="A25" s="91"/>
      <c r="B25" s="82"/>
      <c r="C25" s="124"/>
      <c r="D25" s="82"/>
      <c r="E25" s="82"/>
      <c r="F25" s="82"/>
      <c r="G25" s="82"/>
      <c r="H25" s="90"/>
      <c r="I25" s="90"/>
      <c r="J25" s="138"/>
      <c r="K25" s="218"/>
      <c r="M25" s="113"/>
      <c r="N25" s="113"/>
      <c r="O25" s="113"/>
    </row>
    <row r="26" spans="1:15" x14ac:dyDescent="0.25">
      <c r="A26" s="91"/>
      <c r="B26" s="82"/>
      <c r="C26" s="124"/>
      <c r="D26" s="82"/>
      <c r="E26" s="82"/>
      <c r="F26" s="82"/>
      <c r="G26" s="82"/>
      <c r="H26" s="90"/>
      <c r="I26" s="90"/>
      <c r="J26" s="138"/>
      <c r="K26" s="218"/>
      <c r="M26" s="113"/>
      <c r="N26" s="113"/>
      <c r="O26" s="113"/>
    </row>
    <row r="27" spans="1:15" x14ac:dyDescent="0.25">
      <c r="A27" s="91"/>
      <c r="B27" s="82"/>
      <c r="C27" s="124"/>
      <c r="D27" s="82"/>
      <c r="E27" s="82"/>
      <c r="F27" s="82"/>
      <c r="G27" s="82"/>
      <c r="H27" s="90"/>
      <c r="I27" s="90"/>
      <c r="J27" s="138"/>
      <c r="K27" s="218"/>
      <c r="M27" s="113"/>
      <c r="N27" s="113"/>
      <c r="O27" s="113"/>
    </row>
    <row r="28" spans="1:15" x14ac:dyDescent="0.25">
      <c r="A28" s="91"/>
      <c r="B28" s="82"/>
      <c r="C28" s="124"/>
      <c r="D28" s="82"/>
      <c r="E28" s="82"/>
      <c r="F28" s="82"/>
      <c r="G28" s="82"/>
      <c r="H28" s="90"/>
      <c r="I28" s="90"/>
      <c r="J28" s="138"/>
      <c r="K28" s="218"/>
      <c r="M28" s="113"/>
      <c r="N28" s="113"/>
      <c r="O28" s="113"/>
    </row>
    <row r="29" spans="1:15" x14ac:dyDescent="0.25">
      <c r="A29" s="91"/>
      <c r="B29" s="82"/>
      <c r="C29" s="124"/>
      <c r="D29" s="82"/>
      <c r="E29" s="82"/>
      <c r="F29" s="82"/>
      <c r="G29" s="82"/>
      <c r="H29" s="90"/>
      <c r="I29" s="90"/>
      <c r="J29" s="138"/>
      <c r="K29" s="218"/>
      <c r="M29" s="113"/>
      <c r="N29" s="113"/>
      <c r="O29" s="113"/>
    </row>
    <row r="30" spans="1:15" x14ac:dyDescent="0.25">
      <c r="A30" s="91">
        <v>46112</v>
      </c>
      <c r="B30" s="82" t="s">
        <v>296</v>
      </c>
      <c r="C30" s="124" t="s">
        <v>9</v>
      </c>
      <c r="D30" s="82">
        <v>820</v>
      </c>
      <c r="E30" s="82"/>
      <c r="F30" s="82"/>
      <c r="G30" s="82">
        <v>35.799999999999997</v>
      </c>
      <c r="H30" s="90">
        <v>189341</v>
      </c>
      <c r="I30" s="90" t="s">
        <v>304</v>
      </c>
      <c r="J30" s="138"/>
      <c r="K30" s="218"/>
      <c r="M30" s="113"/>
      <c r="N30" s="113"/>
      <c r="O30" s="113"/>
    </row>
    <row r="31" spans="1:15" x14ac:dyDescent="0.25">
      <c r="A31" s="91">
        <v>46118</v>
      </c>
      <c r="B31" s="227" t="s">
        <v>9</v>
      </c>
      <c r="C31" s="124" t="s">
        <v>300</v>
      </c>
      <c r="D31" s="82">
        <v>420</v>
      </c>
      <c r="E31" s="82"/>
      <c r="F31" s="82"/>
      <c r="G31" s="82">
        <v>36.19</v>
      </c>
      <c r="H31" s="123">
        <v>619080</v>
      </c>
      <c r="I31" s="90" t="s">
        <v>257</v>
      </c>
      <c r="J31" s="138"/>
      <c r="K31" s="218"/>
      <c r="M31" s="113"/>
      <c r="N31" s="113"/>
      <c r="O31" s="113"/>
    </row>
    <row r="32" spans="1:15" x14ac:dyDescent="0.25">
      <c r="A32" s="91">
        <v>46119</v>
      </c>
      <c r="B32" s="82" t="s">
        <v>300</v>
      </c>
      <c r="C32" s="124" t="s">
        <v>229</v>
      </c>
      <c r="D32" s="82">
        <v>150</v>
      </c>
      <c r="E32" s="82"/>
      <c r="F32" s="82"/>
      <c r="G32" s="82"/>
      <c r="H32" s="83" t="s">
        <v>66</v>
      </c>
      <c r="I32" s="90"/>
      <c r="J32" s="138"/>
      <c r="K32" s="218"/>
      <c r="M32" s="113"/>
      <c r="N32" s="113"/>
      <c r="O32" s="113"/>
    </row>
    <row r="33" spans="1:15" x14ac:dyDescent="0.25">
      <c r="A33" s="91">
        <v>46119</v>
      </c>
      <c r="B33" s="82" t="s">
        <v>229</v>
      </c>
      <c r="C33" s="124" t="s">
        <v>10</v>
      </c>
      <c r="D33" s="82">
        <v>10</v>
      </c>
      <c r="E33" s="82"/>
      <c r="F33" s="82"/>
      <c r="G33" s="82"/>
      <c r="H33" s="90">
        <v>1063787</v>
      </c>
      <c r="I33" s="90" t="s">
        <v>360</v>
      </c>
      <c r="J33" s="138"/>
      <c r="K33" s="218"/>
      <c r="M33" s="113"/>
      <c r="N33" s="113"/>
      <c r="O33" s="113"/>
    </row>
    <row r="34" spans="1:15" x14ac:dyDescent="0.25">
      <c r="A34" s="91">
        <v>46119</v>
      </c>
      <c r="B34" s="82" t="s">
        <v>10</v>
      </c>
      <c r="C34" s="124" t="s">
        <v>229</v>
      </c>
      <c r="D34" s="82">
        <v>10</v>
      </c>
      <c r="E34" s="82"/>
      <c r="F34" s="82"/>
      <c r="G34" s="82"/>
      <c r="H34" s="128" t="s">
        <v>66</v>
      </c>
      <c r="I34" s="90"/>
      <c r="J34" s="138"/>
      <c r="K34" s="218"/>
      <c r="M34" s="113"/>
      <c r="N34" s="113"/>
      <c r="O34" s="113"/>
    </row>
    <row r="35" spans="1:15" x14ac:dyDescent="0.25">
      <c r="A35" s="91">
        <v>46119</v>
      </c>
      <c r="B35" s="82" t="s">
        <v>229</v>
      </c>
      <c r="C35" s="124" t="s">
        <v>10</v>
      </c>
      <c r="D35" s="82">
        <v>10</v>
      </c>
      <c r="E35" s="82"/>
      <c r="F35" s="82"/>
      <c r="G35" s="82"/>
      <c r="H35" s="123">
        <v>1063710</v>
      </c>
      <c r="I35" s="90" t="s">
        <v>360</v>
      </c>
      <c r="J35" s="138"/>
      <c r="K35" s="218"/>
      <c r="M35" s="113"/>
      <c r="N35" s="113"/>
      <c r="O35" s="113"/>
    </row>
    <row r="36" spans="1:15" x14ac:dyDescent="0.25">
      <c r="A36" s="91">
        <v>46119</v>
      </c>
      <c r="B36" s="82" t="s">
        <v>10</v>
      </c>
      <c r="C36" s="82" t="s">
        <v>9</v>
      </c>
      <c r="D36" s="82">
        <v>500</v>
      </c>
      <c r="E36" s="82"/>
      <c r="F36" s="82"/>
      <c r="G36" s="82"/>
      <c r="H36" s="123">
        <v>1063826</v>
      </c>
      <c r="I36" s="90" t="s">
        <v>176</v>
      </c>
      <c r="J36" s="138"/>
      <c r="K36" s="218"/>
      <c r="M36" s="113"/>
      <c r="N36" s="113"/>
      <c r="O36" s="113"/>
    </row>
    <row r="37" spans="1:15" x14ac:dyDescent="0.25">
      <c r="A37" s="91">
        <v>46120</v>
      </c>
      <c r="B37" s="82" t="s">
        <v>9</v>
      </c>
      <c r="C37" s="124" t="s">
        <v>104</v>
      </c>
      <c r="D37" s="82">
        <v>320</v>
      </c>
      <c r="E37" s="82"/>
      <c r="F37" s="82"/>
      <c r="G37" s="82"/>
      <c r="H37" s="123">
        <v>765296</v>
      </c>
      <c r="I37" s="90"/>
      <c r="J37" s="138"/>
      <c r="K37" s="218">
        <v>907612.2</v>
      </c>
      <c r="M37" s="113"/>
      <c r="N37" s="113"/>
      <c r="O37" s="113"/>
    </row>
    <row r="38" spans="1:15" x14ac:dyDescent="0.25">
      <c r="A38" s="91">
        <v>46121</v>
      </c>
      <c r="B38" s="82" t="s">
        <v>104</v>
      </c>
      <c r="C38" s="124" t="s">
        <v>103</v>
      </c>
      <c r="D38" s="82">
        <v>230</v>
      </c>
      <c r="E38" s="82"/>
      <c r="F38" s="82"/>
      <c r="G38" s="82"/>
      <c r="H38" s="128" t="s">
        <v>66</v>
      </c>
      <c r="I38" s="90"/>
      <c r="J38" s="138"/>
      <c r="K38" s="218"/>
      <c r="M38" s="113"/>
      <c r="N38" s="113"/>
      <c r="O38" s="113"/>
    </row>
    <row r="39" spans="1:15" x14ac:dyDescent="0.25">
      <c r="A39" s="91">
        <v>46122</v>
      </c>
      <c r="B39" s="82" t="s">
        <v>103</v>
      </c>
      <c r="C39" s="124" t="s">
        <v>9</v>
      </c>
      <c r="D39" s="82">
        <v>200</v>
      </c>
      <c r="E39" s="82"/>
      <c r="F39" s="82"/>
      <c r="G39" s="82"/>
      <c r="H39" s="123">
        <v>182570</v>
      </c>
      <c r="I39" s="90" t="s">
        <v>259</v>
      </c>
      <c r="J39" s="138"/>
      <c r="K39" s="218"/>
      <c r="M39" s="113"/>
      <c r="N39" s="113"/>
      <c r="O39" s="113"/>
    </row>
    <row r="40" spans="1:15" x14ac:dyDescent="0.25">
      <c r="A40" s="91">
        <v>46139</v>
      </c>
      <c r="B40" s="227" t="s">
        <v>9</v>
      </c>
      <c r="C40" s="124" t="s">
        <v>300</v>
      </c>
      <c r="D40" s="82">
        <v>430</v>
      </c>
      <c r="E40" s="82"/>
      <c r="F40" s="82"/>
      <c r="G40" s="82">
        <v>35.340000000000003</v>
      </c>
      <c r="H40" s="123">
        <v>294654</v>
      </c>
      <c r="I40" s="90" t="s">
        <v>15</v>
      </c>
      <c r="J40" s="138"/>
      <c r="K40" s="218"/>
      <c r="M40" s="113"/>
      <c r="N40" s="113"/>
      <c r="O40" s="113"/>
    </row>
    <row r="41" spans="1:15" x14ac:dyDescent="0.25">
      <c r="A41" s="91">
        <v>46140</v>
      </c>
      <c r="B41" s="227" t="s">
        <v>300</v>
      </c>
      <c r="C41" s="82" t="s">
        <v>357</v>
      </c>
      <c r="D41" s="82">
        <v>10</v>
      </c>
      <c r="E41" s="82"/>
      <c r="F41" s="82"/>
      <c r="G41" s="82"/>
      <c r="H41" s="128" t="s">
        <v>66</v>
      </c>
      <c r="I41" s="90"/>
      <c r="J41" s="138"/>
      <c r="K41" s="218"/>
      <c r="M41" s="113"/>
      <c r="N41" s="113"/>
      <c r="O41" s="113"/>
    </row>
    <row r="42" spans="1:15" x14ac:dyDescent="0.25">
      <c r="A42" s="91">
        <v>46140</v>
      </c>
      <c r="B42" s="82" t="s">
        <v>357</v>
      </c>
      <c r="C42" s="124" t="s">
        <v>356</v>
      </c>
      <c r="D42" s="82">
        <v>990</v>
      </c>
      <c r="E42" s="82"/>
      <c r="F42" s="82"/>
      <c r="G42" s="82">
        <v>35.9</v>
      </c>
      <c r="H42" s="90">
        <v>153462</v>
      </c>
      <c r="I42" s="90" t="s">
        <v>357</v>
      </c>
      <c r="J42" s="138"/>
      <c r="K42" s="218"/>
      <c r="M42" s="113"/>
      <c r="N42" s="113"/>
      <c r="O42" s="113"/>
    </row>
    <row r="43" spans="1:15" x14ac:dyDescent="0.25">
      <c r="A43" s="91">
        <v>46141</v>
      </c>
      <c r="B43" s="82" t="s">
        <v>356</v>
      </c>
      <c r="C43" s="124" t="s">
        <v>340</v>
      </c>
      <c r="D43" s="82">
        <v>380</v>
      </c>
      <c r="E43" s="82"/>
      <c r="F43" s="82"/>
      <c r="G43" s="82"/>
      <c r="H43" s="90">
        <v>504954</v>
      </c>
      <c r="I43" s="90"/>
      <c r="J43" s="138"/>
      <c r="K43" s="218"/>
      <c r="M43" s="113"/>
      <c r="N43" s="113"/>
      <c r="O43" s="113"/>
    </row>
    <row r="44" spans="1:15" x14ac:dyDescent="0.25">
      <c r="A44" s="91">
        <v>46141</v>
      </c>
      <c r="B44" s="227" t="s">
        <v>340</v>
      </c>
      <c r="C44" s="82" t="s">
        <v>255</v>
      </c>
      <c r="D44" s="82">
        <v>150</v>
      </c>
      <c r="E44" s="82"/>
      <c r="F44" s="82"/>
      <c r="G44" s="82"/>
      <c r="H44" s="128" t="s">
        <v>66</v>
      </c>
      <c r="I44" s="90"/>
      <c r="J44" s="138"/>
      <c r="K44" s="218"/>
      <c r="M44" s="113"/>
      <c r="N44" s="113"/>
      <c r="O44" s="113"/>
    </row>
    <row r="45" spans="1:15" x14ac:dyDescent="0.25">
      <c r="A45" s="91">
        <v>46141</v>
      </c>
      <c r="B45" s="227" t="s">
        <v>255</v>
      </c>
      <c r="C45" s="82" t="s">
        <v>75</v>
      </c>
      <c r="D45" s="82">
        <v>450</v>
      </c>
      <c r="E45" s="82"/>
      <c r="F45" s="82"/>
      <c r="G45" s="82"/>
      <c r="H45" s="123" t="s">
        <v>15</v>
      </c>
      <c r="I45" s="90" t="s">
        <v>253</v>
      </c>
      <c r="J45" s="138"/>
      <c r="K45" s="218"/>
      <c r="M45" s="113"/>
      <c r="N45" s="113"/>
      <c r="O45" s="113"/>
    </row>
    <row r="46" spans="1:15" x14ac:dyDescent="0.25">
      <c r="A46" s="91">
        <v>46142</v>
      </c>
      <c r="B46" s="82" t="s">
        <v>75</v>
      </c>
      <c r="C46" s="124" t="s">
        <v>118</v>
      </c>
      <c r="D46" s="82">
        <v>300</v>
      </c>
      <c r="E46" s="82"/>
      <c r="F46" s="82"/>
      <c r="G46" s="82"/>
      <c r="H46" s="83" t="s">
        <v>66</v>
      </c>
      <c r="I46" s="90"/>
      <c r="J46" s="138"/>
      <c r="K46" s="218"/>
      <c r="M46" s="113"/>
      <c r="N46" s="113"/>
      <c r="O46" s="113"/>
    </row>
    <row r="47" spans="1:15" x14ac:dyDescent="0.25">
      <c r="A47" s="91"/>
      <c r="B47" s="82"/>
      <c r="C47" s="124"/>
      <c r="D47" s="151" t="s">
        <v>453</v>
      </c>
      <c r="E47" s="82"/>
      <c r="F47" s="82"/>
      <c r="G47" s="82"/>
      <c r="H47" s="83"/>
      <c r="I47" s="90"/>
      <c r="J47" s="138"/>
      <c r="K47" s="218"/>
      <c r="M47" s="113"/>
      <c r="N47" s="113"/>
      <c r="O47" s="113"/>
    </row>
    <row r="48" spans="1:15" x14ac:dyDescent="0.25">
      <c r="A48" s="5"/>
      <c r="B48" s="6"/>
      <c r="C48" s="6"/>
      <c r="D48" s="6"/>
      <c r="E48" s="6"/>
      <c r="F48" s="6"/>
      <c r="G48" s="6"/>
      <c r="H48" s="7"/>
      <c r="I48" s="7"/>
      <c r="J48" s="140">
        <f>SUM(J3:J47)</f>
        <v>0</v>
      </c>
      <c r="K48" s="218"/>
    </row>
    <row r="49" spans="2:11" x14ac:dyDescent="0.25">
      <c r="D49" s="17">
        <f>SUM(D3:D48)</f>
        <v>5380</v>
      </c>
      <c r="E49" s="175"/>
      <c r="F49" s="13"/>
      <c r="G49" s="13">
        <f>AVERAGE(G3:G47)</f>
        <v>35.807499999999997</v>
      </c>
      <c r="J49" s="139"/>
      <c r="K49" s="219">
        <f>SUM(K3:K48)</f>
        <v>907612.2</v>
      </c>
    </row>
    <row r="50" spans="2:11" x14ac:dyDescent="0.25">
      <c r="B50" s="11"/>
      <c r="D50" s="11"/>
      <c r="E50" s="11"/>
      <c r="F50" s="11"/>
      <c r="G50" s="11"/>
      <c r="K50" s="4"/>
    </row>
    <row r="51" spans="2:11" x14ac:dyDescent="0.25">
      <c r="B51">
        <v>-2064.02</v>
      </c>
      <c r="D51" s="11"/>
      <c r="E51" s="11"/>
      <c r="F51" s="11"/>
      <c r="G51" s="11"/>
      <c r="K51" s="4"/>
    </row>
    <row r="52" spans="2:11" x14ac:dyDescent="0.25">
      <c r="B52">
        <v>600</v>
      </c>
      <c r="C52" s="11" t="s">
        <v>12</v>
      </c>
      <c r="D52" s="11"/>
      <c r="E52" s="11"/>
      <c r="F52" s="11"/>
      <c r="G52" s="11"/>
      <c r="K52" s="4"/>
    </row>
    <row r="53" spans="2:11" x14ac:dyDescent="0.25">
      <c r="B53">
        <v>-600</v>
      </c>
      <c r="C53" s="11" t="s">
        <v>13</v>
      </c>
      <c r="D53" s="11"/>
      <c r="E53" s="11"/>
      <c r="F53" s="11"/>
      <c r="G53" s="11"/>
      <c r="K53" s="4"/>
    </row>
    <row r="54" spans="2:11" x14ac:dyDescent="0.25">
      <c r="B54">
        <v>795</v>
      </c>
      <c r="C54" s="11" t="s">
        <v>12</v>
      </c>
      <c r="D54" s="11"/>
      <c r="E54" s="11"/>
      <c r="F54" s="11"/>
      <c r="G54" s="11"/>
      <c r="K54" s="4"/>
    </row>
    <row r="55" spans="2:11" x14ac:dyDescent="0.25">
      <c r="B55">
        <v>-800</v>
      </c>
      <c r="C55" s="11" t="s">
        <v>13</v>
      </c>
      <c r="D55" s="11"/>
      <c r="E55" s="11"/>
      <c r="F55" s="11"/>
      <c r="G55" s="11"/>
      <c r="K55" s="4"/>
    </row>
    <row r="56" spans="2:11" x14ac:dyDescent="0.25">
      <c r="B56">
        <v>400</v>
      </c>
      <c r="C56" s="11" t="s">
        <v>12</v>
      </c>
      <c r="D56" s="11"/>
      <c r="E56" s="11"/>
      <c r="F56" s="11"/>
      <c r="G56" s="11"/>
      <c r="K56" s="4"/>
    </row>
    <row r="57" spans="2:11" x14ac:dyDescent="0.25">
      <c r="B57">
        <v>-400</v>
      </c>
      <c r="C57" s="11" t="s">
        <v>13</v>
      </c>
      <c r="D57" s="11"/>
      <c r="E57" s="11"/>
      <c r="F57" s="11"/>
      <c r="G57" s="11"/>
      <c r="K57" s="4"/>
    </row>
    <row r="58" spans="2:11" x14ac:dyDescent="0.25">
      <c r="B58">
        <v>795</v>
      </c>
      <c r="C58" s="11" t="s">
        <v>12</v>
      </c>
      <c r="D58" s="11"/>
      <c r="E58" s="11"/>
      <c r="F58" s="11"/>
      <c r="G58" s="11"/>
      <c r="K58" s="4"/>
    </row>
    <row r="59" spans="2:11" x14ac:dyDescent="0.25">
      <c r="B59">
        <v>-800</v>
      </c>
      <c r="C59" s="11" t="s">
        <v>13</v>
      </c>
      <c r="D59" s="11"/>
      <c r="E59" s="11"/>
      <c r="F59" s="11"/>
      <c r="G59" s="11"/>
      <c r="K59" s="4"/>
    </row>
    <row r="60" spans="2:11" x14ac:dyDescent="0.25">
      <c r="B60">
        <v>200</v>
      </c>
      <c r="C60" s="11" t="s">
        <v>12</v>
      </c>
      <c r="D60" s="11"/>
      <c r="E60" s="11"/>
      <c r="F60" s="11"/>
      <c r="G60" s="11"/>
      <c r="K60" s="4"/>
    </row>
    <row r="61" spans="2:11" x14ac:dyDescent="0.25">
      <c r="B61">
        <v>-200</v>
      </c>
      <c r="C61" s="11" t="s">
        <v>13</v>
      </c>
      <c r="D61" s="11"/>
      <c r="E61" s="11"/>
      <c r="F61" s="11"/>
      <c r="G61" s="11"/>
      <c r="K61" s="4"/>
    </row>
    <row r="62" spans="2:11" x14ac:dyDescent="0.25">
      <c r="B62">
        <v>760</v>
      </c>
      <c r="C62" s="11" t="s">
        <v>12</v>
      </c>
      <c r="D62" s="11">
        <v>44123</v>
      </c>
      <c r="E62" s="11"/>
      <c r="F62" s="11"/>
      <c r="G62" s="11"/>
      <c r="K62" s="4"/>
    </row>
    <row r="63" spans="2:11" x14ac:dyDescent="0.25">
      <c r="B63">
        <v>-700</v>
      </c>
      <c r="C63" s="11" t="s">
        <v>13</v>
      </c>
      <c r="D63" s="11">
        <v>44123</v>
      </c>
      <c r="E63" s="11"/>
      <c r="F63" s="11"/>
      <c r="G63" s="11"/>
      <c r="K63" s="4"/>
    </row>
    <row r="64" spans="2:11" x14ac:dyDescent="0.25">
      <c r="B64">
        <v>310</v>
      </c>
      <c r="C64" s="11" t="s">
        <v>74</v>
      </c>
      <c r="D64" s="11">
        <v>44125</v>
      </c>
      <c r="E64" s="11"/>
      <c r="F64" s="11"/>
      <c r="G64" s="11"/>
      <c r="K64" s="4"/>
    </row>
    <row r="65" spans="2:11" x14ac:dyDescent="0.25">
      <c r="B65">
        <v>-300</v>
      </c>
      <c r="C65" s="11" t="s">
        <v>13</v>
      </c>
      <c r="D65" s="11">
        <v>44125</v>
      </c>
      <c r="E65" s="11"/>
      <c r="F65" s="11"/>
      <c r="G65" s="11"/>
      <c r="K65" s="4"/>
    </row>
    <row r="66" spans="2:11" x14ac:dyDescent="0.25">
      <c r="B66">
        <v>200</v>
      </c>
      <c r="C66" s="11" t="s">
        <v>12</v>
      </c>
      <c r="D66" s="11"/>
      <c r="E66" s="11"/>
      <c r="F66" s="11"/>
      <c r="G66" s="11"/>
      <c r="K66" s="4"/>
    </row>
    <row r="67" spans="2:11" x14ac:dyDescent="0.25">
      <c r="B67">
        <v>-200</v>
      </c>
      <c r="C67" s="11" t="s">
        <v>13</v>
      </c>
      <c r="D67" s="11"/>
      <c r="E67" s="11"/>
      <c r="F67" s="11"/>
      <c r="G67" s="11"/>
      <c r="K67" s="4"/>
    </row>
    <row r="68" spans="2:11" x14ac:dyDescent="0.25">
      <c r="B68">
        <v>200</v>
      </c>
      <c r="C68" s="11" t="s">
        <v>12</v>
      </c>
      <c r="D68" s="11">
        <v>44139</v>
      </c>
      <c r="E68" s="11"/>
      <c r="F68" s="11"/>
      <c r="G68" s="11"/>
      <c r="K68" s="4"/>
    </row>
    <row r="69" spans="2:11" x14ac:dyDescent="0.25">
      <c r="B69">
        <v>930</v>
      </c>
      <c r="C69" s="11" t="s">
        <v>12</v>
      </c>
      <c r="D69" s="11"/>
      <c r="E69" s="11"/>
      <c r="F69" s="11"/>
      <c r="G69" s="11"/>
      <c r="K69" s="4"/>
    </row>
    <row r="70" spans="2:11" x14ac:dyDescent="0.25">
      <c r="B70">
        <v>-1200</v>
      </c>
      <c r="C70" s="11" t="s">
        <v>13</v>
      </c>
      <c r="D70" s="11"/>
      <c r="E70" s="11"/>
      <c r="F70" s="11"/>
      <c r="G70" s="11"/>
      <c r="K70" s="4"/>
    </row>
    <row r="71" spans="2:11" x14ac:dyDescent="0.25">
      <c r="B71">
        <v>680</v>
      </c>
      <c r="C71" s="11" t="s">
        <v>12</v>
      </c>
      <c r="D71" s="11"/>
      <c r="E71" s="11"/>
      <c r="F71" s="11"/>
      <c r="G71" s="11"/>
      <c r="K71" s="4"/>
    </row>
    <row r="72" spans="2:11" x14ac:dyDescent="0.25">
      <c r="B72">
        <v>-700</v>
      </c>
      <c r="C72" s="11" t="s">
        <v>13</v>
      </c>
      <c r="D72" s="11">
        <v>44166</v>
      </c>
      <c r="E72" s="11"/>
      <c r="F72" s="11"/>
      <c r="G72" s="11"/>
      <c r="K72" s="4"/>
    </row>
    <row r="73" spans="2:11" x14ac:dyDescent="0.25">
      <c r="B73">
        <v>695</v>
      </c>
      <c r="C73" s="11" t="s">
        <v>12</v>
      </c>
      <c r="D73" s="11">
        <v>44182</v>
      </c>
      <c r="E73" s="11"/>
      <c r="F73" s="11"/>
      <c r="G73" s="11"/>
      <c r="K73" s="4"/>
    </row>
    <row r="74" spans="2:11" x14ac:dyDescent="0.25">
      <c r="B74">
        <v>-700</v>
      </c>
      <c r="C74" s="11" t="s">
        <v>13</v>
      </c>
      <c r="D74" s="11"/>
      <c r="E74" s="11"/>
      <c r="F74" s="11"/>
      <c r="G74" s="11"/>
      <c r="K74" s="4"/>
    </row>
    <row r="75" spans="2:11" x14ac:dyDescent="0.25">
      <c r="B75">
        <v>200</v>
      </c>
      <c r="C75" s="11" t="s">
        <v>12</v>
      </c>
      <c r="D75" s="11"/>
      <c r="E75" s="11"/>
      <c r="F75" s="11"/>
      <c r="G75" s="11"/>
      <c r="K75" s="4"/>
    </row>
    <row r="76" spans="2:11" x14ac:dyDescent="0.25">
      <c r="B76">
        <v>-200</v>
      </c>
      <c r="C76" s="11" t="s">
        <v>13</v>
      </c>
      <c r="D76" s="11"/>
      <c r="E76" s="11"/>
      <c r="F76" s="11"/>
      <c r="G76" s="11"/>
      <c r="K76" s="4"/>
    </row>
    <row r="77" spans="2:11" x14ac:dyDescent="0.25">
      <c r="B77">
        <v>500</v>
      </c>
      <c r="C77" s="11" t="s">
        <v>12</v>
      </c>
      <c r="D77" s="11"/>
      <c r="E77" s="11"/>
      <c r="F77" s="11"/>
      <c r="G77" s="11"/>
      <c r="K77" s="4"/>
    </row>
    <row r="78" spans="2:11" x14ac:dyDescent="0.25">
      <c r="B78">
        <v>-500</v>
      </c>
      <c r="C78" s="11" t="s">
        <v>13</v>
      </c>
      <c r="D78" s="11"/>
      <c r="E78" s="11"/>
      <c r="F78" s="11"/>
      <c r="G78" s="11"/>
      <c r="K78" s="4"/>
    </row>
    <row r="79" spans="2:11" x14ac:dyDescent="0.25">
      <c r="B79">
        <v>500</v>
      </c>
      <c r="C79" s="11" t="s">
        <v>12</v>
      </c>
      <c r="D79" s="11">
        <v>44214</v>
      </c>
      <c r="E79" s="11"/>
      <c r="F79" s="11"/>
      <c r="G79" s="11"/>
      <c r="K79" s="4"/>
    </row>
    <row r="80" spans="2:11" x14ac:dyDescent="0.25">
      <c r="B80">
        <v>-500</v>
      </c>
      <c r="C80" s="11" t="s">
        <v>13</v>
      </c>
      <c r="D80" s="11"/>
      <c r="E80" s="11"/>
      <c r="F80" s="11"/>
      <c r="G80" s="11"/>
      <c r="K80" s="4"/>
    </row>
    <row r="81" spans="2:11" x14ac:dyDescent="0.25">
      <c r="B81">
        <v>500</v>
      </c>
      <c r="C81" s="11" t="s">
        <v>74</v>
      </c>
      <c r="D81" s="11">
        <v>44219</v>
      </c>
      <c r="E81" s="11"/>
      <c r="F81" s="11"/>
      <c r="G81" s="11"/>
      <c r="K81" s="4"/>
    </row>
    <row r="82" spans="2:11" x14ac:dyDescent="0.25">
      <c r="B82">
        <v>-500</v>
      </c>
      <c r="C82" s="11" t="s">
        <v>13</v>
      </c>
      <c r="D82" s="11"/>
      <c r="E82" s="11"/>
      <c r="F82" s="11"/>
      <c r="G82" s="11"/>
      <c r="K82" s="4"/>
    </row>
    <row r="83" spans="2:11" x14ac:dyDescent="0.25">
      <c r="B83">
        <v>500</v>
      </c>
      <c r="C83" s="11" t="s">
        <v>12</v>
      </c>
      <c r="D83" s="11"/>
      <c r="E83" s="11"/>
      <c r="F83" s="11"/>
      <c r="G83" s="11"/>
      <c r="K83" s="4"/>
    </row>
    <row r="84" spans="2:11" x14ac:dyDescent="0.25">
      <c r="B84">
        <v>-500</v>
      </c>
      <c r="C84" s="11" t="s">
        <v>13</v>
      </c>
      <c r="D84" s="11"/>
      <c r="E84" s="11"/>
      <c r="F84" s="11"/>
      <c r="G84" s="11"/>
      <c r="K84" s="4"/>
    </row>
    <row r="85" spans="2:11" x14ac:dyDescent="0.25">
      <c r="B85">
        <v>300</v>
      </c>
      <c r="C85" s="11" t="s">
        <v>148</v>
      </c>
      <c r="D85" s="11"/>
      <c r="E85" s="11"/>
      <c r="F85" s="11"/>
      <c r="G85" s="11"/>
      <c r="K85" s="4"/>
    </row>
    <row r="86" spans="2:11" x14ac:dyDescent="0.25">
      <c r="B86">
        <v>200</v>
      </c>
      <c r="C86" s="11" t="s">
        <v>12</v>
      </c>
      <c r="D86" s="11"/>
      <c r="E86" s="11"/>
      <c r="F86" s="11"/>
      <c r="G86" s="11"/>
      <c r="K86" s="4"/>
    </row>
    <row r="87" spans="2:11" x14ac:dyDescent="0.25">
      <c r="B87">
        <v>-500</v>
      </c>
      <c r="C87" s="11"/>
      <c r="D87" s="11"/>
      <c r="E87" s="11"/>
      <c r="F87" s="11"/>
      <c r="G87" s="11"/>
      <c r="K87" s="4"/>
    </row>
    <row r="88" spans="2:11" x14ac:dyDescent="0.25">
      <c r="B88">
        <v>500</v>
      </c>
      <c r="C88" s="11" t="s">
        <v>12</v>
      </c>
      <c r="D88" s="11">
        <v>44257</v>
      </c>
      <c r="E88" s="11"/>
      <c r="F88" s="11"/>
      <c r="G88" s="11"/>
      <c r="K88" s="4"/>
    </row>
    <row r="89" spans="2:11" x14ac:dyDescent="0.25">
      <c r="B89">
        <v>-500</v>
      </c>
      <c r="C89" s="11" t="s">
        <v>93</v>
      </c>
      <c r="D89" s="11">
        <v>44257</v>
      </c>
      <c r="E89" s="11"/>
      <c r="F89" s="11"/>
      <c r="G89" s="11"/>
      <c r="K89" s="4"/>
    </row>
    <row r="90" spans="2:11" x14ac:dyDescent="0.25">
      <c r="B90">
        <v>200</v>
      </c>
      <c r="C90" s="11" t="s">
        <v>12</v>
      </c>
      <c r="D90" s="11">
        <v>44285</v>
      </c>
      <c r="E90" s="11"/>
      <c r="F90" s="11"/>
      <c r="G90" s="11"/>
      <c r="K90" s="4"/>
    </row>
    <row r="91" spans="2:11" x14ac:dyDescent="0.25">
      <c r="B91">
        <v>-200</v>
      </c>
      <c r="C91" s="11" t="s">
        <v>13</v>
      </c>
      <c r="D91" s="11"/>
      <c r="E91" s="11"/>
      <c r="F91" s="11"/>
      <c r="G91" s="11"/>
      <c r="K91" s="4"/>
    </row>
    <row r="92" spans="2:11" x14ac:dyDescent="0.25">
      <c r="B92">
        <v>300</v>
      </c>
      <c r="C92" s="11" t="s">
        <v>94</v>
      </c>
      <c r="D92" s="11">
        <v>44295</v>
      </c>
      <c r="E92" s="11"/>
      <c r="F92" s="11"/>
      <c r="G92" s="11"/>
      <c r="K92" s="4"/>
    </row>
    <row r="93" spans="2:11" x14ac:dyDescent="0.25">
      <c r="B93">
        <v>-300</v>
      </c>
      <c r="C93" s="11" t="s">
        <v>13</v>
      </c>
      <c r="D93" s="11"/>
      <c r="E93" s="11"/>
      <c r="F93" s="11"/>
      <c r="G93" s="11"/>
      <c r="K93" s="4"/>
    </row>
    <row r="94" spans="2:11" x14ac:dyDescent="0.25">
      <c r="B94">
        <v>1200</v>
      </c>
      <c r="C94" s="11" t="s">
        <v>74</v>
      </c>
      <c r="D94" s="11">
        <v>44307</v>
      </c>
      <c r="E94" s="11"/>
      <c r="F94" s="11"/>
      <c r="G94" s="11"/>
      <c r="K94" s="4"/>
    </row>
    <row r="95" spans="2:11" x14ac:dyDescent="0.25">
      <c r="B95">
        <v>-1200</v>
      </c>
      <c r="C95" s="11" t="s">
        <v>13</v>
      </c>
      <c r="D95" s="11">
        <v>44307</v>
      </c>
      <c r="E95" s="11"/>
      <c r="F95" s="11"/>
      <c r="G95" s="11"/>
      <c r="K95" s="4"/>
    </row>
    <row r="96" spans="2:11" x14ac:dyDescent="0.25">
      <c r="B96">
        <v>200</v>
      </c>
      <c r="C96" s="11" t="s">
        <v>12</v>
      </c>
      <c r="D96" s="11">
        <v>44312</v>
      </c>
      <c r="E96" s="11"/>
      <c r="F96" s="11"/>
      <c r="G96" s="11"/>
      <c r="K96" s="4"/>
    </row>
    <row r="97" spans="2:11" x14ac:dyDescent="0.25">
      <c r="B97">
        <v>-200</v>
      </c>
      <c r="C97" s="11" t="s">
        <v>13</v>
      </c>
      <c r="D97" s="11">
        <v>44312</v>
      </c>
      <c r="E97" s="11"/>
      <c r="F97" s="11"/>
      <c r="G97" s="11"/>
      <c r="K97" s="4"/>
    </row>
    <row r="98" spans="2:11" x14ac:dyDescent="0.25">
      <c r="B98">
        <v>915</v>
      </c>
      <c r="C98" s="11" t="s">
        <v>12</v>
      </c>
      <c r="D98" s="11">
        <v>44320</v>
      </c>
      <c r="E98" s="11"/>
      <c r="F98" s="11"/>
      <c r="G98" s="11"/>
      <c r="K98" s="4"/>
    </row>
    <row r="99" spans="2:11" x14ac:dyDescent="0.25">
      <c r="B99">
        <v>-900</v>
      </c>
      <c r="C99" s="11" t="s">
        <v>13</v>
      </c>
      <c r="D99" s="11"/>
      <c r="E99" s="11"/>
      <c r="F99" s="11"/>
      <c r="G99" s="11"/>
      <c r="K99" s="4"/>
    </row>
    <row r="100" spans="2:11" x14ac:dyDescent="0.25">
      <c r="B100">
        <v>200</v>
      </c>
      <c r="C100" s="11" t="s">
        <v>12</v>
      </c>
      <c r="D100" s="11">
        <v>44327</v>
      </c>
      <c r="E100" s="11"/>
      <c r="F100" s="11"/>
      <c r="G100" s="11"/>
      <c r="K100" s="4"/>
    </row>
    <row r="101" spans="2:11" x14ac:dyDescent="0.25">
      <c r="B101">
        <v>-200</v>
      </c>
      <c r="C101" s="11" t="s">
        <v>13</v>
      </c>
      <c r="D101" s="11">
        <v>44327</v>
      </c>
      <c r="E101" s="11"/>
      <c r="F101" s="11"/>
      <c r="G101" s="11"/>
      <c r="K101" s="4"/>
    </row>
    <row r="102" spans="2:11" x14ac:dyDescent="0.25">
      <c r="B102">
        <v>200</v>
      </c>
      <c r="C102" s="11" t="s">
        <v>12</v>
      </c>
      <c r="D102" s="11">
        <v>44333</v>
      </c>
      <c r="E102" s="11"/>
      <c r="F102" s="11"/>
      <c r="G102" s="11"/>
      <c r="K102" s="4"/>
    </row>
    <row r="103" spans="2:11" x14ac:dyDescent="0.25">
      <c r="B103">
        <v>-200</v>
      </c>
      <c r="C103" s="11" t="s">
        <v>13</v>
      </c>
      <c r="D103" s="11">
        <v>44333</v>
      </c>
      <c r="E103" s="11"/>
      <c r="F103" s="11"/>
      <c r="G103" s="11"/>
      <c r="K103" s="4"/>
    </row>
    <row r="104" spans="2:11" x14ac:dyDescent="0.25">
      <c r="B104">
        <v>200</v>
      </c>
      <c r="C104" s="11" t="s">
        <v>12</v>
      </c>
      <c r="D104" s="11">
        <v>44338</v>
      </c>
      <c r="E104" s="11"/>
      <c r="F104" s="11"/>
      <c r="G104" s="11"/>
      <c r="K104" s="4"/>
    </row>
    <row r="105" spans="2:11" x14ac:dyDescent="0.25">
      <c r="B105">
        <v>-200</v>
      </c>
      <c r="C105" s="11" t="s">
        <v>13</v>
      </c>
      <c r="D105" s="11">
        <v>44338</v>
      </c>
      <c r="E105" s="11"/>
      <c r="F105" s="11"/>
      <c r="G105" s="11"/>
      <c r="K105" s="4"/>
    </row>
    <row r="106" spans="2:11" x14ac:dyDescent="0.25">
      <c r="B106">
        <v>200</v>
      </c>
      <c r="C106" s="11" t="s">
        <v>12</v>
      </c>
      <c r="D106" s="11">
        <v>44354</v>
      </c>
      <c r="E106" s="11"/>
      <c r="F106" s="11"/>
      <c r="G106" s="11"/>
      <c r="K106" s="4"/>
    </row>
    <row r="107" spans="2:11" x14ac:dyDescent="0.25">
      <c r="B107">
        <v>-200</v>
      </c>
      <c r="C107" s="11" t="s">
        <v>13</v>
      </c>
      <c r="D107" s="11">
        <v>44354</v>
      </c>
      <c r="E107" s="11"/>
      <c r="F107" s="11"/>
      <c r="G107" s="11"/>
      <c r="K107" s="4"/>
    </row>
    <row r="108" spans="2:11" x14ac:dyDescent="0.25">
      <c r="B108">
        <v>400</v>
      </c>
      <c r="C108" s="11" t="s">
        <v>12</v>
      </c>
      <c r="D108" s="11">
        <v>44364</v>
      </c>
      <c r="E108" s="11"/>
      <c r="F108" s="11"/>
      <c r="G108" s="11"/>
      <c r="K108" s="4"/>
    </row>
    <row r="109" spans="2:11" x14ac:dyDescent="0.25">
      <c r="B109">
        <v>-400</v>
      </c>
      <c r="C109" s="11" t="s">
        <v>13</v>
      </c>
      <c r="D109" s="11">
        <v>44364</v>
      </c>
      <c r="E109" s="11"/>
      <c r="F109" s="11"/>
      <c r="G109" s="11"/>
      <c r="K109" s="4"/>
    </row>
    <row r="110" spans="2:11" x14ac:dyDescent="0.25">
      <c r="B110">
        <v>500</v>
      </c>
      <c r="C110" s="11" t="s">
        <v>12</v>
      </c>
      <c r="D110" s="11">
        <v>44369</v>
      </c>
      <c r="E110" s="11"/>
      <c r="F110" s="11"/>
      <c r="G110" s="11"/>
      <c r="K110" s="4"/>
    </row>
    <row r="111" spans="2:11" x14ac:dyDescent="0.25">
      <c r="B111">
        <v>-500</v>
      </c>
      <c r="C111" s="11" t="s">
        <v>13</v>
      </c>
      <c r="D111" s="11">
        <v>44369</v>
      </c>
      <c r="E111" s="11"/>
      <c r="F111" s="11"/>
      <c r="G111" s="11"/>
      <c r="K111" s="4"/>
    </row>
    <row r="112" spans="2:11" x14ac:dyDescent="0.25">
      <c r="B112">
        <v>390</v>
      </c>
      <c r="C112" s="11" t="s">
        <v>12</v>
      </c>
      <c r="D112" s="11">
        <v>44386</v>
      </c>
      <c r="E112" s="11"/>
      <c r="F112" s="11"/>
      <c r="G112" s="11"/>
      <c r="K112" s="4"/>
    </row>
    <row r="113" spans="2:11" x14ac:dyDescent="0.25">
      <c r="B113">
        <v>-400</v>
      </c>
      <c r="C113" s="11" t="s">
        <v>13</v>
      </c>
      <c r="D113" s="11"/>
      <c r="E113" s="11"/>
      <c r="F113" s="11"/>
      <c r="G113" s="11"/>
      <c r="K113" s="4"/>
    </row>
    <row r="114" spans="2:11" x14ac:dyDescent="0.25">
      <c r="B114">
        <v>1860</v>
      </c>
      <c r="C114" s="11" t="s">
        <v>12</v>
      </c>
      <c r="D114" s="11">
        <v>44396</v>
      </c>
      <c r="E114" s="11"/>
      <c r="F114" s="11"/>
      <c r="G114" s="11"/>
      <c r="K114" s="4"/>
    </row>
    <row r="115" spans="2:11" x14ac:dyDescent="0.25">
      <c r="B115">
        <v>-1800</v>
      </c>
      <c r="C115" s="11" t="s">
        <v>13</v>
      </c>
      <c r="D115" s="11"/>
      <c r="E115" s="11"/>
      <c r="F115" s="11"/>
      <c r="G115" s="11"/>
      <c r="K115" s="4"/>
    </row>
    <row r="116" spans="2:11" x14ac:dyDescent="0.25">
      <c r="B116">
        <v>820</v>
      </c>
      <c r="C116" s="11" t="s">
        <v>12</v>
      </c>
      <c r="D116" s="11"/>
      <c r="E116" s="11"/>
      <c r="F116" s="11"/>
      <c r="G116" s="11"/>
      <c r="K116" s="4"/>
    </row>
    <row r="117" spans="2:11" x14ac:dyDescent="0.25">
      <c r="B117">
        <v>-800</v>
      </c>
      <c r="C117" s="11" t="s">
        <v>13</v>
      </c>
      <c r="D117" s="11">
        <v>44404</v>
      </c>
      <c r="E117" s="11"/>
      <c r="F117" s="11"/>
      <c r="G117" s="11"/>
      <c r="K117" s="4"/>
    </row>
    <row r="118" spans="2:11" x14ac:dyDescent="0.25">
      <c r="B118">
        <v>800</v>
      </c>
      <c r="C118" s="11" t="s">
        <v>12</v>
      </c>
      <c r="D118" s="11">
        <v>44419</v>
      </c>
      <c r="E118" s="11"/>
      <c r="F118" s="11"/>
      <c r="G118" s="11"/>
      <c r="K118" s="4"/>
    </row>
    <row r="119" spans="2:11" x14ac:dyDescent="0.25">
      <c r="B119">
        <v>-800</v>
      </c>
      <c r="C119" s="11" t="s">
        <v>13</v>
      </c>
      <c r="D119" s="11">
        <v>44419</v>
      </c>
      <c r="E119" s="11"/>
      <c r="F119" s="11"/>
      <c r="G119" s="11"/>
      <c r="K119" s="4"/>
    </row>
    <row r="120" spans="2:11" x14ac:dyDescent="0.25">
      <c r="B120">
        <v>620</v>
      </c>
      <c r="C120" s="11" t="s">
        <v>12</v>
      </c>
      <c r="D120" s="11">
        <v>44428</v>
      </c>
      <c r="E120" s="11"/>
      <c r="F120" s="11"/>
      <c r="G120" s="11"/>
      <c r="K120" s="4"/>
    </row>
    <row r="121" spans="2:11" x14ac:dyDescent="0.25">
      <c r="B121">
        <v>-600</v>
      </c>
      <c r="C121" s="11" t="s">
        <v>13</v>
      </c>
      <c r="D121" s="11">
        <v>44428</v>
      </c>
      <c r="E121" s="11"/>
      <c r="F121" s="11"/>
      <c r="G121" s="11"/>
      <c r="K121" s="4"/>
    </row>
    <row r="122" spans="2:11" x14ac:dyDescent="0.25">
      <c r="B122">
        <v>200</v>
      </c>
      <c r="C122" s="11" t="s">
        <v>12</v>
      </c>
      <c r="D122" s="11"/>
      <c r="E122" s="11"/>
      <c r="F122" s="11"/>
      <c r="G122" s="11"/>
      <c r="K122" s="4"/>
    </row>
    <row r="123" spans="2:11" x14ac:dyDescent="0.25">
      <c r="B123">
        <v>220</v>
      </c>
      <c r="C123" s="11" t="s">
        <v>12</v>
      </c>
      <c r="D123" s="11">
        <v>44453</v>
      </c>
      <c r="E123" s="11"/>
      <c r="F123" s="11"/>
      <c r="G123" s="11"/>
      <c r="K123" s="4"/>
    </row>
    <row r="124" spans="2:11" x14ac:dyDescent="0.25">
      <c r="B124">
        <v>-500</v>
      </c>
      <c r="C124" s="11" t="s">
        <v>13</v>
      </c>
      <c r="D124" s="11">
        <v>44453</v>
      </c>
      <c r="E124" s="11"/>
      <c r="F124" s="11"/>
      <c r="G124" s="11"/>
      <c r="K124" s="4"/>
    </row>
    <row r="125" spans="2:11" x14ac:dyDescent="0.25">
      <c r="B125">
        <v>220</v>
      </c>
      <c r="C125" s="11" t="s">
        <v>12</v>
      </c>
      <c r="D125" s="11">
        <v>44460</v>
      </c>
      <c r="E125" s="11"/>
      <c r="F125" s="11"/>
      <c r="G125" s="11"/>
      <c r="K125" s="4"/>
    </row>
    <row r="126" spans="2:11" x14ac:dyDescent="0.25">
      <c r="B126">
        <v>220</v>
      </c>
      <c r="C126" s="11" t="s">
        <v>12</v>
      </c>
      <c r="D126" s="11">
        <v>44467</v>
      </c>
      <c r="E126" s="11"/>
      <c r="F126" s="11"/>
      <c r="G126" s="11"/>
      <c r="K126" s="4"/>
    </row>
    <row r="127" spans="2:11" x14ac:dyDescent="0.25">
      <c r="B127">
        <v>-400</v>
      </c>
      <c r="C127" s="11" t="s">
        <v>13</v>
      </c>
      <c r="D127" s="11">
        <v>44467</v>
      </c>
      <c r="E127" s="11"/>
      <c r="F127" s="11"/>
      <c r="G127" s="11"/>
      <c r="K127" s="4"/>
    </row>
    <row r="128" spans="2:11" x14ac:dyDescent="0.25">
      <c r="B128">
        <v>220</v>
      </c>
      <c r="C128" s="11" t="s">
        <v>12</v>
      </c>
      <c r="D128" s="11">
        <v>44478</v>
      </c>
      <c r="E128" s="11"/>
      <c r="F128" s="11"/>
      <c r="G128" s="11"/>
      <c r="K128" s="4"/>
    </row>
    <row r="129" spans="2:11" x14ac:dyDescent="0.25">
      <c r="B129">
        <v>-200</v>
      </c>
      <c r="C129" s="11" t="s">
        <v>13</v>
      </c>
      <c r="D129" s="11">
        <v>44478</v>
      </c>
      <c r="E129" s="11"/>
      <c r="F129" s="11"/>
      <c r="G129" s="11"/>
      <c r="K129" s="4"/>
    </row>
    <row r="130" spans="2:11" x14ac:dyDescent="0.25">
      <c r="B130">
        <v>440</v>
      </c>
      <c r="C130" s="11" t="s">
        <v>12</v>
      </c>
      <c r="D130" s="11">
        <v>44494</v>
      </c>
      <c r="E130" s="11"/>
      <c r="F130" s="11"/>
      <c r="G130" s="11"/>
      <c r="K130" s="4"/>
    </row>
    <row r="131" spans="2:11" x14ac:dyDescent="0.25">
      <c r="B131">
        <v>-500</v>
      </c>
      <c r="C131" s="11" t="s">
        <v>13</v>
      </c>
      <c r="D131" s="11">
        <v>44494</v>
      </c>
      <c r="E131" s="11"/>
      <c r="F131" s="11"/>
      <c r="G131" s="11"/>
      <c r="K131" s="4"/>
    </row>
    <row r="132" spans="2:11" x14ac:dyDescent="0.25">
      <c r="B132">
        <v>220</v>
      </c>
      <c r="C132" s="11" t="s">
        <v>12</v>
      </c>
      <c r="D132" s="11">
        <v>44511</v>
      </c>
      <c r="E132" s="11"/>
      <c r="F132" s="11"/>
      <c r="G132" s="11"/>
      <c r="K132" s="4"/>
    </row>
    <row r="133" spans="2:11" x14ac:dyDescent="0.25">
      <c r="B133">
        <v>-200</v>
      </c>
      <c r="C133" s="11" t="s">
        <v>13</v>
      </c>
      <c r="D133" s="11">
        <v>44511</v>
      </c>
      <c r="E133" s="11"/>
      <c r="F133" s="11"/>
      <c r="G133" s="11"/>
      <c r="K133" s="4"/>
    </row>
    <row r="134" spans="2:11" x14ac:dyDescent="0.25">
      <c r="B134">
        <v>220</v>
      </c>
      <c r="C134" s="11" t="s">
        <v>12</v>
      </c>
      <c r="D134" s="11">
        <v>44517</v>
      </c>
      <c r="E134" s="11"/>
      <c r="F134" s="11"/>
      <c r="G134" s="11"/>
      <c r="K134" s="4"/>
    </row>
    <row r="135" spans="2:11" x14ac:dyDescent="0.25">
      <c r="B135">
        <v>-200</v>
      </c>
      <c r="C135" s="11" t="s">
        <v>13</v>
      </c>
      <c r="D135" s="11"/>
      <c r="E135" s="11"/>
      <c r="F135" s="11"/>
      <c r="G135" s="11"/>
      <c r="K135" s="4"/>
    </row>
    <row r="136" spans="2:11" x14ac:dyDescent="0.25">
      <c r="B136">
        <v>620</v>
      </c>
      <c r="C136" s="11" t="s">
        <v>12</v>
      </c>
      <c r="D136" s="11">
        <v>44524</v>
      </c>
      <c r="E136" s="11"/>
      <c r="F136" s="11"/>
      <c r="G136" s="11"/>
      <c r="K136" s="4"/>
    </row>
    <row r="137" spans="2:11" x14ac:dyDescent="0.25">
      <c r="B137">
        <v>-600</v>
      </c>
      <c r="C137" s="11" t="s">
        <v>13</v>
      </c>
      <c r="D137" s="11">
        <v>44524</v>
      </c>
      <c r="E137" s="11"/>
      <c r="F137" s="11"/>
      <c r="G137" s="11"/>
      <c r="K137" s="4"/>
    </row>
    <row r="138" spans="2:11" x14ac:dyDescent="0.25">
      <c r="B138">
        <v>1900</v>
      </c>
      <c r="C138" s="11" t="s">
        <v>12</v>
      </c>
      <c r="D138" s="11">
        <v>44529</v>
      </c>
      <c r="E138" s="11"/>
      <c r="F138" s="11"/>
      <c r="G138" s="11"/>
      <c r="K138" s="4"/>
    </row>
    <row r="139" spans="2:11" x14ac:dyDescent="0.25">
      <c r="B139">
        <v>-1900</v>
      </c>
      <c r="C139" s="11"/>
      <c r="D139" s="11"/>
      <c r="E139" s="11"/>
      <c r="F139" s="11"/>
      <c r="G139" s="11"/>
      <c r="K139" s="4"/>
    </row>
    <row r="140" spans="2:11" x14ac:dyDescent="0.25">
      <c r="B140">
        <v>520</v>
      </c>
      <c r="C140" s="11" t="s">
        <v>74</v>
      </c>
      <c r="D140" s="11"/>
      <c r="E140" s="11"/>
      <c r="F140" s="11"/>
      <c r="G140" s="11"/>
      <c r="K140" s="4"/>
    </row>
    <row r="141" spans="2:11" x14ac:dyDescent="0.25">
      <c r="B141">
        <v>-500</v>
      </c>
      <c r="C141" s="11" t="s">
        <v>13</v>
      </c>
      <c r="D141" s="11"/>
      <c r="E141" s="11"/>
      <c r="F141" s="11"/>
      <c r="G141" s="11"/>
      <c r="K141" s="4"/>
    </row>
    <row r="142" spans="2:11" x14ac:dyDescent="0.25">
      <c r="B142">
        <v>520</v>
      </c>
      <c r="C142" s="11" t="s">
        <v>12</v>
      </c>
      <c r="D142" s="11">
        <v>44547</v>
      </c>
      <c r="E142" s="11"/>
      <c r="F142" s="11"/>
      <c r="G142" s="11"/>
      <c r="K142" s="4"/>
    </row>
    <row r="143" spans="2:11" x14ac:dyDescent="0.25">
      <c r="B143">
        <v>700</v>
      </c>
      <c r="C143" s="11" t="s">
        <v>141</v>
      </c>
      <c r="D143" s="11">
        <v>44547</v>
      </c>
      <c r="E143" s="11"/>
      <c r="F143" s="11"/>
      <c r="G143" s="11"/>
      <c r="K143" s="4"/>
    </row>
    <row r="144" spans="2:11" x14ac:dyDescent="0.25">
      <c r="B144">
        <v>-1300</v>
      </c>
      <c r="C144" s="11" t="s">
        <v>13</v>
      </c>
      <c r="D144" s="11">
        <v>44547</v>
      </c>
      <c r="E144" s="11"/>
      <c r="F144" s="11"/>
      <c r="G144" s="11"/>
      <c r="K144" s="4"/>
    </row>
    <row r="145" spans="2:11" x14ac:dyDescent="0.25">
      <c r="B145">
        <v>620</v>
      </c>
      <c r="C145" s="11" t="s">
        <v>12</v>
      </c>
      <c r="D145" s="11">
        <v>44551</v>
      </c>
      <c r="E145" s="11"/>
      <c r="F145" s="11"/>
      <c r="G145" s="11"/>
      <c r="K145" s="4"/>
    </row>
    <row r="146" spans="2:11" x14ac:dyDescent="0.25">
      <c r="B146">
        <v>-620</v>
      </c>
      <c r="C146" s="11" t="s">
        <v>13</v>
      </c>
      <c r="D146" s="11" t="s">
        <v>178</v>
      </c>
      <c r="E146" s="11"/>
      <c r="F146" s="11"/>
      <c r="G146" s="11"/>
      <c r="K146" s="4"/>
    </row>
    <row r="147" spans="2:11" x14ac:dyDescent="0.25">
      <c r="B147">
        <v>840</v>
      </c>
      <c r="C147" s="11" t="s">
        <v>12</v>
      </c>
      <c r="D147" s="11">
        <v>44553</v>
      </c>
      <c r="E147" s="11"/>
      <c r="F147" s="11"/>
      <c r="G147" s="11"/>
      <c r="K147" s="4"/>
    </row>
    <row r="148" spans="2:11" x14ac:dyDescent="0.25">
      <c r="B148">
        <v>-800</v>
      </c>
      <c r="C148" s="11" t="s">
        <v>13</v>
      </c>
      <c r="D148" s="11">
        <v>44553</v>
      </c>
      <c r="E148" s="11"/>
      <c r="F148" s="11"/>
      <c r="G148" s="11"/>
      <c r="K148" s="4"/>
    </row>
    <row r="149" spans="2:11" x14ac:dyDescent="0.25">
      <c r="B149">
        <v>620</v>
      </c>
      <c r="C149" s="11" t="s">
        <v>12</v>
      </c>
      <c r="D149" s="11">
        <v>44573</v>
      </c>
      <c r="E149" s="11"/>
      <c r="F149" s="11"/>
      <c r="G149" s="11"/>
      <c r="K149" s="4"/>
    </row>
    <row r="150" spans="2:11" x14ac:dyDescent="0.25">
      <c r="B150">
        <v>-600</v>
      </c>
      <c r="C150" s="11" t="s">
        <v>13</v>
      </c>
      <c r="D150" s="11">
        <v>44573</v>
      </c>
      <c r="E150" s="11"/>
      <c r="F150" s="11"/>
      <c r="G150" s="11"/>
      <c r="K150" s="4"/>
    </row>
    <row r="151" spans="2:11" x14ac:dyDescent="0.25">
      <c r="B151">
        <v>1250</v>
      </c>
      <c r="C151" s="11" t="s">
        <v>12</v>
      </c>
      <c r="D151" s="11">
        <v>44579</v>
      </c>
      <c r="E151" s="11"/>
      <c r="F151" s="11"/>
      <c r="G151" s="11"/>
      <c r="K151" s="4"/>
    </row>
    <row r="152" spans="2:11" x14ac:dyDescent="0.25">
      <c r="B152">
        <v>-1300</v>
      </c>
      <c r="C152" s="11" t="s">
        <v>13</v>
      </c>
      <c r="D152" s="11">
        <v>44579</v>
      </c>
      <c r="E152" s="11"/>
      <c r="F152" s="11"/>
      <c r="G152" s="11"/>
      <c r="K152" s="4"/>
    </row>
    <row r="153" spans="2:11" x14ac:dyDescent="0.25">
      <c r="B153">
        <v>1060</v>
      </c>
      <c r="C153" s="11" t="s">
        <v>12</v>
      </c>
      <c r="D153" s="11">
        <v>44580</v>
      </c>
      <c r="E153" s="11"/>
      <c r="F153" s="11"/>
      <c r="G153" s="11"/>
      <c r="K153" s="4"/>
    </row>
    <row r="154" spans="2:11" x14ac:dyDescent="0.25">
      <c r="B154">
        <v>-1000</v>
      </c>
      <c r="C154" s="11" t="s">
        <v>13</v>
      </c>
      <c r="D154" s="11">
        <v>44580</v>
      </c>
      <c r="E154" s="11"/>
      <c r="F154" s="11"/>
      <c r="G154" s="11"/>
      <c r="K154" s="4"/>
    </row>
    <row r="155" spans="2:11" x14ac:dyDescent="0.25">
      <c r="B155">
        <v>2250</v>
      </c>
      <c r="C155" s="11" t="s">
        <v>12</v>
      </c>
      <c r="D155" s="11">
        <v>44587</v>
      </c>
      <c r="E155" s="11"/>
      <c r="F155" s="11"/>
      <c r="G155" s="11"/>
      <c r="K155" s="4"/>
    </row>
    <row r="156" spans="2:11" x14ac:dyDescent="0.25">
      <c r="B156">
        <v>-2300</v>
      </c>
      <c r="C156" s="11" t="s">
        <v>13</v>
      </c>
      <c r="D156" s="11"/>
      <c r="E156" s="11"/>
      <c r="F156" s="11"/>
      <c r="G156" s="11"/>
      <c r="K156" s="4"/>
    </row>
    <row r="157" spans="2:11" x14ac:dyDescent="0.25">
      <c r="B157">
        <v>3320</v>
      </c>
      <c r="C157" s="11" t="s">
        <v>12</v>
      </c>
      <c r="D157" s="11">
        <v>44594</v>
      </c>
      <c r="E157" s="11"/>
      <c r="F157" s="11"/>
      <c r="G157" s="11"/>
      <c r="K157" s="4"/>
    </row>
    <row r="158" spans="2:11" x14ac:dyDescent="0.25">
      <c r="B158">
        <v>-3300</v>
      </c>
      <c r="C158" s="11"/>
      <c r="D158" s="11"/>
      <c r="E158" s="11"/>
      <c r="F158" s="11"/>
      <c r="G158" s="11"/>
      <c r="K158" s="4"/>
    </row>
    <row r="159" spans="2:11" x14ac:dyDescent="0.25">
      <c r="B159">
        <v>420</v>
      </c>
      <c r="C159" s="11" t="s">
        <v>94</v>
      </c>
      <c r="D159" s="11">
        <v>44600</v>
      </c>
      <c r="E159" s="11"/>
      <c r="F159" s="11"/>
      <c r="G159" s="11"/>
      <c r="K159" s="4"/>
    </row>
    <row r="160" spans="2:11" x14ac:dyDescent="0.25">
      <c r="B160">
        <v>-400</v>
      </c>
      <c r="C160" s="11" t="s">
        <v>71</v>
      </c>
      <c r="D160" s="11"/>
      <c r="E160" s="11"/>
      <c r="F160" s="11"/>
      <c r="G160" s="11"/>
      <c r="K160" s="4"/>
    </row>
    <row r="161" spans="2:11" x14ac:dyDescent="0.25">
      <c r="B161">
        <v>280</v>
      </c>
      <c r="C161" s="11" t="s">
        <v>12</v>
      </c>
      <c r="D161" s="11">
        <v>44613</v>
      </c>
      <c r="E161" s="11"/>
      <c r="F161" s="11"/>
      <c r="G161" s="11"/>
      <c r="K161" s="4"/>
    </row>
    <row r="162" spans="2:11" x14ac:dyDescent="0.25">
      <c r="B162">
        <v>-300</v>
      </c>
      <c r="C162" s="11" t="s">
        <v>13</v>
      </c>
      <c r="D162" s="11"/>
      <c r="E162" s="11"/>
      <c r="F162" s="11"/>
      <c r="G162" s="11"/>
      <c r="K162" s="4"/>
    </row>
    <row r="163" spans="2:11" x14ac:dyDescent="0.25">
      <c r="B163">
        <v>280</v>
      </c>
      <c r="C163" s="11" t="s">
        <v>12</v>
      </c>
      <c r="D163" s="11">
        <v>44623</v>
      </c>
      <c r="E163" s="11"/>
      <c r="F163" s="11"/>
      <c r="G163" s="11"/>
      <c r="K163" s="4"/>
    </row>
    <row r="164" spans="2:11" x14ac:dyDescent="0.25">
      <c r="B164">
        <v>-300</v>
      </c>
      <c r="C164" s="11" t="s">
        <v>13</v>
      </c>
      <c r="D164" s="11">
        <v>44623</v>
      </c>
      <c r="E164" s="11"/>
      <c r="F164" s="11"/>
      <c r="G164" s="11"/>
      <c r="K164" s="4"/>
    </row>
    <row r="165" spans="2:11" x14ac:dyDescent="0.25">
      <c r="B165">
        <v>1080</v>
      </c>
      <c r="C165" s="11" t="s">
        <v>12</v>
      </c>
      <c r="D165" s="11">
        <v>44636</v>
      </c>
      <c r="E165" s="11"/>
      <c r="F165" s="11"/>
      <c r="G165" s="11"/>
      <c r="K165" s="4"/>
    </row>
    <row r="166" spans="2:11" x14ac:dyDescent="0.25">
      <c r="B166">
        <v>-1100</v>
      </c>
      <c r="C166" s="11" t="s">
        <v>13</v>
      </c>
      <c r="D166" s="11">
        <v>44636</v>
      </c>
      <c r="E166" s="11"/>
      <c r="F166" s="11"/>
      <c r="G166" s="11"/>
      <c r="K166" s="4"/>
    </row>
    <row r="167" spans="2:11" x14ac:dyDescent="0.25">
      <c r="B167">
        <v>1480</v>
      </c>
      <c r="C167" s="11" t="s">
        <v>74</v>
      </c>
      <c r="D167" s="11">
        <v>44643</v>
      </c>
      <c r="E167" s="11"/>
      <c r="F167" s="11"/>
      <c r="G167" s="11"/>
      <c r="K167" s="4"/>
    </row>
    <row r="168" spans="2:11" x14ac:dyDescent="0.25">
      <c r="B168">
        <v>-1500</v>
      </c>
      <c r="C168" s="11" t="s">
        <v>93</v>
      </c>
      <c r="D168" s="11">
        <v>44643</v>
      </c>
      <c r="E168" s="11"/>
      <c r="F168" s="11"/>
      <c r="G168" s="11"/>
      <c r="K168" s="4"/>
    </row>
    <row r="169" spans="2:11" x14ac:dyDescent="0.25">
      <c r="B169">
        <v>280</v>
      </c>
      <c r="C169" s="11" t="s">
        <v>193</v>
      </c>
      <c r="D169" s="11">
        <v>44649</v>
      </c>
      <c r="E169" s="11"/>
      <c r="F169" s="11"/>
      <c r="G169" s="11"/>
      <c r="K169" s="4"/>
    </row>
    <row r="170" spans="2:11" x14ac:dyDescent="0.25">
      <c r="B170">
        <v>-300</v>
      </c>
      <c r="C170" s="11" t="s">
        <v>93</v>
      </c>
      <c r="D170" s="11">
        <v>44649</v>
      </c>
      <c r="E170" s="11"/>
      <c r="F170" s="11"/>
      <c r="G170" s="11"/>
      <c r="K170" s="4"/>
    </row>
    <row r="171" spans="2:11" x14ac:dyDescent="0.25">
      <c r="B171">
        <v>280</v>
      </c>
      <c r="C171" s="11" t="s">
        <v>12</v>
      </c>
      <c r="D171" s="11">
        <v>44655</v>
      </c>
      <c r="E171" s="11"/>
      <c r="F171" s="11"/>
      <c r="G171" s="11"/>
      <c r="K171" s="4"/>
    </row>
    <row r="172" spans="2:11" x14ac:dyDescent="0.25">
      <c r="B172">
        <v>-200</v>
      </c>
      <c r="C172" s="11" t="s">
        <v>13</v>
      </c>
      <c r="D172" s="11">
        <v>44655</v>
      </c>
      <c r="E172" s="11"/>
      <c r="F172" s="11"/>
      <c r="G172" s="11"/>
      <c r="K172" s="4"/>
    </row>
    <row r="173" spans="2:11" x14ac:dyDescent="0.25">
      <c r="B173">
        <v>280</v>
      </c>
      <c r="C173" s="11" t="s">
        <v>12</v>
      </c>
      <c r="D173" s="11">
        <v>44663</v>
      </c>
      <c r="E173" s="11"/>
      <c r="F173" s="11"/>
      <c r="G173" s="11"/>
      <c r="K173" s="4"/>
    </row>
    <row r="174" spans="2:11" x14ac:dyDescent="0.25">
      <c r="B174">
        <v>-300</v>
      </c>
      <c r="C174" s="11" t="s">
        <v>13</v>
      </c>
      <c r="D174" s="11">
        <v>44663</v>
      </c>
      <c r="E174" s="11"/>
      <c r="F174" s="11"/>
      <c r="G174" s="11"/>
      <c r="K174" s="4"/>
    </row>
    <row r="175" spans="2:11" x14ac:dyDescent="0.25">
      <c r="B175">
        <v>280</v>
      </c>
      <c r="C175" s="11" t="s">
        <v>12</v>
      </c>
      <c r="D175" s="11">
        <v>44670</v>
      </c>
      <c r="E175" s="11"/>
      <c r="F175" s="11"/>
      <c r="G175" s="11"/>
      <c r="K175" s="4"/>
    </row>
    <row r="176" spans="2:11" x14ac:dyDescent="0.25">
      <c r="B176">
        <v>-300</v>
      </c>
      <c r="C176" s="11" t="s">
        <v>13</v>
      </c>
      <c r="D176" s="11">
        <v>44670</v>
      </c>
      <c r="E176" s="11"/>
      <c r="F176" s="11"/>
      <c r="G176" s="11"/>
      <c r="K176" s="4"/>
    </row>
    <row r="177" spans="2:11" x14ac:dyDescent="0.25">
      <c r="B177">
        <v>1320</v>
      </c>
      <c r="C177" s="11" t="s">
        <v>12</v>
      </c>
      <c r="D177" s="11">
        <v>44679</v>
      </c>
      <c r="E177" s="11"/>
      <c r="F177" s="11"/>
      <c r="G177" s="11"/>
      <c r="K177" s="4"/>
    </row>
    <row r="178" spans="2:11" x14ac:dyDescent="0.25">
      <c r="B178">
        <v>-1300</v>
      </c>
      <c r="C178" s="11" t="s">
        <v>13</v>
      </c>
      <c r="D178" s="11">
        <v>44679</v>
      </c>
      <c r="E178" s="11"/>
      <c r="F178" s="11"/>
      <c r="G178" s="11"/>
      <c r="K178" s="4"/>
    </row>
    <row r="179" spans="2:11" x14ac:dyDescent="0.25">
      <c r="B179">
        <v>1320</v>
      </c>
      <c r="C179" s="11" t="s">
        <v>12</v>
      </c>
      <c r="D179" s="11">
        <v>44686</v>
      </c>
      <c r="E179" s="11"/>
      <c r="F179" s="11"/>
      <c r="G179" s="11"/>
      <c r="K179" s="4"/>
    </row>
    <row r="180" spans="2:11" x14ac:dyDescent="0.25">
      <c r="B180">
        <v>-1300</v>
      </c>
      <c r="C180" s="11" t="s">
        <v>13</v>
      </c>
      <c r="D180" s="11">
        <v>44686</v>
      </c>
      <c r="E180" s="11"/>
      <c r="F180" s="11"/>
      <c r="G180" s="11"/>
      <c r="K180" s="4"/>
    </row>
    <row r="181" spans="2:11" x14ac:dyDescent="0.25">
      <c r="B181">
        <v>280</v>
      </c>
      <c r="C181" s="11" t="s">
        <v>12</v>
      </c>
      <c r="D181" s="11">
        <v>44688</v>
      </c>
      <c r="E181" s="11"/>
      <c r="F181" s="11"/>
      <c r="G181" s="11"/>
      <c r="K181" s="4"/>
    </row>
    <row r="182" spans="2:11" x14ac:dyDescent="0.25">
      <c r="B182">
        <v>-300</v>
      </c>
      <c r="C182" s="11" t="s">
        <v>13</v>
      </c>
      <c r="D182" s="11">
        <v>44688</v>
      </c>
      <c r="E182" s="11"/>
      <c r="F182" s="11"/>
      <c r="G182" s="11"/>
      <c r="K182" s="4"/>
    </row>
    <row r="183" spans="2:11" x14ac:dyDescent="0.25">
      <c r="B183">
        <v>2940</v>
      </c>
      <c r="C183" s="11" t="s">
        <v>74</v>
      </c>
      <c r="D183" s="11">
        <v>44692</v>
      </c>
      <c r="E183" s="11"/>
      <c r="F183" s="11"/>
      <c r="G183" s="11"/>
      <c r="K183" s="4"/>
    </row>
    <row r="184" spans="2:11" x14ac:dyDescent="0.25">
      <c r="B184">
        <v>-3000</v>
      </c>
      <c r="C184" s="11" t="s">
        <v>13</v>
      </c>
      <c r="D184" s="11">
        <v>44692</v>
      </c>
      <c r="E184" s="11"/>
      <c r="F184" s="11"/>
      <c r="G184" s="11"/>
      <c r="K184" s="4"/>
    </row>
    <row r="185" spans="2:11" x14ac:dyDescent="0.25">
      <c r="B185">
        <v>680</v>
      </c>
      <c r="C185" s="11" t="s">
        <v>12</v>
      </c>
      <c r="D185" s="11">
        <v>44695</v>
      </c>
      <c r="E185" s="11"/>
      <c r="F185" s="11"/>
      <c r="G185" s="11"/>
      <c r="K185" s="4"/>
    </row>
    <row r="186" spans="2:11" x14ac:dyDescent="0.25">
      <c r="B186">
        <v>-700</v>
      </c>
      <c r="C186" s="11" t="s">
        <v>13</v>
      </c>
      <c r="D186" s="11"/>
      <c r="E186" s="11"/>
      <c r="F186" s="11"/>
      <c r="G186" s="11"/>
      <c r="K186" s="4"/>
    </row>
    <row r="187" spans="2:11" x14ac:dyDescent="0.25">
      <c r="B187">
        <v>600</v>
      </c>
      <c r="C187" s="11" t="s">
        <v>12</v>
      </c>
      <c r="D187" s="11">
        <v>44701</v>
      </c>
      <c r="E187" s="11"/>
      <c r="F187" s="11"/>
      <c r="G187" s="11"/>
      <c r="K187" s="4"/>
    </row>
    <row r="188" spans="2:11" x14ac:dyDescent="0.25">
      <c r="B188">
        <v>-600</v>
      </c>
      <c r="C188" s="11" t="s">
        <v>13</v>
      </c>
      <c r="D188" s="11">
        <v>44701</v>
      </c>
      <c r="E188" s="11"/>
      <c r="F188" s="11"/>
      <c r="G188" s="11"/>
      <c r="K188" s="4"/>
    </row>
    <row r="189" spans="2:11" x14ac:dyDescent="0.25">
      <c r="B189">
        <v>840</v>
      </c>
      <c r="C189" s="11" t="s">
        <v>74</v>
      </c>
      <c r="D189" s="11">
        <v>44707</v>
      </c>
      <c r="E189" s="11"/>
      <c r="F189" s="11"/>
      <c r="G189" s="11"/>
      <c r="K189" s="4"/>
    </row>
    <row r="190" spans="2:11" x14ac:dyDescent="0.25">
      <c r="B190">
        <v>-800</v>
      </c>
      <c r="C190" s="11" t="s">
        <v>93</v>
      </c>
      <c r="D190" s="11">
        <v>44707</v>
      </c>
      <c r="E190" s="11"/>
      <c r="F190" s="11"/>
      <c r="G190" s="11"/>
      <c r="K190" s="4"/>
    </row>
    <row r="191" spans="2:11" x14ac:dyDescent="0.25">
      <c r="B191">
        <v>560</v>
      </c>
      <c r="C191" s="11" t="s">
        <v>12</v>
      </c>
      <c r="D191" s="11">
        <v>44727</v>
      </c>
      <c r="E191" s="11"/>
      <c r="F191" s="11"/>
      <c r="G191" s="11"/>
      <c r="K191" s="4"/>
    </row>
    <row r="192" spans="2:11" x14ac:dyDescent="0.25">
      <c r="B192">
        <v>-600</v>
      </c>
      <c r="C192" s="11" t="s">
        <v>13</v>
      </c>
      <c r="D192" s="11">
        <v>44727</v>
      </c>
      <c r="E192" s="11"/>
      <c r="F192" s="11"/>
      <c r="G192" s="11"/>
      <c r="K192" s="4"/>
    </row>
    <row r="193" spans="2:11" x14ac:dyDescent="0.25">
      <c r="B193">
        <v>1160</v>
      </c>
      <c r="C193" s="11" t="s">
        <v>200</v>
      </c>
      <c r="D193" s="11">
        <v>44734</v>
      </c>
      <c r="E193" s="11"/>
      <c r="F193" s="11"/>
      <c r="G193" s="11"/>
      <c r="K193" s="4"/>
    </row>
    <row r="194" spans="2:11" x14ac:dyDescent="0.25">
      <c r="B194">
        <v>-1100</v>
      </c>
      <c r="C194" s="11" t="s">
        <v>13</v>
      </c>
      <c r="D194" s="11"/>
      <c r="E194" s="11"/>
      <c r="F194" s="11"/>
      <c r="G194" s="11"/>
      <c r="K194" s="4"/>
    </row>
    <row r="195" spans="2:11" x14ac:dyDescent="0.25">
      <c r="B195">
        <v>1880</v>
      </c>
      <c r="C195" s="11" t="s">
        <v>12</v>
      </c>
      <c r="D195" s="11"/>
      <c r="E195" s="11"/>
      <c r="F195" s="11"/>
      <c r="G195" s="11"/>
      <c r="K195" s="4"/>
    </row>
    <row r="196" spans="2:11" x14ac:dyDescent="0.25">
      <c r="B196">
        <v>-1900</v>
      </c>
      <c r="C196" s="11" t="s">
        <v>13</v>
      </c>
      <c r="D196" s="11"/>
      <c r="E196" s="11"/>
      <c r="F196" s="11"/>
      <c r="G196" s="11"/>
      <c r="K196" s="4"/>
    </row>
    <row r="197" spans="2:11" x14ac:dyDescent="0.25">
      <c r="B197">
        <v>1320</v>
      </c>
      <c r="C197" s="11" t="s">
        <v>12</v>
      </c>
      <c r="D197" s="11">
        <v>44741</v>
      </c>
      <c r="E197" s="11"/>
      <c r="F197" s="11"/>
      <c r="G197" s="11"/>
      <c r="K197" s="4"/>
    </row>
    <row r="198" spans="2:11" x14ac:dyDescent="0.25">
      <c r="B198">
        <v>-1300</v>
      </c>
      <c r="C198" s="11" t="s">
        <v>13</v>
      </c>
      <c r="D198" s="11"/>
      <c r="E198" s="11"/>
      <c r="F198" s="11"/>
      <c r="G198" s="11"/>
      <c r="K198" s="4"/>
    </row>
    <row r="199" spans="2:11" x14ac:dyDescent="0.25">
      <c r="B199">
        <v>1320</v>
      </c>
      <c r="C199" s="11" t="s">
        <v>12</v>
      </c>
      <c r="D199" s="11">
        <v>44748</v>
      </c>
      <c r="E199" s="11"/>
      <c r="F199" s="11"/>
      <c r="G199" s="11"/>
      <c r="K199" s="4"/>
    </row>
    <row r="200" spans="2:11" x14ac:dyDescent="0.25">
      <c r="B200">
        <v>-1300</v>
      </c>
      <c r="C200" s="11" t="s">
        <v>13</v>
      </c>
      <c r="D200" s="11">
        <v>44748</v>
      </c>
      <c r="E200" s="11"/>
      <c r="F200" s="11"/>
      <c r="G200" s="11"/>
      <c r="K200" s="4"/>
    </row>
    <row r="201" spans="2:11" x14ac:dyDescent="0.25">
      <c r="B201">
        <v>880</v>
      </c>
      <c r="C201" s="11" t="s">
        <v>12</v>
      </c>
      <c r="D201" s="11"/>
      <c r="E201" s="11"/>
      <c r="F201" s="11"/>
      <c r="G201" s="11"/>
      <c r="K201" s="4"/>
    </row>
    <row r="202" spans="2:11" x14ac:dyDescent="0.25">
      <c r="B202">
        <v>-900</v>
      </c>
      <c r="C202" s="11" t="s">
        <v>13</v>
      </c>
      <c r="D202" s="11">
        <v>44754</v>
      </c>
      <c r="E202" s="11"/>
      <c r="F202" s="11"/>
      <c r="G202" s="11"/>
      <c r="K202" s="4"/>
    </row>
    <row r="203" spans="2:11" x14ac:dyDescent="0.25">
      <c r="B203">
        <v>1560</v>
      </c>
      <c r="C203" s="11" t="s">
        <v>12</v>
      </c>
      <c r="D203" s="11"/>
      <c r="E203" s="11"/>
      <c r="F203" s="11"/>
      <c r="G203" s="11"/>
      <c r="K203" s="4"/>
    </row>
    <row r="204" spans="2:11" x14ac:dyDescent="0.25">
      <c r="B204">
        <v>-1500</v>
      </c>
      <c r="C204" s="11" t="s">
        <v>13</v>
      </c>
      <c r="D204" s="11"/>
      <c r="E204" s="11"/>
      <c r="F204" s="11"/>
      <c r="G204" s="11"/>
      <c r="K204" s="4"/>
    </row>
    <row r="205" spans="2:11" x14ac:dyDescent="0.25">
      <c r="B205">
        <v>560</v>
      </c>
      <c r="C205" s="11" t="s">
        <v>74</v>
      </c>
      <c r="D205" s="11"/>
      <c r="E205" s="11"/>
      <c r="F205" s="11"/>
      <c r="G205" s="11"/>
      <c r="K205" s="4"/>
    </row>
    <row r="206" spans="2:11" x14ac:dyDescent="0.25">
      <c r="B206">
        <v>-500</v>
      </c>
      <c r="C206" s="11" t="s">
        <v>93</v>
      </c>
      <c r="D206" s="11"/>
      <c r="E206" s="11"/>
      <c r="F206" s="11"/>
      <c r="G206" s="11"/>
      <c r="K206" s="4"/>
    </row>
    <row r="207" spans="2:11" x14ac:dyDescent="0.25">
      <c r="B207">
        <v>560</v>
      </c>
      <c r="C207" s="11" t="s">
        <v>12</v>
      </c>
      <c r="D207" s="11"/>
      <c r="E207" s="11"/>
      <c r="F207" s="11"/>
      <c r="G207" s="11"/>
      <c r="K207" s="4"/>
    </row>
    <row r="208" spans="2:11" x14ac:dyDescent="0.25">
      <c r="B208">
        <v>-600</v>
      </c>
      <c r="C208" s="11" t="s">
        <v>13</v>
      </c>
      <c r="D208" s="11"/>
      <c r="E208" s="11"/>
      <c r="F208" s="11"/>
      <c r="G208" s="11"/>
      <c r="K208" s="4"/>
    </row>
    <row r="209" spans="2:11" x14ac:dyDescent="0.25">
      <c r="B209">
        <v>880</v>
      </c>
      <c r="C209" s="11" t="s">
        <v>12</v>
      </c>
      <c r="D209" s="11">
        <v>44799</v>
      </c>
      <c r="E209" s="11"/>
      <c r="F209" s="11"/>
      <c r="G209" s="11"/>
      <c r="K209" s="4"/>
    </row>
    <row r="210" spans="2:11" x14ac:dyDescent="0.25">
      <c r="B210">
        <v>-900</v>
      </c>
      <c r="C210" s="11" t="s">
        <v>13</v>
      </c>
      <c r="D210" s="11">
        <v>44799</v>
      </c>
      <c r="E210" s="11"/>
      <c r="F210" s="11"/>
      <c r="G210" s="11"/>
      <c r="K210" s="4"/>
    </row>
    <row r="211" spans="2:11" x14ac:dyDescent="0.25">
      <c r="B211">
        <v>280</v>
      </c>
      <c r="C211" s="11" t="s">
        <v>74</v>
      </c>
      <c r="D211" s="11">
        <v>44803</v>
      </c>
      <c r="E211" s="11"/>
      <c r="F211" s="11"/>
      <c r="G211" s="11"/>
      <c r="K211" s="4"/>
    </row>
    <row r="212" spans="2:11" x14ac:dyDescent="0.25">
      <c r="B212">
        <v>-300</v>
      </c>
      <c r="C212" s="11" t="s">
        <v>93</v>
      </c>
      <c r="D212" s="11">
        <v>44803</v>
      </c>
      <c r="E212" s="11"/>
      <c r="F212" s="11"/>
      <c r="G212" s="11"/>
      <c r="K212" s="4"/>
    </row>
    <row r="213" spans="2:11" x14ac:dyDescent="0.25">
      <c r="B213">
        <v>880</v>
      </c>
      <c r="C213" s="11" t="s">
        <v>12</v>
      </c>
      <c r="D213" s="11">
        <v>44813</v>
      </c>
      <c r="E213" s="11"/>
      <c r="F213" s="11"/>
      <c r="G213" s="11"/>
      <c r="K213" s="4"/>
    </row>
    <row r="214" spans="2:11" x14ac:dyDescent="0.25">
      <c r="B214">
        <v>-900</v>
      </c>
      <c r="C214" s="11" t="s">
        <v>12</v>
      </c>
      <c r="D214" s="11">
        <v>44813</v>
      </c>
      <c r="E214" s="11"/>
      <c r="F214" s="11"/>
      <c r="G214" s="11"/>
      <c r="K214" s="4"/>
    </row>
    <row r="215" spans="2:11" x14ac:dyDescent="0.25">
      <c r="B215">
        <v>1320</v>
      </c>
      <c r="C215" s="11" t="s">
        <v>12</v>
      </c>
      <c r="D215" s="11">
        <v>44817</v>
      </c>
      <c r="E215" s="11"/>
      <c r="F215" s="11"/>
      <c r="G215" s="11"/>
      <c r="K215" s="4"/>
    </row>
    <row r="216" spans="2:11" x14ac:dyDescent="0.25">
      <c r="B216">
        <v>-1300</v>
      </c>
      <c r="C216" s="11" t="s">
        <v>13</v>
      </c>
      <c r="D216" s="11"/>
      <c r="E216" s="11"/>
      <c r="F216" s="11"/>
      <c r="G216" s="11"/>
      <c r="K216" s="4"/>
    </row>
    <row r="217" spans="2:11" x14ac:dyDescent="0.25">
      <c r="B217">
        <v>880</v>
      </c>
      <c r="C217" s="11" t="s">
        <v>12</v>
      </c>
      <c r="D217" s="11">
        <v>44828</v>
      </c>
      <c r="E217" s="11"/>
      <c r="F217" s="11"/>
      <c r="G217" s="11"/>
      <c r="K217" s="4"/>
    </row>
    <row r="218" spans="2:11" x14ac:dyDescent="0.25">
      <c r="B218">
        <v>-900</v>
      </c>
      <c r="C218" s="11" t="s">
        <v>13</v>
      </c>
      <c r="D218" s="11"/>
      <c r="E218" s="11"/>
      <c r="F218" s="11"/>
      <c r="G218" s="11"/>
      <c r="K218" s="4"/>
    </row>
    <row r="219" spans="2:11" x14ac:dyDescent="0.25">
      <c r="B219">
        <v>640</v>
      </c>
      <c r="C219" s="11" t="s">
        <v>12</v>
      </c>
      <c r="D219" s="11">
        <v>44837</v>
      </c>
      <c r="E219" s="11"/>
      <c r="F219" s="11"/>
      <c r="G219" s="11"/>
      <c r="K219" s="4"/>
    </row>
    <row r="220" spans="2:11" x14ac:dyDescent="0.25">
      <c r="B220">
        <v>-600</v>
      </c>
      <c r="C220" s="11" t="s">
        <v>13</v>
      </c>
      <c r="D220" s="11"/>
      <c r="E220" s="11"/>
      <c r="F220" s="11"/>
      <c r="G220" s="11"/>
      <c r="K220" s="4"/>
    </row>
    <row r="221" spans="2:11" x14ac:dyDescent="0.25">
      <c r="B221">
        <v>280</v>
      </c>
      <c r="C221" s="11" t="s">
        <v>12</v>
      </c>
      <c r="D221" s="11">
        <v>44845</v>
      </c>
      <c r="E221" s="11"/>
      <c r="F221" s="11"/>
      <c r="G221" s="11"/>
      <c r="K221" s="4"/>
    </row>
    <row r="222" spans="2:11" x14ac:dyDescent="0.25">
      <c r="B222">
        <v>-300</v>
      </c>
      <c r="C222" s="11" t="s">
        <v>13</v>
      </c>
      <c r="D222" s="11">
        <v>44845</v>
      </c>
      <c r="E222" s="11"/>
      <c r="F222" s="11"/>
      <c r="G222" s="11"/>
      <c r="K222" s="4"/>
    </row>
    <row r="223" spans="2:11" x14ac:dyDescent="0.25">
      <c r="B223">
        <v>300</v>
      </c>
      <c r="C223" s="11" t="s">
        <v>12</v>
      </c>
      <c r="D223" s="11">
        <v>44852</v>
      </c>
      <c r="E223" s="11"/>
      <c r="F223" s="11"/>
      <c r="G223" s="11"/>
      <c r="K223" s="4"/>
    </row>
    <row r="224" spans="2:11" x14ac:dyDescent="0.25">
      <c r="B224">
        <v>280</v>
      </c>
      <c r="C224" s="11" t="s">
        <v>74</v>
      </c>
      <c r="D224" s="11">
        <v>44858</v>
      </c>
      <c r="E224" s="11"/>
      <c r="F224" s="11"/>
      <c r="G224" s="11"/>
      <c r="K224" s="4"/>
    </row>
    <row r="225" spans="2:11" x14ac:dyDescent="0.25">
      <c r="B225">
        <v>-600</v>
      </c>
      <c r="C225" s="11" t="s">
        <v>216</v>
      </c>
      <c r="D225" s="11">
        <v>44858</v>
      </c>
      <c r="E225" s="11"/>
      <c r="F225" s="11"/>
      <c r="G225" s="11"/>
      <c r="K225" s="4"/>
    </row>
    <row r="226" spans="2:11" x14ac:dyDescent="0.25">
      <c r="B226">
        <v>800</v>
      </c>
      <c r="C226" s="11" t="s">
        <v>12</v>
      </c>
      <c r="D226" s="11">
        <v>44866</v>
      </c>
      <c r="E226" s="11"/>
      <c r="F226" s="11"/>
      <c r="G226" s="11"/>
      <c r="K226" s="4"/>
    </row>
    <row r="227" spans="2:11" x14ac:dyDescent="0.25">
      <c r="B227">
        <v>-800</v>
      </c>
      <c r="C227" s="11" t="s">
        <v>13</v>
      </c>
      <c r="D227" s="11"/>
      <c r="E227" s="11"/>
      <c r="F227" s="11"/>
      <c r="G227" s="11"/>
      <c r="K227" s="4"/>
    </row>
    <row r="228" spans="2:11" x14ac:dyDescent="0.25">
      <c r="B228">
        <v>800</v>
      </c>
      <c r="C228" s="11" t="s">
        <v>12</v>
      </c>
      <c r="D228" s="11">
        <v>44870</v>
      </c>
      <c r="E228" s="11"/>
      <c r="F228" s="11"/>
      <c r="G228" s="11"/>
      <c r="K228" s="4"/>
    </row>
    <row r="229" spans="2:11" x14ac:dyDescent="0.25">
      <c r="B229">
        <v>-800</v>
      </c>
      <c r="C229" s="11" t="s">
        <v>71</v>
      </c>
      <c r="D229" s="11"/>
      <c r="E229" s="11"/>
      <c r="F229" s="11"/>
      <c r="G229" s="11"/>
      <c r="K229" s="4"/>
    </row>
    <row r="230" spans="2:11" x14ac:dyDescent="0.25">
      <c r="B230">
        <v>1680</v>
      </c>
      <c r="C230" s="11" t="s">
        <v>12</v>
      </c>
      <c r="D230" s="11">
        <v>44887</v>
      </c>
      <c r="E230" s="11"/>
      <c r="F230" s="11"/>
      <c r="G230" s="11"/>
      <c r="K230" s="4"/>
    </row>
    <row r="231" spans="2:11" x14ac:dyDescent="0.25">
      <c r="B231">
        <v>-1700</v>
      </c>
      <c r="C231" s="11" t="s">
        <v>13</v>
      </c>
      <c r="D231" s="11"/>
      <c r="E231" s="11"/>
      <c r="F231" s="11"/>
      <c r="G231" s="11"/>
      <c r="K231" s="4"/>
    </row>
    <row r="232" spans="2:11" x14ac:dyDescent="0.25">
      <c r="B232">
        <v>400</v>
      </c>
      <c r="C232" s="11" t="s">
        <v>12</v>
      </c>
      <c r="D232" s="11"/>
      <c r="E232" s="11"/>
      <c r="F232" s="11"/>
      <c r="G232" s="11"/>
      <c r="K232" s="4"/>
    </row>
    <row r="233" spans="2:11" x14ac:dyDescent="0.25">
      <c r="B233">
        <v>-400</v>
      </c>
      <c r="C233" s="11" t="s">
        <v>13</v>
      </c>
      <c r="D233" s="11"/>
      <c r="E233" s="11"/>
      <c r="F233" s="11"/>
      <c r="G233" s="11"/>
      <c r="K233" s="4"/>
    </row>
    <row r="234" spans="2:11" x14ac:dyDescent="0.25">
      <c r="B234">
        <v>400</v>
      </c>
      <c r="C234" s="11" t="s">
        <v>12</v>
      </c>
      <c r="D234" s="11"/>
      <c r="E234" s="11"/>
      <c r="F234" s="11"/>
      <c r="G234" s="11"/>
      <c r="K234" s="4"/>
    </row>
    <row r="235" spans="2:11" x14ac:dyDescent="0.25">
      <c r="B235">
        <v>-400</v>
      </c>
      <c r="C235" s="11" t="s">
        <v>13</v>
      </c>
      <c r="D235" s="11">
        <v>44907</v>
      </c>
      <c r="E235" s="11"/>
      <c r="F235" s="11"/>
      <c r="G235" s="11"/>
      <c r="K235" s="4"/>
    </row>
    <row r="236" spans="2:11" x14ac:dyDescent="0.25">
      <c r="B236">
        <v>800</v>
      </c>
      <c r="C236" s="11" t="s">
        <v>12</v>
      </c>
      <c r="D236" s="11">
        <v>44911</v>
      </c>
      <c r="E236" s="11"/>
      <c r="F236" s="11"/>
      <c r="G236" s="11"/>
      <c r="K236" s="4"/>
    </row>
    <row r="237" spans="2:11" x14ac:dyDescent="0.25">
      <c r="B237">
        <v>-800</v>
      </c>
      <c r="C237" s="11" t="s">
        <v>224</v>
      </c>
      <c r="D237" s="11"/>
      <c r="E237" s="11"/>
      <c r="F237" s="11"/>
      <c r="G237" s="11"/>
      <c r="K237" s="4"/>
    </row>
    <row r="238" spans="2:11" x14ac:dyDescent="0.25">
      <c r="B238">
        <v>400</v>
      </c>
      <c r="C238" s="11" t="s">
        <v>12</v>
      </c>
      <c r="D238" s="11">
        <v>44915</v>
      </c>
      <c r="E238" s="11"/>
      <c r="F238" s="11"/>
      <c r="G238" s="11"/>
      <c r="K238" s="4"/>
    </row>
    <row r="239" spans="2:11" x14ac:dyDescent="0.25">
      <c r="B239">
        <v>-400</v>
      </c>
      <c r="C239" s="11" t="s">
        <v>13</v>
      </c>
      <c r="D239" s="11">
        <v>44915</v>
      </c>
      <c r="E239" s="11"/>
      <c r="F239" s="11"/>
      <c r="G239" s="11"/>
      <c r="K239" s="4"/>
    </row>
    <row r="240" spans="2:11" x14ac:dyDescent="0.25">
      <c r="B240">
        <v>400</v>
      </c>
      <c r="C240" s="11" t="s">
        <v>12</v>
      </c>
      <c r="D240" s="11">
        <v>44917</v>
      </c>
      <c r="E240" s="11"/>
      <c r="F240" s="11"/>
      <c r="G240" s="11"/>
      <c r="K240" s="4"/>
    </row>
    <row r="241" spans="2:11" x14ac:dyDescent="0.25">
      <c r="B241">
        <v>-400</v>
      </c>
      <c r="C241" s="11" t="s">
        <v>13</v>
      </c>
      <c r="D241" s="11"/>
      <c r="E241" s="11"/>
      <c r="F241" s="11"/>
      <c r="G241" s="11"/>
      <c r="K241" s="4"/>
    </row>
    <row r="242" spans="2:11" x14ac:dyDescent="0.25">
      <c r="B242">
        <v>400</v>
      </c>
      <c r="C242" s="11" t="s">
        <v>74</v>
      </c>
      <c r="D242" s="11">
        <v>44924</v>
      </c>
      <c r="E242" s="11"/>
      <c r="F242" s="11"/>
      <c r="G242" s="11"/>
      <c r="K242" s="4"/>
    </row>
    <row r="243" spans="2:11" x14ac:dyDescent="0.25">
      <c r="B243">
        <v>-400</v>
      </c>
      <c r="C243" s="11" t="s">
        <v>93</v>
      </c>
      <c r="D243" s="11">
        <v>44924</v>
      </c>
      <c r="E243" s="11"/>
      <c r="F243" s="11"/>
      <c r="G243" s="11"/>
      <c r="K243" s="4"/>
    </row>
    <row r="244" spans="2:11" x14ac:dyDescent="0.25">
      <c r="B244">
        <v>400</v>
      </c>
      <c r="C244" s="11" t="s">
        <v>12</v>
      </c>
      <c r="D244" s="11">
        <v>44930</v>
      </c>
      <c r="E244" s="11"/>
      <c r="F244" s="11"/>
      <c r="G244" s="11"/>
      <c r="K244" s="4"/>
    </row>
    <row r="245" spans="2:11" x14ac:dyDescent="0.25">
      <c r="B245">
        <v>-400</v>
      </c>
      <c r="C245" s="11" t="s">
        <v>13</v>
      </c>
      <c r="D245" s="11">
        <v>44930</v>
      </c>
      <c r="E245" s="11"/>
      <c r="F245" s="11"/>
      <c r="G245" s="11"/>
      <c r="K245" s="4"/>
    </row>
    <row r="246" spans="2:11" x14ac:dyDescent="0.25">
      <c r="B246">
        <v>400</v>
      </c>
      <c r="C246" s="11" t="s">
        <v>12</v>
      </c>
      <c r="D246" s="11">
        <v>44937</v>
      </c>
      <c r="E246" s="11"/>
      <c r="F246" s="11"/>
      <c r="G246" s="11"/>
      <c r="K246" s="4"/>
    </row>
    <row r="247" spans="2:11" x14ac:dyDescent="0.25">
      <c r="B247">
        <v>-400</v>
      </c>
      <c r="C247" s="11" t="s">
        <v>13</v>
      </c>
      <c r="D247" s="11"/>
      <c r="E247" s="11"/>
      <c r="F247" s="11"/>
      <c r="G247" s="11"/>
      <c r="K247" s="4"/>
    </row>
    <row r="248" spans="2:11" x14ac:dyDescent="0.25">
      <c r="B248">
        <v>800</v>
      </c>
      <c r="C248" s="11" t="s">
        <v>12</v>
      </c>
      <c r="D248" s="11"/>
      <c r="E248" s="11"/>
      <c r="F248" s="11"/>
      <c r="G248" s="11"/>
      <c r="K248" s="4"/>
    </row>
    <row r="249" spans="2:11" x14ac:dyDescent="0.25">
      <c r="B249">
        <v>-800</v>
      </c>
      <c r="C249" s="11" t="s">
        <v>226</v>
      </c>
      <c r="D249" s="11"/>
      <c r="E249" s="11"/>
      <c r="F249" s="11"/>
      <c r="G249" s="11"/>
      <c r="K249" s="4"/>
    </row>
    <row r="250" spans="2:11" x14ac:dyDescent="0.25">
      <c r="B250">
        <v>2880</v>
      </c>
      <c r="C250" s="11" t="s">
        <v>12</v>
      </c>
      <c r="D250" s="11">
        <v>44953</v>
      </c>
      <c r="E250" s="11"/>
      <c r="F250" s="11"/>
      <c r="G250" s="11"/>
      <c r="K250" s="4"/>
    </row>
    <row r="251" spans="2:11" x14ac:dyDescent="0.25">
      <c r="B251">
        <v>-2900</v>
      </c>
      <c r="C251" s="11" t="s">
        <v>13</v>
      </c>
      <c r="D251" s="11"/>
      <c r="E251" s="11"/>
      <c r="F251" s="11"/>
      <c r="G251" s="11"/>
      <c r="K251" s="4"/>
    </row>
    <row r="252" spans="2:11" x14ac:dyDescent="0.25">
      <c r="B252">
        <v>800</v>
      </c>
      <c r="C252" s="11" t="s">
        <v>12</v>
      </c>
      <c r="D252" s="11">
        <v>44963</v>
      </c>
      <c r="E252" s="11"/>
      <c r="F252" s="11"/>
      <c r="G252" s="11"/>
      <c r="K252" s="4"/>
    </row>
    <row r="253" spans="2:11" x14ac:dyDescent="0.25">
      <c r="B253">
        <v>-800</v>
      </c>
      <c r="C253" s="11" t="s">
        <v>13</v>
      </c>
      <c r="D253" s="11">
        <v>44963</v>
      </c>
      <c r="E253" s="11"/>
      <c r="F253" s="11"/>
      <c r="G253" s="11"/>
      <c r="K253" s="4"/>
    </row>
    <row r="254" spans="2:11" x14ac:dyDescent="0.25">
      <c r="B254">
        <v>1280</v>
      </c>
      <c r="C254" s="11" t="s">
        <v>74</v>
      </c>
      <c r="D254" s="11">
        <v>44966</v>
      </c>
      <c r="E254" s="11"/>
      <c r="F254" s="11"/>
      <c r="G254" s="11"/>
      <c r="K254" s="4"/>
    </row>
    <row r="255" spans="2:11" x14ac:dyDescent="0.25">
      <c r="B255">
        <v>-1200</v>
      </c>
      <c r="C255" s="11" t="s">
        <v>93</v>
      </c>
      <c r="D255" s="11">
        <v>44966</v>
      </c>
      <c r="E255" s="11"/>
      <c r="F255" s="11"/>
      <c r="G255" s="11"/>
      <c r="K255" s="4"/>
    </row>
    <row r="256" spans="2:11" x14ac:dyDescent="0.25">
      <c r="B256">
        <v>400</v>
      </c>
      <c r="C256" s="11" t="s">
        <v>12</v>
      </c>
      <c r="D256" s="11">
        <v>44968</v>
      </c>
      <c r="E256" s="11"/>
      <c r="F256" s="11"/>
      <c r="G256" s="11"/>
      <c r="K256" s="4"/>
    </row>
    <row r="257" spans="2:11" x14ac:dyDescent="0.25">
      <c r="B257">
        <v>-400</v>
      </c>
      <c r="C257" s="11" t="s">
        <v>13</v>
      </c>
      <c r="D257" s="11">
        <v>44968</v>
      </c>
      <c r="E257" s="11"/>
      <c r="F257" s="11"/>
      <c r="G257" s="11"/>
      <c r="K257" s="4"/>
    </row>
    <row r="258" spans="2:11" x14ac:dyDescent="0.25">
      <c r="B258">
        <v>400</v>
      </c>
      <c r="C258" s="11" t="s">
        <v>12</v>
      </c>
      <c r="D258" s="11">
        <v>44987</v>
      </c>
      <c r="E258" s="11"/>
      <c r="F258" s="11"/>
      <c r="G258" s="11"/>
      <c r="K258" s="4"/>
    </row>
    <row r="259" spans="2:11" x14ac:dyDescent="0.25">
      <c r="B259">
        <v>-400</v>
      </c>
      <c r="C259" s="11" t="s">
        <v>13</v>
      </c>
      <c r="D259" s="11">
        <v>44987</v>
      </c>
      <c r="E259" s="11"/>
      <c r="F259" s="11"/>
      <c r="G259" s="11"/>
      <c r="K259" s="4"/>
    </row>
    <row r="260" spans="2:11" x14ac:dyDescent="0.25">
      <c r="B260">
        <v>400</v>
      </c>
      <c r="C260" s="11" t="s">
        <v>12</v>
      </c>
      <c r="D260" s="11">
        <v>44960</v>
      </c>
      <c r="E260" s="11"/>
      <c r="F260" s="11"/>
      <c r="G260" s="11"/>
      <c r="K260" s="4"/>
    </row>
    <row r="261" spans="2:11" x14ac:dyDescent="0.25">
      <c r="B261">
        <v>-400</v>
      </c>
      <c r="C261" s="11" t="s">
        <v>13</v>
      </c>
      <c r="D261" s="11">
        <v>44960</v>
      </c>
      <c r="E261" s="11"/>
      <c r="F261" s="11"/>
      <c r="G261" s="11"/>
      <c r="K261" s="4"/>
    </row>
    <row r="262" spans="2:11" x14ac:dyDescent="0.25">
      <c r="B262">
        <v>400</v>
      </c>
      <c r="C262" s="11" t="s">
        <v>12</v>
      </c>
      <c r="D262" s="11">
        <v>44998</v>
      </c>
      <c r="E262" s="11"/>
      <c r="F262" s="11"/>
      <c r="G262" s="11"/>
      <c r="K262" s="4"/>
    </row>
    <row r="263" spans="2:11" x14ac:dyDescent="0.25">
      <c r="B263">
        <v>-400</v>
      </c>
      <c r="C263" s="11" t="s">
        <v>13</v>
      </c>
      <c r="D263" s="11">
        <v>44998</v>
      </c>
      <c r="E263" s="11"/>
      <c r="F263" s="11"/>
      <c r="G263" s="11"/>
      <c r="K263" s="4"/>
    </row>
    <row r="264" spans="2:11" x14ac:dyDescent="0.25">
      <c r="B264">
        <v>800</v>
      </c>
      <c r="C264" s="11" t="s">
        <v>12</v>
      </c>
      <c r="D264" s="11">
        <v>45005</v>
      </c>
      <c r="E264" s="11"/>
      <c r="F264" s="11"/>
      <c r="G264" s="11"/>
      <c r="K264" s="4"/>
    </row>
    <row r="265" spans="2:11" x14ac:dyDescent="0.25">
      <c r="B265">
        <v>-800</v>
      </c>
      <c r="C265" s="11" t="s">
        <v>13</v>
      </c>
      <c r="D265" s="11">
        <v>45005</v>
      </c>
      <c r="E265" s="11"/>
      <c r="F265" s="11"/>
      <c r="G265" s="11"/>
      <c r="K265" s="4"/>
    </row>
    <row r="266" spans="2:11" x14ac:dyDescent="0.25">
      <c r="B266">
        <v>400</v>
      </c>
      <c r="C266" s="11" t="s">
        <v>137</v>
      </c>
      <c r="D266" s="11">
        <v>45021</v>
      </c>
      <c r="E266" s="11"/>
      <c r="F266" s="11"/>
      <c r="G266" s="11"/>
      <c r="K266" s="4"/>
    </row>
    <row r="267" spans="2:11" x14ac:dyDescent="0.25">
      <c r="B267">
        <v>-400</v>
      </c>
      <c r="C267" s="11" t="s">
        <v>93</v>
      </c>
      <c r="D267" s="11">
        <v>45021</v>
      </c>
      <c r="E267" s="11"/>
      <c r="F267" s="11"/>
      <c r="G267" s="11"/>
      <c r="K267" s="4"/>
    </row>
    <row r="268" spans="2:11" x14ac:dyDescent="0.25">
      <c r="B268">
        <v>400</v>
      </c>
      <c r="C268" s="11" t="s">
        <v>138</v>
      </c>
      <c r="D268" s="11">
        <v>45035</v>
      </c>
      <c r="E268" s="11"/>
      <c r="F268" s="11"/>
      <c r="G268" s="11"/>
      <c r="K268" s="4"/>
    </row>
    <row r="269" spans="2:11" x14ac:dyDescent="0.25">
      <c r="B269">
        <v>-400</v>
      </c>
      <c r="C269" s="11" t="s">
        <v>13</v>
      </c>
      <c r="D269" s="11">
        <v>45035</v>
      </c>
      <c r="E269" s="11"/>
      <c r="F269" s="11"/>
      <c r="G269" s="11"/>
      <c r="K269" s="4"/>
    </row>
    <row r="270" spans="2:11" x14ac:dyDescent="0.25">
      <c r="B270">
        <v>800</v>
      </c>
      <c r="C270" s="11" t="s">
        <v>74</v>
      </c>
      <c r="D270" s="11">
        <v>45044</v>
      </c>
      <c r="E270" s="11"/>
      <c r="F270" s="11"/>
      <c r="G270" s="11"/>
      <c r="K270" s="4"/>
    </row>
    <row r="271" spans="2:11" x14ac:dyDescent="0.25">
      <c r="B271">
        <v>-800</v>
      </c>
      <c r="C271" s="11" t="s">
        <v>93</v>
      </c>
      <c r="D271" s="11">
        <v>45044</v>
      </c>
      <c r="E271" s="11"/>
      <c r="F271" s="11"/>
      <c r="G271" s="11"/>
      <c r="K271" s="4"/>
    </row>
    <row r="272" spans="2:11" x14ac:dyDescent="0.25">
      <c r="B272">
        <v>400</v>
      </c>
      <c r="C272" s="11" t="s">
        <v>12</v>
      </c>
      <c r="D272" s="11">
        <v>45048</v>
      </c>
      <c r="E272" s="11"/>
      <c r="F272" s="11"/>
      <c r="G272" s="11"/>
      <c r="K272" s="4"/>
    </row>
    <row r="273" spans="2:11" x14ac:dyDescent="0.25">
      <c r="B273">
        <v>-400</v>
      </c>
      <c r="C273" s="11" t="s">
        <v>13</v>
      </c>
      <c r="D273" s="11">
        <v>45048</v>
      </c>
      <c r="E273" s="11"/>
      <c r="F273" s="11"/>
      <c r="G273" s="11"/>
      <c r="K273" s="4"/>
    </row>
    <row r="274" spans="2:11" x14ac:dyDescent="0.25">
      <c r="B274">
        <v>400</v>
      </c>
      <c r="C274" s="11" t="s">
        <v>12</v>
      </c>
      <c r="D274" s="11">
        <v>45055</v>
      </c>
      <c r="E274" s="11"/>
      <c r="F274" s="11"/>
      <c r="G274" s="11"/>
      <c r="K274" s="4"/>
    </row>
    <row r="275" spans="2:11" x14ac:dyDescent="0.25">
      <c r="B275">
        <v>-400</v>
      </c>
      <c r="C275" s="11" t="s">
        <v>13</v>
      </c>
      <c r="D275" s="11"/>
      <c r="E275" s="11"/>
      <c r="F275" s="11"/>
      <c r="G275" s="11"/>
      <c r="K275" s="4"/>
    </row>
    <row r="276" spans="2:11" x14ac:dyDescent="0.25">
      <c r="B276">
        <v>1600</v>
      </c>
      <c r="C276" s="11" t="s">
        <v>74</v>
      </c>
      <c r="D276" s="11">
        <v>45068</v>
      </c>
      <c r="E276" s="11"/>
      <c r="F276" s="11"/>
      <c r="G276" s="11"/>
      <c r="K276" s="4"/>
    </row>
    <row r="277" spans="2:11" x14ac:dyDescent="0.25">
      <c r="B277">
        <v>-1600</v>
      </c>
      <c r="C277" s="11" t="s">
        <v>93</v>
      </c>
      <c r="D277" s="11">
        <v>45068</v>
      </c>
      <c r="E277" s="11"/>
      <c r="F277" s="11"/>
      <c r="G277" s="11"/>
      <c r="K277" s="4"/>
    </row>
    <row r="278" spans="2:11" x14ac:dyDescent="0.25">
      <c r="B278">
        <v>1200</v>
      </c>
      <c r="C278" s="11" t="s">
        <v>12</v>
      </c>
      <c r="D278" s="11">
        <v>45085</v>
      </c>
      <c r="E278" s="11"/>
      <c r="F278" s="11"/>
      <c r="G278" s="11"/>
      <c r="K278" s="4"/>
    </row>
    <row r="279" spans="2:11" x14ac:dyDescent="0.25">
      <c r="B279">
        <v>-1200</v>
      </c>
      <c r="C279" s="11" t="s">
        <v>13</v>
      </c>
      <c r="D279" s="11"/>
      <c r="E279" s="11"/>
      <c r="F279" s="11"/>
      <c r="G279" s="11"/>
      <c r="K279" s="4"/>
    </row>
    <row r="280" spans="2:11" x14ac:dyDescent="0.25">
      <c r="B280">
        <v>600</v>
      </c>
      <c r="C280" s="11" t="s">
        <v>12</v>
      </c>
      <c r="D280" s="11">
        <v>45117</v>
      </c>
      <c r="E280" s="11"/>
      <c r="F280" s="11"/>
      <c r="G280" s="11"/>
      <c r="K280" s="4"/>
    </row>
    <row r="281" spans="2:11" x14ac:dyDescent="0.25">
      <c r="B281">
        <v>-600</v>
      </c>
      <c r="C281" s="11" t="s">
        <v>13</v>
      </c>
      <c r="D281" s="11">
        <v>45117</v>
      </c>
      <c r="E281" s="11"/>
      <c r="F281" s="11"/>
      <c r="G281" s="11"/>
      <c r="K281" s="4"/>
    </row>
    <row r="282" spans="2:11" x14ac:dyDescent="0.25">
      <c r="B282">
        <v>3000</v>
      </c>
      <c r="C282" s="11" t="s">
        <v>12</v>
      </c>
      <c r="D282" s="11"/>
      <c r="E282" s="11"/>
      <c r="F282" s="11"/>
      <c r="G282" s="11"/>
      <c r="K282" s="4"/>
    </row>
    <row r="283" spans="2:11" x14ac:dyDescent="0.25">
      <c r="B283">
        <v>-3000</v>
      </c>
      <c r="C283" s="11" t="s">
        <v>13</v>
      </c>
      <c r="D283" s="11"/>
      <c r="E283" s="11"/>
      <c r="F283" s="11"/>
      <c r="G283" s="11"/>
      <c r="K283" s="4"/>
    </row>
    <row r="284" spans="2:11" x14ac:dyDescent="0.25">
      <c r="B284">
        <v>600</v>
      </c>
      <c r="C284" s="11" t="s">
        <v>12</v>
      </c>
      <c r="D284" s="11"/>
      <c r="E284" s="11"/>
      <c r="F284" s="11"/>
      <c r="G284" s="11"/>
      <c r="K284" s="4"/>
    </row>
    <row r="285" spans="2:11" x14ac:dyDescent="0.25">
      <c r="B285">
        <v>-600</v>
      </c>
      <c r="C285" s="11" t="s">
        <v>13</v>
      </c>
      <c r="D285" s="11"/>
      <c r="E285" s="11"/>
      <c r="F285" s="11"/>
      <c r="G285" s="11"/>
      <c r="K285" s="4"/>
    </row>
    <row r="286" spans="2:11" x14ac:dyDescent="0.25">
      <c r="B286">
        <v>800</v>
      </c>
      <c r="C286" s="11" t="s">
        <v>12</v>
      </c>
      <c r="D286" s="11">
        <v>45146</v>
      </c>
      <c r="E286" s="11"/>
      <c r="F286" s="11"/>
      <c r="G286" s="11"/>
      <c r="K286" s="4"/>
    </row>
    <row r="287" spans="2:11" x14ac:dyDescent="0.25">
      <c r="B287">
        <v>-800</v>
      </c>
      <c r="C287" s="11" t="s">
        <v>13</v>
      </c>
      <c r="D287" s="11"/>
      <c r="E287" s="11"/>
      <c r="F287" s="11"/>
      <c r="G287" s="11"/>
      <c r="K287" s="4"/>
    </row>
    <row r="288" spans="2:11" x14ac:dyDescent="0.25">
      <c r="B288">
        <v>-300</v>
      </c>
      <c r="C288" s="239" t="s">
        <v>175</v>
      </c>
      <c r="D288" s="11">
        <v>45160</v>
      </c>
      <c r="E288" s="11"/>
      <c r="F288" s="11"/>
      <c r="G288" s="11"/>
      <c r="K288" s="4"/>
    </row>
    <row r="289" spans="2:11" x14ac:dyDescent="0.25">
      <c r="B289">
        <v>2000</v>
      </c>
      <c r="C289" s="11" t="s">
        <v>12</v>
      </c>
      <c r="D289" s="11">
        <v>45163</v>
      </c>
      <c r="E289" s="11"/>
      <c r="F289" s="11"/>
      <c r="G289" s="11"/>
      <c r="K289" s="4"/>
    </row>
    <row r="290" spans="2:11" x14ac:dyDescent="0.25">
      <c r="B290">
        <v>-2000</v>
      </c>
      <c r="C290" s="11" t="s">
        <v>13</v>
      </c>
      <c r="D290" s="11"/>
      <c r="E290" s="11"/>
      <c r="F290" s="11"/>
      <c r="G290" s="11"/>
      <c r="K290" s="4"/>
    </row>
    <row r="291" spans="2:11" x14ac:dyDescent="0.25">
      <c r="B291">
        <v>1600</v>
      </c>
      <c r="C291" s="11" t="s">
        <v>12</v>
      </c>
      <c r="D291" s="11">
        <v>45176</v>
      </c>
      <c r="E291" s="11"/>
      <c r="F291" s="11"/>
      <c r="G291" s="11"/>
      <c r="K291" s="4"/>
    </row>
    <row r="292" spans="2:11" x14ac:dyDescent="0.25">
      <c r="B292">
        <v>-1600</v>
      </c>
      <c r="C292" s="11" t="s">
        <v>13</v>
      </c>
      <c r="D292" s="11"/>
      <c r="E292" s="11"/>
      <c r="F292" s="11"/>
      <c r="G292" s="11"/>
      <c r="K292" s="4"/>
    </row>
    <row r="293" spans="2:11" x14ac:dyDescent="0.25">
      <c r="B293">
        <v>800</v>
      </c>
      <c r="C293" s="11" t="s">
        <v>12</v>
      </c>
      <c r="D293" s="11">
        <v>45206</v>
      </c>
      <c r="E293" s="11"/>
      <c r="F293" s="11"/>
      <c r="G293" s="11"/>
      <c r="K293" s="4"/>
    </row>
    <row r="294" spans="2:11" x14ac:dyDescent="0.25">
      <c r="B294">
        <v>-800</v>
      </c>
      <c r="C294" s="11" t="s">
        <v>13</v>
      </c>
      <c r="D294" s="11"/>
      <c r="E294" s="11"/>
      <c r="F294" s="11"/>
      <c r="G294" s="11"/>
      <c r="K294" s="4"/>
    </row>
    <row r="295" spans="2:11" x14ac:dyDescent="0.25">
      <c r="B295">
        <v>2600</v>
      </c>
      <c r="C295" s="11" t="s">
        <v>12</v>
      </c>
      <c r="D295" s="11">
        <v>45209</v>
      </c>
      <c r="E295" s="11"/>
      <c r="F295" s="11"/>
      <c r="G295" s="11"/>
      <c r="K295" s="4"/>
    </row>
    <row r="296" spans="2:11" x14ac:dyDescent="0.25">
      <c r="B296">
        <v>-2600</v>
      </c>
      <c r="C296" s="11" t="s">
        <v>13</v>
      </c>
      <c r="D296" s="11"/>
      <c r="E296" s="11"/>
      <c r="F296" s="11"/>
      <c r="G296" s="11"/>
      <c r="K296" s="4"/>
    </row>
    <row r="297" spans="2:11" x14ac:dyDescent="0.25">
      <c r="B297">
        <v>800</v>
      </c>
      <c r="C297" s="11" t="s">
        <v>12</v>
      </c>
      <c r="D297" s="11">
        <v>45216</v>
      </c>
      <c r="E297" s="11"/>
      <c r="F297" s="11"/>
      <c r="G297" s="11"/>
      <c r="K297" s="4"/>
    </row>
    <row r="298" spans="2:11" x14ac:dyDescent="0.25">
      <c r="B298">
        <v>-800</v>
      </c>
      <c r="C298" s="11" t="s">
        <v>13</v>
      </c>
      <c r="D298" s="11"/>
      <c r="E298" s="11"/>
      <c r="F298" s="11"/>
      <c r="G298" s="11"/>
      <c r="K298" s="4"/>
    </row>
    <row r="299" spans="2:11" x14ac:dyDescent="0.25">
      <c r="B299">
        <v>800</v>
      </c>
      <c r="C299" s="11" t="s">
        <v>12</v>
      </c>
      <c r="D299" s="11"/>
      <c r="E299" s="11"/>
      <c r="F299" s="11"/>
      <c r="G299" s="11"/>
      <c r="K299" s="4"/>
    </row>
    <row r="300" spans="2:11" x14ac:dyDescent="0.25">
      <c r="B300">
        <v>-800</v>
      </c>
      <c r="C300" s="11" t="s">
        <v>13</v>
      </c>
      <c r="D300" s="11"/>
      <c r="E300" s="11"/>
      <c r="F300" s="11"/>
      <c r="G300" s="11"/>
      <c r="K300" s="4"/>
    </row>
    <row r="301" spans="2:11" x14ac:dyDescent="0.25">
      <c r="B301">
        <v>1200</v>
      </c>
      <c r="C301" s="11" t="s">
        <v>138</v>
      </c>
      <c r="D301" s="11">
        <v>45271</v>
      </c>
      <c r="E301" s="11"/>
      <c r="F301" s="11"/>
      <c r="G301" s="11"/>
      <c r="K301" s="4"/>
    </row>
    <row r="302" spans="2:11" x14ac:dyDescent="0.25">
      <c r="B302">
        <v>-1200</v>
      </c>
      <c r="C302" s="11" t="s">
        <v>13</v>
      </c>
      <c r="D302" s="11"/>
      <c r="E302" s="11"/>
      <c r="F302" s="11"/>
      <c r="G302" s="11"/>
      <c r="K302" s="4"/>
    </row>
    <row r="303" spans="2:11" x14ac:dyDescent="0.25">
      <c r="B303">
        <v>1200</v>
      </c>
      <c r="C303" s="11" t="s">
        <v>138</v>
      </c>
      <c r="D303" s="11">
        <v>45303</v>
      </c>
      <c r="E303" s="11"/>
      <c r="F303" s="11"/>
      <c r="G303" s="11"/>
      <c r="K303" s="4"/>
    </row>
    <row r="304" spans="2:11" x14ac:dyDescent="0.25">
      <c r="B304">
        <v>-1200</v>
      </c>
      <c r="C304" s="11" t="s">
        <v>13</v>
      </c>
      <c r="D304" s="11"/>
      <c r="E304" s="11"/>
      <c r="F304" s="11"/>
      <c r="G304" s="11"/>
      <c r="K304" s="4"/>
    </row>
    <row r="305" spans="2:11" x14ac:dyDescent="0.25">
      <c r="B305">
        <v>3600</v>
      </c>
      <c r="C305" s="11" t="s">
        <v>138</v>
      </c>
      <c r="D305" s="11">
        <v>45309</v>
      </c>
      <c r="E305" s="11"/>
      <c r="F305" s="11"/>
      <c r="G305" s="11"/>
      <c r="K305" s="4"/>
    </row>
    <row r="306" spans="2:11" x14ac:dyDescent="0.25">
      <c r="B306">
        <v>-3600</v>
      </c>
      <c r="C306" s="11" t="s">
        <v>13</v>
      </c>
      <c r="D306" s="11"/>
      <c r="E306" s="11"/>
      <c r="F306" s="11"/>
      <c r="G306" s="11"/>
      <c r="K306" s="4"/>
    </row>
    <row r="307" spans="2:11" x14ac:dyDescent="0.25">
      <c r="B307">
        <v>1200</v>
      </c>
      <c r="C307" s="11" t="s">
        <v>138</v>
      </c>
      <c r="D307" s="11">
        <v>45330</v>
      </c>
      <c r="E307" s="11"/>
      <c r="F307" s="11"/>
      <c r="G307" s="11"/>
      <c r="K307" s="4"/>
    </row>
    <row r="308" spans="2:11" x14ac:dyDescent="0.25">
      <c r="B308">
        <v>-1200</v>
      </c>
      <c r="C308" s="11" t="s">
        <v>13</v>
      </c>
      <c r="D308" s="11"/>
      <c r="E308" s="11"/>
      <c r="F308" s="11"/>
      <c r="G308" s="11"/>
      <c r="K308" s="4"/>
    </row>
    <row r="309" spans="2:11" x14ac:dyDescent="0.25">
      <c r="B309">
        <v>13500</v>
      </c>
      <c r="C309" s="11" t="s">
        <v>138</v>
      </c>
      <c r="D309" s="11">
        <v>45359</v>
      </c>
      <c r="E309" s="11"/>
      <c r="F309" s="11"/>
      <c r="G309" s="11"/>
      <c r="K309" s="4"/>
    </row>
    <row r="310" spans="2:11" x14ac:dyDescent="0.25">
      <c r="B310">
        <v>-13500</v>
      </c>
      <c r="C310" s="11" t="s">
        <v>13</v>
      </c>
      <c r="D310" s="11"/>
      <c r="E310" s="11"/>
      <c r="F310" s="11"/>
      <c r="G310" s="11"/>
      <c r="K310" s="4"/>
    </row>
    <row r="311" spans="2:11" x14ac:dyDescent="0.25">
      <c r="B311">
        <v>9600</v>
      </c>
      <c r="C311" s="11" t="s">
        <v>12</v>
      </c>
      <c r="D311" s="11">
        <v>45371</v>
      </c>
      <c r="E311" s="11"/>
      <c r="F311" s="11"/>
      <c r="G311" s="11"/>
      <c r="K311" s="4"/>
    </row>
    <row r="312" spans="2:11" x14ac:dyDescent="0.25">
      <c r="B312">
        <v>-10000</v>
      </c>
      <c r="C312" s="11" t="s">
        <v>13</v>
      </c>
      <c r="D312" s="11">
        <v>45371</v>
      </c>
      <c r="E312" s="11"/>
      <c r="F312" s="11"/>
      <c r="G312" s="11"/>
      <c r="K312" s="4"/>
    </row>
    <row r="313" spans="2:11" x14ac:dyDescent="0.25">
      <c r="B313">
        <v>1200</v>
      </c>
      <c r="C313" s="11" t="s">
        <v>138</v>
      </c>
      <c r="D313" s="11">
        <v>45377</v>
      </c>
      <c r="E313" s="11"/>
      <c r="F313" s="11"/>
      <c r="G313" s="11"/>
      <c r="K313" s="4"/>
    </row>
    <row r="314" spans="2:11" x14ac:dyDescent="0.25">
      <c r="B314">
        <v>-1200</v>
      </c>
      <c r="C314" s="11" t="s">
        <v>13</v>
      </c>
      <c r="D314" s="11"/>
      <c r="E314" s="11"/>
      <c r="F314" s="11"/>
      <c r="G314" s="11"/>
      <c r="K314" s="4"/>
    </row>
    <row r="315" spans="2:11" x14ac:dyDescent="0.25">
      <c r="B315">
        <v>1200</v>
      </c>
      <c r="C315" s="11" t="s">
        <v>138</v>
      </c>
      <c r="D315" s="11"/>
      <c r="E315" s="11"/>
      <c r="F315" s="11"/>
      <c r="G315" s="11"/>
      <c r="K315" s="4"/>
    </row>
    <row r="316" spans="2:11" x14ac:dyDescent="0.25">
      <c r="B316">
        <v>-1200</v>
      </c>
      <c r="C316" s="11" t="s">
        <v>13</v>
      </c>
      <c r="D316" s="11">
        <v>45405</v>
      </c>
      <c r="E316" s="11"/>
      <c r="F316" s="11"/>
      <c r="G316" s="11"/>
      <c r="K316" s="4"/>
    </row>
    <row r="317" spans="2:11" x14ac:dyDescent="0.25">
      <c r="B317">
        <v>3600</v>
      </c>
      <c r="C317" s="11" t="s">
        <v>138</v>
      </c>
      <c r="D317" s="11">
        <v>45433</v>
      </c>
      <c r="E317" s="11"/>
      <c r="F317" s="11"/>
      <c r="G317" s="11"/>
      <c r="K317" s="4"/>
    </row>
    <row r="318" spans="2:11" x14ac:dyDescent="0.25">
      <c r="B318">
        <v>-3600</v>
      </c>
      <c r="C318" s="11" t="s">
        <v>13</v>
      </c>
      <c r="D318" s="11" t="s">
        <v>247</v>
      </c>
      <c r="E318" s="11"/>
      <c r="F318" s="11"/>
      <c r="G318" s="11"/>
      <c r="K318" s="4"/>
    </row>
    <row r="319" spans="2:11" x14ac:dyDescent="0.25">
      <c r="B319">
        <v>-1000</v>
      </c>
      <c r="C319" s="11" t="s">
        <v>175</v>
      </c>
      <c r="D319" s="11">
        <v>45504</v>
      </c>
      <c r="E319" s="11"/>
      <c r="F319" s="11"/>
      <c r="G319" s="11"/>
      <c r="K319" s="4"/>
    </row>
    <row r="320" spans="2:11" x14ac:dyDescent="0.25">
      <c r="B320">
        <v>28800</v>
      </c>
      <c r="C320" s="11" t="s">
        <v>12</v>
      </c>
      <c r="D320" s="11">
        <v>45530</v>
      </c>
      <c r="E320" s="11"/>
      <c r="F320" s="11"/>
      <c r="G320" s="11"/>
      <c r="K320" s="4"/>
    </row>
    <row r="321" spans="2:11" x14ac:dyDescent="0.25">
      <c r="B321">
        <v>-35000</v>
      </c>
      <c r="C321" s="11" t="s">
        <v>13</v>
      </c>
      <c r="D321" s="11"/>
      <c r="E321" s="11"/>
      <c r="F321" s="11"/>
      <c r="G321" s="11"/>
      <c r="K321" s="4"/>
    </row>
    <row r="322" spans="2:11" x14ac:dyDescent="0.25">
      <c r="B322">
        <v>4500</v>
      </c>
      <c r="C322" s="11" t="s">
        <v>12</v>
      </c>
      <c r="D322" s="11">
        <v>45555</v>
      </c>
      <c r="E322" s="11"/>
      <c r="F322" s="11"/>
      <c r="G322" s="11"/>
      <c r="K322" s="4"/>
    </row>
    <row r="323" spans="2:11" x14ac:dyDescent="0.25">
      <c r="B323">
        <v>-4500</v>
      </c>
      <c r="C323" s="11" t="s">
        <v>13</v>
      </c>
      <c r="D323" s="11">
        <v>45555</v>
      </c>
      <c r="E323" s="11"/>
      <c r="F323" s="11"/>
      <c r="G323" s="11"/>
      <c r="K323" s="4"/>
    </row>
    <row r="324" spans="2:11" x14ac:dyDescent="0.25">
      <c r="B324">
        <v>26200</v>
      </c>
      <c r="C324" s="11" t="s">
        <v>74</v>
      </c>
      <c r="D324" s="11">
        <v>45569</v>
      </c>
      <c r="E324" s="11"/>
      <c r="F324" s="11"/>
      <c r="G324" s="11"/>
      <c r="K324" s="4"/>
    </row>
    <row r="325" spans="2:11" x14ac:dyDescent="0.25">
      <c r="B325">
        <v>-26500</v>
      </c>
      <c r="C325" s="11" t="s">
        <v>93</v>
      </c>
      <c r="D325" s="11">
        <v>45569</v>
      </c>
      <c r="E325" s="11"/>
      <c r="F325" s="11"/>
      <c r="G325" s="11"/>
      <c r="K325" s="4"/>
    </row>
    <row r="326" spans="2:11" x14ac:dyDescent="0.25">
      <c r="B326">
        <v>4500</v>
      </c>
      <c r="C326" s="11" t="s">
        <v>74</v>
      </c>
      <c r="D326" s="11">
        <v>45572</v>
      </c>
      <c r="E326" s="11"/>
      <c r="F326" s="11"/>
      <c r="G326" s="11"/>
      <c r="K326" s="4"/>
    </row>
    <row r="327" spans="2:11" x14ac:dyDescent="0.25">
      <c r="B327">
        <v>-4500</v>
      </c>
      <c r="C327" s="11" t="s">
        <v>93</v>
      </c>
      <c r="D327" s="11"/>
      <c r="E327" s="11"/>
      <c r="F327" s="11"/>
      <c r="G327" s="11"/>
      <c r="K327" s="4"/>
    </row>
    <row r="328" spans="2:11" x14ac:dyDescent="0.25">
      <c r="B328">
        <v>4700</v>
      </c>
      <c r="C328" s="11" t="s">
        <v>12</v>
      </c>
      <c r="D328" s="11">
        <v>45593</v>
      </c>
      <c r="E328" s="11"/>
      <c r="F328" s="11"/>
      <c r="G328" s="11"/>
      <c r="K328" s="4"/>
    </row>
    <row r="329" spans="2:11" x14ac:dyDescent="0.25">
      <c r="B329">
        <v>-5000</v>
      </c>
      <c r="C329" s="11" t="s">
        <v>13</v>
      </c>
      <c r="D329" s="11">
        <v>45593</v>
      </c>
      <c r="E329" s="11"/>
      <c r="F329" s="11"/>
      <c r="G329" s="11"/>
      <c r="K329" s="4"/>
    </row>
    <row r="330" spans="2:11" x14ac:dyDescent="0.25">
      <c r="B330">
        <v>27600</v>
      </c>
      <c r="C330" s="11" t="s">
        <v>12</v>
      </c>
      <c r="D330" s="11">
        <v>45609</v>
      </c>
      <c r="E330" s="11"/>
      <c r="F330" s="11"/>
      <c r="G330" s="11"/>
      <c r="K330" s="4"/>
    </row>
    <row r="331" spans="2:11" x14ac:dyDescent="0.25">
      <c r="B331">
        <v>-28000</v>
      </c>
      <c r="C331" s="11" t="s">
        <v>13</v>
      </c>
      <c r="D331" s="11">
        <v>45609</v>
      </c>
      <c r="E331" s="11"/>
      <c r="F331" s="11"/>
      <c r="G331" s="11"/>
      <c r="K331" s="4"/>
    </row>
    <row r="332" spans="2:11" x14ac:dyDescent="0.25">
      <c r="B332">
        <v>11300</v>
      </c>
      <c r="C332" s="11" t="s">
        <v>12</v>
      </c>
      <c r="D332" s="11"/>
      <c r="E332" s="11"/>
      <c r="F332" s="11"/>
      <c r="G332" s="11"/>
      <c r="K332" s="4"/>
    </row>
    <row r="333" spans="2:11" x14ac:dyDescent="0.25">
      <c r="B333">
        <v>-11500</v>
      </c>
      <c r="C333" s="11" t="s">
        <v>13</v>
      </c>
      <c r="D333" s="11"/>
      <c r="E333" s="11"/>
      <c r="F333" s="11"/>
      <c r="G333" s="11"/>
      <c r="K333" s="4"/>
    </row>
    <row r="334" spans="2:11" x14ac:dyDescent="0.25">
      <c r="B334">
        <v>5100</v>
      </c>
      <c r="C334" s="11" t="s">
        <v>199</v>
      </c>
      <c r="D334" s="11"/>
      <c r="E334" s="11"/>
      <c r="F334" s="11"/>
      <c r="G334" s="11"/>
      <c r="K334" s="4"/>
    </row>
    <row r="335" spans="2:11" x14ac:dyDescent="0.25">
      <c r="B335">
        <v>-5000</v>
      </c>
      <c r="C335" s="11" t="s">
        <v>13</v>
      </c>
      <c r="D335" s="11">
        <v>45643</v>
      </c>
      <c r="E335" s="11"/>
      <c r="F335" s="11"/>
      <c r="G335" s="11"/>
      <c r="K335" s="4"/>
    </row>
    <row r="336" spans="2:11" x14ac:dyDescent="0.25">
      <c r="B336">
        <v>5100</v>
      </c>
      <c r="C336" s="11" t="s">
        <v>138</v>
      </c>
      <c r="D336" s="11"/>
      <c r="E336" s="11"/>
      <c r="F336" s="11"/>
      <c r="G336" s="11"/>
      <c r="K336" s="4"/>
    </row>
    <row r="337" spans="2:11" x14ac:dyDescent="0.25">
      <c r="B337">
        <v>-5100</v>
      </c>
      <c r="C337" s="11" t="s">
        <v>13</v>
      </c>
      <c r="D337" s="11">
        <v>45665</v>
      </c>
      <c r="E337" s="11"/>
      <c r="F337" s="11"/>
      <c r="G337" s="11"/>
      <c r="K337" s="4"/>
    </row>
    <row r="338" spans="2:11" x14ac:dyDescent="0.25">
      <c r="B338">
        <v>37700</v>
      </c>
      <c r="C338" s="11" t="s">
        <v>74</v>
      </c>
      <c r="D338" s="11">
        <v>45743</v>
      </c>
      <c r="E338" s="11"/>
      <c r="F338" s="11"/>
      <c r="G338" s="11"/>
      <c r="K338" s="4"/>
    </row>
    <row r="339" spans="2:11" x14ac:dyDescent="0.25">
      <c r="B339">
        <v>-37700</v>
      </c>
      <c r="C339" s="11" t="s">
        <v>93</v>
      </c>
      <c r="D339" s="11">
        <v>45743</v>
      </c>
      <c r="E339" s="11"/>
      <c r="F339" s="11"/>
      <c r="G339" s="11"/>
      <c r="K339" s="4"/>
    </row>
    <row r="340" spans="2:11" x14ac:dyDescent="0.25">
      <c r="B340">
        <v>65900</v>
      </c>
      <c r="C340" s="11" t="s">
        <v>12</v>
      </c>
      <c r="D340" s="11"/>
      <c r="E340" s="11"/>
      <c r="F340" s="11"/>
      <c r="G340" s="11"/>
      <c r="K340" s="4"/>
    </row>
    <row r="341" spans="2:11" x14ac:dyDescent="0.25">
      <c r="B341">
        <v>-66000</v>
      </c>
      <c r="C341" s="11" t="s">
        <v>233</v>
      </c>
      <c r="D341" s="11">
        <v>45835</v>
      </c>
      <c r="E341" s="11"/>
      <c r="F341" s="11"/>
      <c r="G341" s="11"/>
      <c r="K341" s="4"/>
    </row>
    <row r="342" spans="2:11" x14ac:dyDescent="0.25">
      <c r="B342">
        <v>2000</v>
      </c>
      <c r="C342" s="11" t="s">
        <v>138</v>
      </c>
      <c r="D342" s="11">
        <v>45916</v>
      </c>
      <c r="E342" s="11"/>
      <c r="F342" s="11"/>
      <c r="G342" s="11"/>
      <c r="K342" s="4"/>
    </row>
    <row r="343" spans="2:11" x14ac:dyDescent="0.25">
      <c r="B343">
        <v>-2000</v>
      </c>
      <c r="C343" s="11" t="s">
        <v>13</v>
      </c>
      <c r="D343" s="11"/>
      <c r="E343" s="11"/>
      <c r="F343" s="11"/>
      <c r="G343" s="11"/>
      <c r="K343" s="4"/>
    </row>
    <row r="344" spans="2:11" x14ac:dyDescent="0.25">
      <c r="B344">
        <v>9200</v>
      </c>
      <c r="C344" s="11" t="s">
        <v>138</v>
      </c>
      <c r="D344" s="11">
        <v>45929</v>
      </c>
      <c r="E344" s="11"/>
      <c r="F344" s="11"/>
      <c r="G344" s="11"/>
      <c r="K344" s="4"/>
    </row>
    <row r="345" spans="2:11" x14ac:dyDescent="0.25">
      <c r="B345">
        <v>-9200</v>
      </c>
      <c r="C345" s="11" t="s">
        <v>13</v>
      </c>
      <c r="D345" s="11">
        <v>45929</v>
      </c>
      <c r="E345" s="11"/>
      <c r="F345" s="11"/>
      <c r="G345" s="11"/>
      <c r="K345" s="4"/>
    </row>
    <row r="346" spans="2:11" x14ac:dyDescent="0.25">
      <c r="B346">
        <v>9200</v>
      </c>
      <c r="C346" s="11" t="s">
        <v>138</v>
      </c>
      <c r="D346" s="11">
        <v>45943</v>
      </c>
      <c r="E346" s="11"/>
      <c r="F346" s="11"/>
      <c r="G346" s="11"/>
      <c r="K346" s="4"/>
    </row>
    <row r="347" spans="2:11" x14ac:dyDescent="0.25">
      <c r="B347">
        <v>-9200</v>
      </c>
      <c r="C347" s="11" t="s">
        <v>13</v>
      </c>
      <c r="D347" s="11"/>
      <c r="E347" s="11"/>
      <c r="F347" s="11"/>
      <c r="G347" s="11"/>
      <c r="K347" s="4"/>
    </row>
    <row r="348" spans="2:11" x14ac:dyDescent="0.25">
      <c r="B348">
        <v>9200</v>
      </c>
      <c r="C348" s="11" t="s">
        <v>137</v>
      </c>
      <c r="D348" s="11"/>
      <c r="E348" s="11"/>
      <c r="F348" s="11"/>
      <c r="G348" s="11"/>
      <c r="K348" s="4"/>
    </row>
    <row r="349" spans="2:11" x14ac:dyDescent="0.25">
      <c r="B349">
        <v>-10000</v>
      </c>
      <c r="C349" s="11" t="s">
        <v>93</v>
      </c>
      <c r="D349" s="11"/>
      <c r="E349" s="11"/>
      <c r="F349" s="11"/>
      <c r="G349" s="11"/>
      <c r="K349" s="4"/>
    </row>
    <row r="350" spans="2:11" x14ac:dyDescent="0.25">
      <c r="B350">
        <v>3773</v>
      </c>
      <c r="C350" s="11" t="s">
        <v>138</v>
      </c>
      <c r="D350" s="11">
        <v>46078</v>
      </c>
      <c r="E350" s="11"/>
      <c r="F350" s="11"/>
      <c r="G350" s="11"/>
      <c r="K350" s="4"/>
    </row>
    <row r="351" spans="2:11" x14ac:dyDescent="0.25">
      <c r="B351">
        <v>-4000</v>
      </c>
      <c r="C351" s="11" t="s">
        <v>13</v>
      </c>
      <c r="D351" s="11"/>
      <c r="E351" s="11"/>
      <c r="F351" s="11"/>
      <c r="G351" s="11"/>
      <c r="K351" s="4"/>
    </row>
    <row r="352" spans="2:11" x14ac:dyDescent="0.25">
      <c r="B352" s="135">
        <f>SUM(B51:B351)</f>
        <v>-12141.020000000004</v>
      </c>
      <c r="C352" s="145">
        <v>46078</v>
      </c>
      <c r="D352" s="11"/>
      <c r="E352" s="11"/>
      <c r="F352" s="11"/>
      <c r="G352" s="11"/>
      <c r="K352" s="4"/>
    </row>
    <row r="353" spans="2:11" x14ac:dyDescent="0.25">
      <c r="B353" s="11"/>
      <c r="C353" s="11"/>
      <c r="F353" s="11"/>
      <c r="G353" s="11"/>
      <c r="K353" s="4"/>
    </row>
    <row r="354" spans="2:11" x14ac:dyDescent="0.25">
      <c r="B354" s="11"/>
      <c r="F354" s="11"/>
      <c r="G354" s="11"/>
      <c r="K354" s="4"/>
    </row>
    <row r="355" spans="2:11" x14ac:dyDescent="0.25">
      <c r="B355" s="11"/>
      <c r="F355" s="11"/>
      <c r="G355" s="11"/>
      <c r="I355">
        <v>228007.73</v>
      </c>
      <c r="K355" s="4"/>
    </row>
    <row r="356" spans="2:11" x14ac:dyDescent="0.25">
      <c r="B356" s="11"/>
      <c r="F356" s="11"/>
      <c r="G356" s="11"/>
      <c r="I356">
        <v>43205.31</v>
      </c>
      <c r="K356" s="4"/>
    </row>
    <row r="357" spans="2:11" x14ac:dyDescent="0.25">
      <c r="B357" s="11"/>
      <c r="F357" s="11"/>
      <c r="G357" s="11"/>
      <c r="I357">
        <v>1907807.61</v>
      </c>
      <c r="K357" s="4"/>
    </row>
    <row r="358" spans="2:11" x14ac:dyDescent="0.25">
      <c r="B358" s="11"/>
      <c r="F358" s="11"/>
      <c r="G358" s="11"/>
      <c r="I358">
        <v>661552.98</v>
      </c>
      <c r="K358" s="4"/>
    </row>
    <row r="359" spans="2:11" x14ac:dyDescent="0.25">
      <c r="B359" s="11"/>
      <c r="F359" s="11"/>
      <c r="G359" s="11"/>
      <c r="I359">
        <v>7170063.6799999997</v>
      </c>
      <c r="K359" s="4"/>
    </row>
    <row r="360" spans="2:11" x14ac:dyDescent="0.25">
      <c r="B360" s="11"/>
      <c r="F360" s="11"/>
      <c r="G360" s="11"/>
      <c r="I360">
        <v>14341360.199999999</v>
      </c>
      <c r="K360" s="4"/>
    </row>
    <row r="361" spans="2:11" x14ac:dyDescent="0.25">
      <c r="B361" s="11"/>
      <c r="F361" s="11"/>
      <c r="G361" s="11"/>
      <c r="I361">
        <v>44520829.640000001</v>
      </c>
      <c r="K361" s="4"/>
    </row>
    <row r="362" spans="2:11" x14ac:dyDescent="0.25">
      <c r="B362" s="11"/>
      <c r="F362" s="11"/>
      <c r="G362" s="11"/>
      <c r="I362">
        <v>3194742.82</v>
      </c>
      <c r="K362" s="4"/>
    </row>
    <row r="363" spans="2:11" x14ac:dyDescent="0.25">
      <c r="B363" s="11"/>
      <c r="F363" s="11"/>
      <c r="G363" s="11"/>
      <c r="I363">
        <v>152101.57</v>
      </c>
      <c r="K363" s="4"/>
    </row>
    <row r="364" spans="2:11" x14ac:dyDescent="0.25">
      <c r="B364" s="11"/>
      <c r="D364" s="11"/>
      <c r="E364" s="11"/>
      <c r="F364" s="11"/>
      <c r="G364" s="11"/>
      <c r="I364">
        <f>SUM(I355:I363)</f>
        <v>72219671.539999992</v>
      </c>
      <c r="K364" s="4"/>
    </row>
    <row r="365" spans="2:11" x14ac:dyDescent="0.25">
      <c r="B365" s="11"/>
      <c r="F365" s="11"/>
      <c r="G365" s="11"/>
    </row>
    <row r="366" spans="2:11" x14ac:dyDescent="0.25">
      <c r="B366" s="11"/>
      <c r="F366" s="11"/>
      <c r="G366" s="11"/>
    </row>
    <row r="367" spans="2:11" x14ac:dyDescent="0.25">
      <c r="B367" s="11"/>
      <c r="F367" s="11"/>
      <c r="G367" s="11"/>
    </row>
    <row r="368" spans="2:11" x14ac:dyDescent="0.25">
      <c r="B368" s="11"/>
      <c r="F368" s="11"/>
      <c r="G368" s="11"/>
    </row>
    <row r="369" spans="2:7" x14ac:dyDescent="0.25">
      <c r="B369" s="11"/>
      <c r="F369" s="11"/>
      <c r="G369" s="11"/>
    </row>
    <row r="370" spans="2:7" x14ac:dyDescent="0.25">
      <c r="B370" s="11"/>
      <c r="F370" s="11"/>
      <c r="G370" s="11"/>
    </row>
    <row r="371" spans="2:7" x14ac:dyDescent="0.25">
      <c r="B371" s="11"/>
      <c r="F371" s="11"/>
      <c r="G371" s="11"/>
    </row>
    <row r="372" spans="2:7" x14ac:dyDescent="0.25">
      <c r="B372" s="11"/>
      <c r="F372" s="11"/>
      <c r="G372" s="11"/>
    </row>
    <row r="373" spans="2:7" x14ac:dyDescent="0.25">
      <c r="B373" s="11"/>
      <c r="F373" s="11"/>
      <c r="G373" s="11"/>
    </row>
    <row r="374" spans="2:7" x14ac:dyDescent="0.25">
      <c r="B374" s="11"/>
      <c r="F374" s="11"/>
      <c r="G374" s="11"/>
    </row>
    <row r="375" spans="2:7" x14ac:dyDescent="0.25">
      <c r="B375" s="11"/>
      <c r="F375" s="11"/>
      <c r="G375" s="11"/>
    </row>
    <row r="376" spans="2:7" x14ac:dyDescent="0.25">
      <c r="B376" s="11"/>
      <c r="F376" s="11"/>
      <c r="G376" s="11"/>
    </row>
    <row r="377" spans="2:7" x14ac:dyDescent="0.25">
      <c r="B377" s="11"/>
      <c r="F377" s="11"/>
      <c r="G377" s="11"/>
    </row>
    <row r="378" spans="2:7" x14ac:dyDescent="0.25">
      <c r="B378" s="11"/>
      <c r="F378" s="11"/>
      <c r="G378" s="11"/>
    </row>
    <row r="379" spans="2:7" x14ac:dyDescent="0.25">
      <c r="B379" s="11"/>
      <c r="F379" s="11"/>
      <c r="G379" s="11"/>
    </row>
    <row r="380" spans="2:7" x14ac:dyDescent="0.25">
      <c r="B380" s="11"/>
      <c r="F380" s="11"/>
      <c r="G380" s="11"/>
    </row>
    <row r="381" spans="2:7" x14ac:dyDescent="0.25">
      <c r="B381" s="11"/>
      <c r="F381" s="11"/>
      <c r="G381" s="11"/>
    </row>
    <row r="382" spans="2:7" x14ac:dyDescent="0.25">
      <c r="B382" s="11"/>
      <c r="F382" s="11"/>
      <c r="G382" s="11"/>
    </row>
    <row r="383" spans="2:7" x14ac:dyDescent="0.25">
      <c r="B383" s="11"/>
      <c r="F383" s="11"/>
      <c r="G383" s="11"/>
    </row>
    <row r="384" spans="2:7" x14ac:dyDescent="0.25">
      <c r="B384" s="11"/>
      <c r="F384" s="11"/>
      <c r="G384" s="11"/>
    </row>
    <row r="385" spans="2:7" x14ac:dyDescent="0.25">
      <c r="B385" s="11"/>
      <c r="F385" s="11"/>
      <c r="G385" s="11"/>
    </row>
    <row r="386" spans="2:7" x14ac:dyDescent="0.25">
      <c r="B386" s="11"/>
      <c r="F386" s="11"/>
      <c r="G386" s="11"/>
    </row>
    <row r="387" spans="2:7" x14ac:dyDescent="0.25">
      <c r="B387" s="11"/>
      <c r="F387" s="11"/>
      <c r="G387" s="1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6"/>
  <sheetViews>
    <sheetView zoomScale="110" zoomScaleNormal="110" workbookViewId="0">
      <selection activeCell="A5" sqref="A5"/>
    </sheetView>
  </sheetViews>
  <sheetFormatPr baseColWidth="10" defaultRowHeight="15" x14ac:dyDescent="0.25"/>
  <cols>
    <col min="2" max="2" width="14" customWidth="1"/>
    <col min="3" max="3" width="12.28515625" bestFit="1" customWidth="1"/>
    <col min="6" max="6" width="11.42578125" style="230"/>
    <col min="9" max="9" width="13.7109375" bestFit="1" customWidth="1"/>
    <col min="11" max="11" width="13.140625" bestFit="1" customWidth="1"/>
  </cols>
  <sheetData>
    <row r="1" spans="1:11" x14ac:dyDescent="0.25">
      <c r="C1" s="211" t="s">
        <v>157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46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ht="15.75" x14ac:dyDescent="0.25">
      <c r="A3" s="91">
        <v>46142</v>
      </c>
      <c r="B3" s="227" t="s">
        <v>9</v>
      </c>
      <c r="C3" s="82" t="s">
        <v>300</v>
      </c>
      <c r="D3" s="82">
        <v>430</v>
      </c>
      <c r="E3" s="82"/>
      <c r="F3" s="82">
        <v>34.46</v>
      </c>
      <c r="G3" s="82"/>
      <c r="H3" s="90">
        <v>620612</v>
      </c>
      <c r="I3" s="90" t="s">
        <v>15</v>
      </c>
      <c r="J3" s="2"/>
      <c r="K3" s="248"/>
    </row>
    <row r="4" spans="1:11" ht="15.75" x14ac:dyDescent="0.25">
      <c r="A4" s="91">
        <v>46114</v>
      </c>
      <c r="B4" s="82" t="s">
        <v>300</v>
      </c>
      <c r="C4" s="124" t="s">
        <v>118</v>
      </c>
      <c r="D4" s="82">
        <v>100</v>
      </c>
      <c r="E4" s="82"/>
      <c r="F4" s="82"/>
      <c r="G4" s="82"/>
      <c r="H4" s="128" t="s">
        <v>66</v>
      </c>
      <c r="I4" s="90"/>
      <c r="J4" s="2"/>
      <c r="K4" s="248"/>
    </row>
    <row r="5" spans="1:11" ht="15.75" x14ac:dyDescent="0.25">
      <c r="A5" s="91"/>
      <c r="B5" s="82"/>
      <c r="C5" s="124"/>
      <c r="D5" s="82"/>
      <c r="E5" s="82"/>
      <c r="F5" s="82"/>
      <c r="G5" s="82"/>
      <c r="H5" s="123"/>
      <c r="I5" s="90"/>
      <c r="J5" s="2"/>
      <c r="K5" s="248"/>
    </row>
    <row r="6" spans="1:11" ht="15.75" x14ac:dyDescent="0.25">
      <c r="A6" s="91"/>
      <c r="B6" s="82"/>
      <c r="C6" s="124"/>
      <c r="D6" s="82"/>
      <c r="E6" s="82"/>
      <c r="F6" s="82"/>
      <c r="G6" s="82"/>
      <c r="H6" s="123"/>
      <c r="I6" s="90"/>
      <c r="J6" s="2"/>
      <c r="K6" s="248"/>
    </row>
    <row r="7" spans="1:11" ht="15.75" x14ac:dyDescent="0.25">
      <c r="A7" s="91"/>
      <c r="B7" s="82"/>
      <c r="C7" s="124"/>
      <c r="D7" s="82"/>
      <c r="E7" s="82"/>
      <c r="F7" s="82"/>
      <c r="G7" s="82"/>
      <c r="H7" s="123"/>
      <c r="I7" s="90"/>
      <c r="J7" s="2"/>
      <c r="K7" s="248"/>
    </row>
    <row r="8" spans="1:11" ht="15.75" x14ac:dyDescent="0.25">
      <c r="A8" s="91"/>
      <c r="B8" s="82"/>
      <c r="C8" s="124"/>
      <c r="D8" s="82"/>
      <c r="E8" s="82"/>
      <c r="F8" s="82"/>
      <c r="G8" s="82"/>
      <c r="H8" s="123"/>
      <c r="I8" s="90"/>
      <c r="J8" s="2"/>
      <c r="K8" s="248"/>
    </row>
    <row r="9" spans="1:11" ht="15.75" x14ac:dyDescent="0.25">
      <c r="A9" s="91"/>
      <c r="B9" s="82"/>
      <c r="C9" s="124"/>
      <c r="D9" s="82"/>
      <c r="E9" s="82"/>
      <c r="F9" s="82"/>
      <c r="G9" s="82"/>
      <c r="H9" s="123"/>
      <c r="I9" s="90"/>
      <c r="J9" s="2"/>
      <c r="K9" s="248"/>
    </row>
    <row r="10" spans="1:11" ht="15.75" x14ac:dyDescent="0.25">
      <c r="A10" s="91"/>
      <c r="B10" s="82"/>
      <c r="C10" s="124"/>
      <c r="D10" s="82"/>
      <c r="E10" s="82"/>
      <c r="F10" s="82"/>
      <c r="G10" s="82"/>
      <c r="H10" s="123"/>
      <c r="I10" s="90"/>
      <c r="J10" s="2"/>
      <c r="K10" s="248"/>
    </row>
    <row r="11" spans="1:11" ht="15.75" x14ac:dyDescent="0.25">
      <c r="A11" s="91"/>
      <c r="B11" s="82"/>
      <c r="C11" s="124"/>
      <c r="D11" s="82"/>
      <c r="E11" s="82"/>
      <c r="F11" s="82"/>
      <c r="G11" s="82"/>
      <c r="H11" s="123"/>
      <c r="I11" s="90"/>
      <c r="J11" s="2"/>
      <c r="K11" s="248"/>
    </row>
    <row r="12" spans="1:11" ht="15.75" x14ac:dyDescent="0.25">
      <c r="A12" s="91"/>
      <c r="B12" s="82"/>
      <c r="C12" s="124"/>
      <c r="D12" s="82"/>
      <c r="E12" s="82"/>
      <c r="F12" s="82"/>
      <c r="G12" s="82"/>
      <c r="H12" s="123"/>
      <c r="I12" s="90"/>
      <c r="J12" s="2"/>
      <c r="K12" s="248"/>
    </row>
    <row r="13" spans="1:11" ht="15.75" x14ac:dyDescent="0.25">
      <c r="A13" s="91"/>
      <c r="B13" s="82"/>
      <c r="C13" s="124"/>
      <c r="D13" s="82"/>
      <c r="E13" s="82"/>
      <c r="F13" s="82"/>
      <c r="G13" s="82"/>
      <c r="H13" s="123"/>
      <c r="I13" s="90"/>
      <c r="J13" s="2"/>
      <c r="K13" s="248"/>
    </row>
    <row r="14" spans="1:11" ht="15.75" x14ac:dyDescent="0.25">
      <c r="A14" s="91"/>
      <c r="B14" s="82"/>
      <c r="C14" s="124"/>
      <c r="D14" s="82"/>
      <c r="E14" s="82"/>
      <c r="F14" s="82"/>
      <c r="G14" s="82"/>
      <c r="H14" s="123"/>
      <c r="I14" s="90"/>
      <c r="J14" s="2"/>
      <c r="K14" s="248"/>
    </row>
    <row r="15" spans="1:11" ht="15.75" x14ac:dyDescent="0.25">
      <c r="A15" s="91"/>
      <c r="B15" s="82"/>
      <c r="C15" s="124"/>
      <c r="D15" s="82"/>
      <c r="E15" s="82"/>
      <c r="F15" s="82"/>
      <c r="G15" s="82"/>
      <c r="H15" s="123"/>
      <c r="I15" s="90"/>
      <c r="J15" s="2"/>
      <c r="K15" s="248"/>
    </row>
    <row r="16" spans="1:11" ht="15.75" x14ac:dyDescent="0.25">
      <c r="A16" s="91"/>
      <c r="B16" s="82"/>
      <c r="C16" s="124"/>
      <c r="D16" s="82"/>
      <c r="E16" s="82"/>
      <c r="F16" s="82"/>
      <c r="G16" s="82"/>
      <c r="H16" s="123"/>
      <c r="I16" s="90"/>
      <c r="J16" s="2"/>
      <c r="K16" s="248"/>
    </row>
    <row r="17" spans="1:11" ht="15.75" x14ac:dyDescent="0.25">
      <c r="A17" s="91"/>
      <c r="B17" s="82"/>
      <c r="C17" s="124"/>
      <c r="D17" s="82"/>
      <c r="E17" s="82"/>
      <c r="F17" s="82"/>
      <c r="G17" s="82"/>
      <c r="H17" s="123"/>
      <c r="I17" s="90"/>
      <c r="J17" s="2"/>
      <c r="K17" s="248"/>
    </row>
    <row r="18" spans="1:11" ht="15.75" x14ac:dyDescent="0.25">
      <c r="A18" s="91"/>
      <c r="B18" s="82"/>
      <c r="C18" s="124"/>
      <c r="D18" s="82"/>
      <c r="E18" s="82"/>
      <c r="F18" s="82"/>
      <c r="G18" s="82"/>
      <c r="H18" s="123"/>
      <c r="I18" s="90"/>
      <c r="J18" s="2"/>
      <c r="K18" s="248"/>
    </row>
    <row r="19" spans="1:11" ht="15.75" x14ac:dyDescent="0.25">
      <c r="A19" s="91"/>
      <c r="B19" s="82"/>
      <c r="C19" s="124"/>
      <c r="D19" s="82"/>
      <c r="E19" s="82"/>
      <c r="F19" s="82"/>
      <c r="G19" s="82"/>
      <c r="H19" s="83"/>
      <c r="I19" s="90"/>
      <c r="J19" s="2"/>
      <c r="K19" s="248"/>
    </row>
    <row r="20" spans="1:11" ht="15.75" x14ac:dyDescent="0.25">
      <c r="A20" s="91"/>
      <c r="B20" s="82"/>
      <c r="C20" s="124"/>
      <c r="D20" s="82"/>
      <c r="E20" s="82"/>
      <c r="F20" s="82"/>
      <c r="G20" s="82"/>
      <c r="H20" s="83"/>
      <c r="I20" s="90"/>
      <c r="J20" s="2"/>
      <c r="K20" s="248"/>
    </row>
    <row r="21" spans="1:11" ht="15.75" x14ac:dyDescent="0.25">
      <c r="A21" s="91"/>
      <c r="B21" s="82"/>
      <c r="C21" s="124"/>
      <c r="D21" s="82"/>
      <c r="E21" s="82"/>
      <c r="F21" s="82"/>
      <c r="G21" s="82"/>
      <c r="H21" s="83"/>
      <c r="I21" s="90"/>
      <c r="J21" s="2"/>
      <c r="K21" s="248"/>
    </row>
    <row r="22" spans="1:11" ht="15.75" x14ac:dyDescent="0.25">
      <c r="A22" s="91"/>
      <c r="B22" s="82"/>
      <c r="C22" s="124"/>
      <c r="D22" s="82"/>
      <c r="E22" s="82"/>
      <c r="F22" s="82"/>
      <c r="G22" s="82"/>
      <c r="H22" s="83"/>
      <c r="I22" s="90"/>
      <c r="J22" s="2"/>
      <c r="K22" s="248"/>
    </row>
    <row r="23" spans="1:11" ht="15.75" x14ac:dyDescent="0.25">
      <c r="A23" s="91"/>
      <c r="B23" s="82"/>
      <c r="C23" s="124"/>
      <c r="D23" s="82"/>
      <c r="E23" s="82"/>
      <c r="F23" s="82"/>
      <c r="G23" s="82"/>
      <c r="H23" s="83"/>
      <c r="I23" s="90"/>
      <c r="J23" s="2"/>
      <c r="K23" s="248"/>
    </row>
    <row r="24" spans="1:11" ht="15.75" x14ac:dyDescent="0.25">
      <c r="A24" s="91"/>
      <c r="B24" s="82"/>
      <c r="C24" s="124"/>
      <c r="D24" s="82"/>
      <c r="E24" s="82"/>
      <c r="F24" s="82"/>
      <c r="G24" s="82"/>
      <c r="H24" s="83"/>
      <c r="I24" s="90"/>
      <c r="J24" s="2"/>
      <c r="K24" s="248"/>
    </row>
    <row r="25" spans="1:11" ht="15.75" x14ac:dyDescent="0.25">
      <c r="A25" s="91">
        <v>46112</v>
      </c>
      <c r="B25" s="82" t="s">
        <v>118</v>
      </c>
      <c r="C25" s="124" t="s">
        <v>358</v>
      </c>
      <c r="D25" s="82">
        <v>1490</v>
      </c>
      <c r="E25" s="82"/>
      <c r="F25" s="82"/>
      <c r="G25" s="82"/>
      <c r="H25" s="123">
        <v>118338</v>
      </c>
      <c r="I25" s="90" t="s">
        <v>359</v>
      </c>
      <c r="J25" s="2"/>
      <c r="K25" s="248"/>
    </row>
    <row r="26" spans="1:11" ht="15.75" x14ac:dyDescent="0.25">
      <c r="A26" s="91">
        <v>46114</v>
      </c>
      <c r="B26" s="82" t="s">
        <v>358</v>
      </c>
      <c r="C26" s="124" t="s">
        <v>9</v>
      </c>
      <c r="D26" s="82">
        <v>970</v>
      </c>
      <c r="E26" s="82"/>
      <c r="F26" s="82"/>
      <c r="G26" s="82"/>
      <c r="H26" s="83" t="s">
        <v>66</v>
      </c>
      <c r="I26" s="90"/>
      <c r="J26" s="2"/>
      <c r="K26" s="248"/>
    </row>
    <row r="27" spans="1:11" ht="15.75" x14ac:dyDescent="0.25">
      <c r="A27" s="91">
        <v>46118</v>
      </c>
      <c r="B27" s="227" t="s">
        <v>9</v>
      </c>
      <c r="C27" s="124" t="s">
        <v>300</v>
      </c>
      <c r="D27" s="82">
        <v>420</v>
      </c>
      <c r="E27" s="82"/>
      <c r="F27" s="82">
        <v>34.840000000000003</v>
      </c>
      <c r="G27" s="82"/>
      <c r="H27" s="123">
        <v>619082</v>
      </c>
      <c r="I27" s="90" t="s">
        <v>257</v>
      </c>
      <c r="J27" s="2"/>
      <c r="K27" s="248"/>
    </row>
    <row r="28" spans="1:11" ht="15.75" x14ac:dyDescent="0.25">
      <c r="A28" s="91">
        <v>46119</v>
      </c>
      <c r="B28" s="82" t="s">
        <v>300</v>
      </c>
      <c r="C28" s="124" t="s">
        <v>229</v>
      </c>
      <c r="D28" s="82">
        <v>150</v>
      </c>
      <c r="E28" s="82"/>
      <c r="F28" s="82"/>
      <c r="G28" s="82"/>
      <c r="H28" s="83" t="s">
        <v>66</v>
      </c>
      <c r="I28" s="90"/>
      <c r="J28" s="2"/>
      <c r="K28" s="248"/>
    </row>
    <row r="29" spans="1:11" ht="15.75" x14ac:dyDescent="0.25">
      <c r="A29" s="91">
        <v>46119</v>
      </c>
      <c r="B29" s="82" t="s">
        <v>229</v>
      </c>
      <c r="C29" s="124" t="s">
        <v>10</v>
      </c>
      <c r="D29" s="82">
        <v>10</v>
      </c>
      <c r="E29" s="82"/>
      <c r="F29" s="82"/>
      <c r="G29" s="82"/>
      <c r="H29" s="90">
        <v>1063714</v>
      </c>
      <c r="I29" s="90" t="s">
        <v>360</v>
      </c>
      <c r="J29" s="2"/>
      <c r="K29" s="248"/>
    </row>
    <row r="30" spans="1:11" ht="15.75" x14ac:dyDescent="0.25">
      <c r="A30" s="91">
        <v>46119</v>
      </c>
      <c r="B30" s="82" t="s">
        <v>10</v>
      </c>
      <c r="C30" s="124" t="s">
        <v>229</v>
      </c>
      <c r="D30" s="82">
        <v>10</v>
      </c>
      <c r="E30" s="82"/>
      <c r="F30" s="82"/>
      <c r="G30" s="82"/>
      <c r="H30" s="128" t="s">
        <v>66</v>
      </c>
      <c r="I30" s="90"/>
      <c r="J30" s="2"/>
      <c r="K30" s="248"/>
    </row>
    <row r="31" spans="1:11" ht="15.75" x14ac:dyDescent="0.25">
      <c r="A31" s="91">
        <v>46119</v>
      </c>
      <c r="B31" s="82" t="s">
        <v>229</v>
      </c>
      <c r="C31" s="124" t="s">
        <v>10</v>
      </c>
      <c r="D31" s="82">
        <v>10</v>
      </c>
      <c r="E31" s="82"/>
      <c r="F31" s="82"/>
      <c r="G31" s="82"/>
      <c r="H31" s="123">
        <v>1063788</v>
      </c>
      <c r="I31" s="90" t="s">
        <v>360</v>
      </c>
      <c r="J31" s="2"/>
      <c r="K31" s="248"/>
    </row>
    <row r="32" spans="1:11" ht="15.75" x14ac:dyDescent="0.25">
      <c r="A32" s="91">
        <v>46119</v>
      </c>
      <c r="B32" s="82" t="s">
        <v>10</v>
      </c>
      <c r="C32" s="82" t="s">
        <v>9</v>
      </c>
      <c r="D32" s="82">
        <v>500</v>
      </c>
      <c r="E32" s="82"/>
      <c r="F32" s="82">
        <v>33.909999999999997</v>
      </c>
      <c r="G32" s="82"/>
      <c r="H32" s="123">
        <v>1063821</v>
      </c>
      <c r="I32" s="90" t="s">
        <v>176</v>
      </c>
      <c r="J32" s="2"/>
      <c r="K32" s="248"/>
    </row>
    <row r="33" spans="1:11" ht="15.75" x14ac:dyDescent="0.25">
      <c r="A33" s="91">
        <v>46121</v>
      </c>
      <c r="B33" s="82" t="s">
        <v>9</v>
      </c>
      <c r="C33" s="124" t="s">
        <v>278</v>
      </c>
      <c r="D33" s="82">
        <v>430</v>
      </c>
      <c r="E33" s="82"/>
      <c r="F33" s="82"/>
      <c r="G33" s="82"/>
      <c r="H33" s="123">
        <v>293566</v>
      </c>
      <c r="I33" s="90" t="s">
        <v>15</v>
      </c>
      <c r="J33" s="2"/>
      <c r="K33" s="248"/>
    </row>
    <row r="34" spans="1:11" ht="15.75" x14ac:dyDescent="0.25">
      <c r="A34" s="91">
        <v>46122</v>
      </c>
      <c r="B34" s="82" t="s">
        <v>278</v>
      </c>
      <c r="C34" s="124" t="s">
        <v>118</v>
      </c>
      <c r="D34" s="82">
        <v>150</v>
      </c>
      <c r="E34" s="82"/>
      <c r="F34" s="82"/>
      <c r="G34" s="82"/>
      <c r="H34" s="128" t="s">
        <v>66</v>
      </c>
      <c r="I34" s="90"/>
      <c r="J34" s="2"/>
      <c r="K34" s="248"/>
    </row>
    <row r="35" spans="1:11" ht="15.75" x14ac:dyDescent="0.25">
      <c r="A35" s="91">
        <v>46122</v>
      </c>
      <c r="B35" s="82" t="s">
        <v>118</v>
      </c>
      <c r="C35" s="124" t="s">
        <v>385</v>
      </c>
      <c r="D35" s="82">
        <v>1560</v>
      </c>
      <c r="E35" s="82"/>
      <c r="F35" s="82"/>
      <c r="G35" s="82"/>
      <c r="H35" s="90">
        <v>120342</v>
      </c>
      <c r="I35" s="90" t="s">
        <v>386</v>
      </c>
      <c r="J35" s="2"/>
      <c r="K35" s="248"/>
    </row>
    <row r="36" spans="1:11" ht="15.75" x14ac:dyDescent="0.25">
      <c r="A36" s="91">
        <v>46125</v>
      </c>
      <c r="B36" s="124" t="s">
        <v>385</v>
      </c>
      <c r="C36" s="124" t="s">
        <v>227</v>
      </c>
      <c r="D36" s="82">
        <v>270</v>
      </c>
      <c r="E36" s="82"/>
      <c r="F36" s="82"/>
      <c r="G36" s="82"/>
      <c r="H36" s="83" t="s">
        <v>66</v>
      </c>
      <c r="I36" s="90"/>
      <c r="J36" s="2"/>
      <c r="K36" s="248"/>
    </row>
    <row r="37" spans="1:11" ht="15.75" x14ac:dyDescent="0.25">
      <c r="A37" s="91">
        <v>46126</v>
      </c>
      <c r="B37" s="82" t="s">
        <v>296</v>
      </c>
      <c r="C37" s="124" t="s">
        <v>9</v>
      </c>
      <c r="D37" s="82">
        <v>820</v>
      </c>
      <c r="E37" s="82"/>
      <c r="F37" s="82">
        <v>35</v>
      </c>
      <c r="G37" s="82"/>
      <c r="H37" s="90">
        <v>189439</v>
      </c>
      <c r="I37" s="90" t="s">
        <v>304</v>
      </c>
      <c r="J37" s="2"/>
      <c r="K37" s="248"/>
    </row>
    <row r="38" spans="1:11" ht="15.75" x14ac:dyDescent="0.25">
      <c r="A38" s="91">
        <v>46127</v>
      </c>
      <c r="B38" s="227" t="s">
        <v>9</v>
      </c>
      <c r="C38" s="124" t="s">
        <v>300</v>
      </c>
      <c r="D38" s="82">
        <v>420</v>
      </c>
      <c r="E38" s="82"/>
      <c r="F38" s="82">
        <v>34.590000000000003</v>
      </c>
      <c r="G38" s="82"/>
      <c r="H38" s="123">
        <v>619722</v>
      </c>
      <c r="I38" s="90" t="s">
        <v>257</v>
      </c>
      <c r="J38" s="2"/>
      <c r="K38" s="248"/>
    </row>
    <row r="39" spans="1:11" ht="15.75" x14ac:dyDescent="0.25">
      <c r="A39" s="91">
        <v>46128</v>
      </c>
      <c r="B39" s="82" t="s">
        <v>300</v>
      </c>
      <c r="C39" s="124" t="s">
        <v>10</v>
      </c>
      <c r="D39" s="82">
        <v>150</v>
      </c>
      <c r="E39" s="82"/>
      <c r="F39" s="82"/>
      <c r="G39" s="82"/>
      <c r="H39" s="83" t="s">
        <v>66</v>
      </c>
      <c r="I39" s="90"/>
      <c r="J39" s="2"/>
      <c r="K39" s="248"/>
    </row>
    <row r="40" spans="1:11" ht="15.75" x14ac:dyDescent="0.25">
      <c r="A40" s="91">
        <v>46128</v>
      </c>
      <c r="B40" s="82" t="s">
        <v>10</v>
      </c>
      <c r="C40" s="82" t="s">
        <v>9</v>
      </c>
      <c r="D40" s="82">
        <v>500</v>
      </c>
      <c r="E40" s="82"/>
      <c r="F40" s="82">
        <v>35.270000000000003</v>
      </c>
      <c r="G40" s="82"/>
      <c r="H40" s="123">
        <v>1065460</v>
      </c>
      <c r="I40" s="90" t="s">
        <v>176</v>
      </c>
      <c r="J40" s="2"/>
      <c r="K40" s="248"/>
    </row>
    <row r="41" spans="1:11" ht="15.75" x14ac:dyDescent="0.25">
      <c r="A41" s="91">
        <v>46129</v>
      </c>
      <c r="B41" s="82" t="s">
        <v>9</v>
      </c>
      <c r="C41" s="124" t="s">
        <v>351</v>
      </c>
      <c r="D41" s="82">
        <v>1010</v>
      </c>
      <c r="E41" s="82"/>
      <c r="F41" s="82">
        <v>34.53</v>
      </c>
      <c r="G41" s="82"/>
      <c r="H41" s="90">
        <v>619899</v>
      </c>
      <c r="I41" s="90" t="s">
        <v>257</v>
      </c>
      <c r="J41" s="2"/>
      <c r="K41" s="248"/>
    </row>
    <row r="42" spans="1:11" ht="15.75" x14ac:dyDescent="0.25">
      <c r="A42" s="91">
        <v>46132</v>
      </c>
      <c r="B42" s="82" t="s">
        <v>351</v>
      </c>
      <c r="C42" s="124" t="s">
        <v>227</v>
      </c>
      <c r="D42" s="82">
        <v>240</v>
      </c>
      <c r="E42" s="82"/>
      <c r="F42" s="82"/>
      <c r="G42" s="82"/>
      <c r="H42" s="83" t="s">
        <v>66</v>
      </c>
      <c r="I42" s="90"/>
      <c r="J42" s="2"/>
      <c r="K42" s="248"/>
    </row>
    <row r="43" spans="1:11" ht="15.75" x14ac:dyDescent="0.25">
      <c r="A43" s="91">
        <v>46132</v>
      </c>
      <c r="B43" s="82" t="s">
        <v>296</v>
      </c>
      <c r="C43" s="124" t="s">
        <v>351</v>
      </c>
      <c r="D43" s="82">
        <v>240</v>
      </c>
      <c r="E43" s="82"/>
      <c r="F43" s="82">
        <v>33.799999999999997</v>
      </c>
      <c r="G43" s="82"/>
      <c r="H43" s="90">
        <v>189748</v>
      </c>
      <c r="I43" s="90" t="s">
        <v>431</v>
      </c>
      <c r="J43" s="2"/>
      <c r="K43" s="248"/>
    </row>
    <row r="44" spans="1:11" ht="15.75" x14ac:dyDescent="0.25">
      <c r="A44" s="91">
        <v>46133</v>
      </c>
      <c r="B44" s="82" t="s">
        <v>351</v>
      </c>
      <c r="C44" s="124" t="s">
        <v>227</v>
      </c>
      <c r="D44" s="82">
        <v>240</v>
      </c>
      <c r="E44" s="82"/>
      <c r="F44" s="82"/>
      <c r="G44" s="82"/>
      <c r="H44" s="83" t="s">
        <v>66</v>
      </c>
      <c r="I44" s="90"/>
      <c r="J44" s="2"/>
      <c r="K44" s="248"/>
    </row>
    <row r="45" spans="1:11" ht="15.75" x14ac:dyDescent="0.25">
      <c r="A45" s="91">
        <v>46133</v>
      </c>
      <c r="B45" s="82" t="s">
        <v>296</v>
      </c>
      <c r="C45" s="124" t="s">
        <v>9</v>
      </c>
      <c r="D45" s="82">
        <v>820</v>
      </c>
      <c r="E45" s="82"/>
      <c r="F45" s="82">
        <v>33.799999999999997</v>
      </c>
      <c r="G45" s="82"/>
      <c r="H45" s="90">
        <v>189790</v>
      </c>
      <c r="I45" s="90" t="s">
        <v>304</v>
      </c>
      <c r="J45" s="2"/>
      <c r="K45" s="248"/>
    </row>
    <row r="46" spans="1:11" ht="15.75" x14ac:dyDescent="0.25">
      <c r="A46" s="91">
        <v>46135</v>
      </c>
      <c r="B46" s="227" t="s">
        <v>9</v>
      </c>
      <c r="C46" s="82" t="s">
        <v>300</v>
      </c>
      <c r="D46" s="82">
        <v>430</v>
      </c>
      <c r="E46" s="82"/>
      <c r="F46" s="82"/>
      <c r="G46" s="82"/>
      <c r="H46" s="90">
        <v>294373</v>
      </c>
      <c r="I46" s="90" t="s">
        <v>15</v>
      </c>
      <c r="J46" s="2"/>
      <c r="K46" s="248"/>
    </row>
    <row r="47" spans="1:11" ht="15.75" x14ac:dyDescent="0.25">
      <c r="A47" s="91">
        <v>46136</v>
      </c>
      <c r="B47" s="82" t="s">
        <v>300</v>
      </c>
      <c r="C47" s="124" t="s">
        <v>118</v>
      </c>
      <c r="D47" s="82">
        <v>100</v>
      </c>
      <c r="E47" s="82"/>
      <c r="F47" s="82"/>
      <c r="G47" s="82"/>
      <c r="H47" s="128" t="s">
        <v>66</v>
      </c>
      <c r="I47" s="90"/>
      <c r="J47" s="2"/>
      <c r="K47" s="248"/>
    </row>
    <row r="48" spans="1:11" ht="15.75" x14ac:dyDescent="0.25">
      <c r="A48" s="91">
        <v>46136</v>
      </c>
      <c r="B48" s="82" t="s">
        <v>118</v>
      </c>
      <c r="C48" s="124" t="s">
        <v>146</v>
      </c>
      <c r="D48" s="82">
        <v>1430</v>
      </c>
      <c r="E48" s="82"/>
      <c r="F48" s="82"/>
      <c r="G48" s="82"/>
      <c r="H48" s="123">
        <v>112803</v>
      </c>
      <c r="I48" s="90" t="s">
        <v>437</v>
      </c>
      <c r="J48" s="2"/>
      <c r="K48" s="248"/>
    </row>
    <row r="49" spans="1:11" ht="15.75" x14ac:dyDescent="0.25">
      <c r="A49" s="91">
        <v>46140</v>
      </c>
      <c r="B49" s="82" t="s">
        <v>146</v>
      </c>
      <c r="C49" s="124" t="s">
        <v>227</v>
      </c>
      <c r="D49" s="82">
        <v>180</v>
      </c>
      <c r="E49" s="82"/>
      <c r="F49" s="82"/>
      <c r="G49" s="82"/>
      <c r="H49" s="83" t="s">
        <v>66</v>
      </c>
      <c r="I49" s="90"/>
      <c r="J49" s="2"/>
      <c r="K49" s="248"/>
    </row>
    <row r="50" spans="1:11" ht="15.75" x14ac:dyDescent="0.25">
      <c r="A50" s="91">
        <v>46140</v>
      </c>
      <c r="B50" s="82" t="s">
        <v>296</v>
      </c>
      <c r="C50" s="124" t="s">
        <v>9</v>
      </c>
      <c r="D50" s="82">
        <v>820</v>
      </c>
      <c r="E50" s="82"/>
      <c r="F50" s="82">
        <v>34.299999999999997</v>
      </c>
      <c r="G50" s="82"/>
      <c r="H50" s="90">
        <v>189998</v>
      </c>
      <c r="I50" s="90" t="s">
        <v>304</v>
      </c>
      <c r="J50" s="2"/>
      <c r="K50" s="248"/>
    </row>
    <row r="51" spans="1:11" ht="15.75" x14ac:dyDescent="0.25">
      <c r="A51" s="179">
        <v>46141</v>
      </c>
      <c r="B51" s="82" t="s">
        <v>9</v>
      </c>
      <c r="C51" s="124" t="s">
        <v>276</v>
      </c>
      <c r="D51" s="82">
        <v>400</v>
      </c>
      <c r="E51" s="82"/>
      <c r="F51" s="82"/>
      <c r="G51" s="82"/>
      <c r="H51" s="123" t="s">
        <v>252</v>
      </c>
      <c r="I51" s="90"/>
      <c r="J51" s="2"/>
      <c r="K51" s="248"/>
    </row>
    <row r="52" spans="1:11" ht="15.75" x14ac:dyDescent="0.25">
      <c r="A52" s="179">
        <v>46142</v>
      </c>
      <c r="B52" s="82" t="s">
        <v>424</v>
      </c>
      <c r="C52" s="124" t="s">
        <v>118</v>
      </c>
      <c r="D52" s="82">
        <v>150</v>
      </c>
      <c r="E52" s="82"/>
      <c r="F52" s="82"/>
      <c r="G52" s="82"/>
      <c r="H52" s="128" t="s">
        <v>66</v>
      </c>
      <c r="I52" s="90"/>
      <c r="J52" s="2"/>
      <c r="K52" s="248"/>
    </row>
    <row r="53" spans="1:11" ht="15.75" x14ac:dyDescent="0.25">
      <c r="A53" s="91"/>
      <c r="B53" s="82"/>
      <c r="C53" s="124"/>
      <c r="D53" s="151" t="s">
        <v>373</v>
      </c>
      <c r="E53" s="82"/>
      <c r="F53" s="82"/>
      <c r="G53" s="82"/>
      <c r="H53" s="128"/>
      <c r="I53" s="90"/>
      <c r="J53" s="2"/>
      <c r="K53" s="248"/>
    </row>
    <row r="54" spans="1:11" x14ac:dyDescent="0.25">
      <c r="A54" s="5"/>
      <c r="B54" s="6"/>
      <c r="C54" s="6"/>
      <c r="D54" s="6"/>
      <c r="E54" s="6"/>
      <c r="F54" s="6"/>
      <c r="G54" s="6"/>
      <c r="H54" s="7"/>
      <c r="I54" s="7"/>
      <c r="J54" s="140">
        <f>SUM(J3:J53)</f>
        <v>0</v>
      </c>
      <c r="K54" s="218"/>
    </row>
    <row r="55" spans="1:11" x14ac:dyDescent="0.25">
      <c r="D55" s="17">
        <f>SUM(D3:D54)</f>
        <v>14450</v>
      </c>
      <c r="E55" s="175"/>
      <c r="F55" s="175">
        <f>AVERAGE(F3:F53)</f>
        <v>34.450000000000003</v>
      </c>
      <c r="G55" s="13"/>
      <c r="J55" s="139"/>
      <c r="K55" s="219">
        <f>SUM(K3:K53)</f>
        <v>0</v>
      </c>
    </row>
    <row r="57" spans="1:11" x14ac:dyDescent="0.25">
      <c r="B57">
        <v>-2015</v>
      </c>
      <c r="F57" s="247"/>
      <c r="G57" s="11"/>
      <c r="K57" s="4"/>
    </row>
    <row r="58" spans="1:11" x14ac:dyDescent="0.25">
      <c r="B58">
        <v>1390</v>
      </c>
      <c r="C58" t="s">
        <v>12</v>
      </c>
      <c r="D58" s="11">
        <v>44069</v>
      </c>
      <c r="E58" s="11"/>
      <c r="F58" s="247"/>
      <c r="G58" s="11"/>
      <c r="K58" s="4"/>
    </row>
    <row r="59" spans="1:11" x14ac:dyDescent="0.25">
      <c r="B59">
        <v>600</v>
      </c>
      <c r="C59" t="s">
        <v>106</v>
      </c>
      <c r="D59" s="11"/>
      <c r="E59" s="11"/>
      <c r="F59" s="247"/>
      <c r="G59" s="11"/>
      <c r="K59" s="4"/>
    </row>
    <row r="60" spans="1:11" x14ac:dyDescent="0.25">
      <c r="B60">
        <v>-2000</v>
      </c>
      <c r="C60" t="s">
        <v>13</v>
      </c>
      <c r="D60" s="11"/>
      <c r="E60" s="11"/>
      <c r="F60" s="247"/>
      <c r="G60" s="11"/>
      <c r="K60" s="4"/>
    </row>
    <row r="61" spans="1:11" x14ac:dyDescent="0.25">
      <c r="B61">
        <v>630</v>
      </c>
      <c r="C61" t="s">
        <v>12</v>
      </c>
      <c r="D61" s="11">
        <v>44103</v>
      </c>
      <c r="E61" s="11"/>
      <c r="F61" s="247"/>
      <c r="G61" s="11"/>
      <c r="K61" s="4"/>
    </row>
    <row r="62" spans="1:11" x14ac:dyDescent="0.25">
      <c r="B62">
        <v>-700</v>
      </c>
      <c r="C62" t="s">
        <v>13</v>
      </c>
      <c r="D62" s="11">
        <v>44103</v>
      </c>
      <c r="E62" s="11"/>
      <c r="F62" s="247"/>
      <c r="G62" s="11"/>
      <c r="K62" s="4"/>
    </row>
    <row r="63" spans="1:11" x14ac:dyDescent="0.25">
      <c r="B63">
        <v>680</v>
      </c>
      <c r="C63" t="s">
        <v>12</v>
      </c>
      <c r="D63" s="11">
        <v>44179</v>
      </c>
      <c r="E63" s="11"/>
      <c r="F63" s="247"/>
      <c r="G63" s="11"/>
      <c r="K63" s="4"/>
    </row>
    <row r="64" spans="1:11" x14ac:dyDescent="0.25">
      <c r="B64">
        <v>2025</v>
      </c>
      <c r="C64" t="s">
        <v>12</v>
      </c>
      <c r="D64" s="11">
        <v>44216</v>
      </c>
      <c r="E64" s="11"/>
      <c r="F64" s="247"/>
      <c r="G64" s="11"/>
      <c r="K64" s="4"/>
    </row>
    <row r="65" spans="2:11" x14ac:dyDescent="0.25">
      <c r="B65">
        <v>-2610</v>
      </c>
      <c r="C65" t="s">
        <v>13</v>
      </c>
      <c r="D65" s="11">
        <v>44216</v>
      </c>
      <c r="E65" s="11"/>
      <c r="F65" s="247"/>
      <c r="G65" s="11"/>
      <c r="K65" s="4"/>
    </row>
    <row r="66" spans="2:11" x14ac:dyDescent="0.25">
      <c r="B66">
        <v>200</v>
      </c>
      <c r="C66" t="s">
        <v>141</v>
      </c>
      <c r="D66" s="11">
        <v>44219</v>
      </c>
      <c r="E66" s="11"/>
      <c r="F66" s="247"/>
      <c r="G66" s="11"/>
      <c r="K66" s="4"/>
    </row>
    <row r="67" spans="2:11" x14ac:dyDescent="0.25">
      <c r="B67">
        <v>-200</v>
      </c>
      <c r="C67" t="s">
        <v>13</v>
      </c>
      <c r="D67" s="11">
        <v>44219</v>
      </c>
      <c r="E67" s="11"/>
      <c r="F67" s="247"/>
      <c r="G67" s="11"/>
      <c r="K67" s="4"/>
    </row>
    <row r="68" spans="2:11" x14ac:dyDescent="0.25">
      <c r="B68">
        <v>450</v>
      </c>
      <c r="C68" t="s">
        <v>141</v>
      </c>
      <c r="D68" s="11"/>
      <c r="E68" s="11"/>
      <c r="F68" s="247"/>
      <c r="G68" s="11"/>
      <c r="K68" s="4"/>
    </row>
    <row r="69" spans="2:11" x14ac:dyDescent="0.25">
      <c r="B69">
        <v>300</v>
      </c>
      <c r="C69" t="s">
        <v>12</v>
      </c>
      <c r="D69" s="11">
        <v>44265</v>
      </c>
      <c r="E69" s="11"/>
      <c r="F69" s="247"/>
      <c r="G69" s="11"/>
      <c r="K69" s="4"/>
    </row>
    <row r="70" spans="2:11" x14ac:dyDescent="0.25">
      <c r="B70">
        <v>-800</v>
      </c>
      <c r="C70" t="s">
        <v>13</v>
      </c>
      <c r="D70" s="11">
        <v>44265</v>
      </c>
      <c r="E70" s="11"/>
      <c r="F70" s="247"/>
      <c r="G70" s="11"/>
      <c r="K70" s="4"/>
    </row>
    <row r="71" spans="2:11" x14ac:dyDescent="0.25">
      <c r="B71">
        <v>1000</v>
      </c>
      <c r="C71" t="s">
        <v>153</v>
      </c>
      <c r="D71" s="11">
        <v>44301</v>
      </c>
      <c r="E71" s="11"/>
      <c r="F71" s="247"/>
      <c r="G71" s="11"/>
      <c r="K71" s="4"/>
    </row>
    <row r="72" spans="2:11" x14ac:dyDescent="0.25">
      <c r="B72">
        <v>300</v>
      </c>
      <c r="C72" t="s">
        <v>12</v>
      </c>
      <c r="D72" s="11"/>
      <c r="E72" s="11"/>
      <c r="F72" s="247"/>
      <c r="G72" s="11"/>
      <c r="K72" s="4"/>
    </row>
    <row r="73" spans="2:11" x14ac:dyDescent="0.25">
      <c r="B73">
        <v>-1300</v>
      </c>
      <c r="C73" t="s">
        <v>13</v>
      </c>
      <c r="D73" s="11"/>
      <c r="E73" s="11"/>
      <c r="F73" s="247"/>
      <c r="G73" s="11"/>
      <c r="K73" s="4"/>
    </row>
    <row r="74" spans="2:11" x14ac:dyDescent="0.25">
      <c r="B74">
        <v>1400</v>
      </c>
      <c r="C74" t="s">
        <v>12</v>
      </c>
      <c r="D74" s="11">
        <v>44302</v>
      </c>
      <c r="E74" s="11"/>
      <c r="F74" s="247"/>
      <c r="G74" s="11"/>
      <c r="K74" s="4"/>
    </row>
    <row r="75" spans="2:11" x14ac:dyDescent="0.25">
      <c r="B75">
        <v>-1400</v>
      </c>
      <c r="C75" t="s">
        <v>13</v>
      </c>
      <c r="D75" s="11"/>
      <c r="E75" s="11"/>
      <c r="F75" s="247"/>
      <c r="G75" s="11"/>
      <c r="K75" s="4"/>
    </row>
    <row r="76" spans="2:11" x14ac:dyDescent="0.25">
      <c r="B76">
        <v>300</v>
      </c>
      <c r="C76" t="s">
        <v>12</v>
      </c>
      <c r="D76" s="11">
        <v>44307</v>
      </c>
      <c r="E76" s="11"/>
      <c r="F76" s="247"/>
      <c r="G76" s="11"/>
      <c r="K76" s="4"/>
    </row>
    <row r="77" spans="2:11" x14ac:dyDescent="0.25">
      <c r="B77">
        <v>-300</v>
      </c>
      <c r="C77" t="s">
        <v>13</v>
      </c>
      <c r="D77" s="11">
        <v>44307</v>
      </c>
      <c r="E77" s="11"/>
      <c r="F77" s="247"/>
      <c r="G77" s="11"/>
      <c r="K77" s="4"/>
    </row>
    <row r="78" spans="2:11" x14ac:dyDescent="0.25">
      <c r="B78">
        <v>200</v>
      </c>
      <c r="C78" t="s">
        <v>12</v>
      </c>
      <c r="D78" s="11">
        <v>44366</v>
      </c>
      <c r="E78" s="11"/>
      <c r="F78" s="247"/>
      <c r="G78" s="11"/>
      <c r="K78" s="4"/>
    </row>
    <row r="79" spans="2:11" x14ac:dyDescent="0.25">
      <c r="B79">
        <v>-200</v>
      </c>
      <c r="C79" t="s">
        <v>13</v>
      </c>
      <c r="D79" s="11">
        <v>44366</v>
      </c>
      <c r="E79" s="11"/>
      <c r="F79" s="247"/>
      <c r="G79" s="11"/>
      <c r="K79" s="4"/>
    </row>
    <row r="80" spans="2:11" x14ac:dyDescent="0.25">
      <c r="B80">
        <v>340</v>
      </c>
      <c r="C80" t="s">
        <v>12</v>
      </c>
      <c r="D80" s="11"/>
      <c r="E80" s="11"/>
      <c r="F80" s="247"/>
      <c r="G80" s="11"/>
      <c r="K80" s="4"/>
    </row>
    <row r="81" spans="2:11" x14ac:dyDescent="0.25">
      <c r="B81">
        <v>600</v>
      </c>
      <c r="C81" t="s">
        <v>168</v>
      </c>
      <c r="D81" s="11"/>
      <c r="E81" s="11"/>
      <c r="F81" s="247"/>
      <c r="G81" s="11"/>
      <c r="K81" s="4"/>
    </row>
    <row r="82" spans="2:11" x14ac:dyDescent="0.25">
      <c r="B82">
        <v>-900</v>
      </c>
      <c r="C82" t="s">
        <v>13</v>
      </c>
      <c r="D82" s="11">
        <v>44415</v>
      </c>
      <c r="E82" s="11"/>
      <c r="F82" s="247"/>
      <c r="G82" s="11"/>
      <c r="K82" s="4"/>
    </row>
    <row r="83" spans="2:11" x14ac:dyDescent="0.25">
      <c r="B83">
        <v>300</v>
      </c>
      <c r="C83" t="s">
        <v>74</v>
      </c>
      <c r="D83" s="11">
        <v>44482</v>
      </c>
      <c r="E83" s="11"/>
      <c r="F83" s="247"/>
      <c r="G83" s="11"/>
      <c r="K83" s="4"/>
    </row>
    <row r="84" spans="2:11" x14ac:dyDescent="0.25">
      <c r="B84">
        <v>-300</v>
      </c>
      <c r="C84" t="s">
        <v>13</v>
      </c>
      <c r="D84" s="11">
        <v>44482</v>
      </c>
      <c r="E84" s="11"/>
      <c r="F84" s="247"/>
      <c r="G84" s="11"/>
      <c r="K84" s="4"/>
    </row>
    <row r="85" spans="2:11" x14ac:dyDescent="0.25">
      <c r="B85">
        <v>140</v>
      </c>
      <c r="C85" t="s">
        <v>12</v>
      </c>
      <c r="D85" s="11">
        <v>44511</v>
      </c>
      <c r="E85" s="11"/>
      <c r="F85" s="247"/>
      <c r="G85" s="11"/>
      <c r="K85" s="4"/>
    </row>
    <row r="86" spans="2:11" x14ac:dyDescent="0.25">
      <c r="B86">
        <v>-200</v>
      </c>
      <c r="C86" t="s">
        <v>12</v>
      </c>
      <c r="D86" s="11">
        <v>44511</v>
      </c>
      <c r="E86" s="11"/>
      <c r="F86" s="247"/>
      <c r="G86" s="11"/>
      <c r="K86" s="4"/>
    </row>
    <row r="87" spans="2:11" x14ac:dyDescent="0.25">
      <c r="B87">
        <v>1400</v>
      </c>
      <c r="C87" t="s">
        <v>141</v>
      </c>
      <c r="D87" s="11">
        <v>44533</v>
      </c>
      <c r="E87" s="11"/>
      <c r="F87" s="247"/>
      <c r="G87" s="11"/>
      <c r="K87" s="4"/>
    </row>
    <row r="88" spans="2:11" x14ac:dyDescent="0.25">
      <c r="B88">
        <v>-1400</v>
      </c>
      <c r="C88" t="s">
        <v>13</v>
      </c>
      <c r="D88" s="11"/>
      <c r="E88" s="11"/>
      <c r="F88" s="247"/>
      <c r="G88" s="11"/>
      <c r="K88" s="4"/>
    </row>
    <row r="89" spans="2:11" x14ac:dyDescent="0.25">
      <c r="B89">
        <v>1920</v>
      </c>
      <c r="C89" t="s">
        <v>12</v>
      </c>
      <c r="D89" s="11">
        <v>44649</v>
      </c>
      <c r="E89" s="11"/>
      <c r="F89" s="247"/>
      <c r="G89" s="11"/>
      <c r="K89" s="4"/>
    </row>
    <row r="90" spans="2:11" x14ac:dyDescent="0.25">
      <c r="B90">
        <v>-1900</v>
      </c>
      <c r="C90" t="s">
        <v>13</v>
      </c>
      <c r="D90" s="11">
        <v>44649</v>
      </c>
      <c r="E90" s="11"/>
      <c r="F90" s="247"/>
      <c r="G90" s="11"/>
      <c r="K90" s="4"/>
    </row>
    <row r="91" spans="2:11" x14ac:dyDescent="0.25">
      <c r="B91">
        <v>280</v>
      </c>
      <c r="C91" t="s">
        <v>12</v>
      </c>
      <c r="D91" s="11">
        <v>44725</v>
      </c>
      <c r="E91" s="11"/>
      <c r="F91" s="247"/>
      <c r="G91" s="11"/>
      <c r="K91" s="4"/>
    </row>
    <row r="92" spans="2:11" x14ac:dyDescent="0.25">
      <c r="B92">
        <v>-300</v>
      </c>
      <c r="C92" t="s">
        <v>13</v>
      </c>
      <c r="D92" s="11">
        <v>44725</v>
      </c>
      <c r="E92" s="11"/>
      <c r="F92" s="247"/>
      <c r="G92" s="11"/>
      <c r="K92" s="4"/>
    </row>
    <row r="93" spans="2:11" x14ac:dyDescent="0.25">
      <c r="B93">
        <v>280</v>
      </c>
      <c r="C93" t="s">
        <v>12</v>
      </c>
      <c r="D93" s="11">
        <v>44741</v>
      </c>
      <c r="E93" s="11"/>
      <c r="F93" s="247"/>
      <c r="G93" s="11"/>
      <c r="K93" s="4"/>
    </row>
    <row r="94" spans="2:11" x14ac:dyDescent="0.25">
      <c r="B94">
        <v>1000</v>
      </c>
      <c r="C94" t="s">
        <v>202</v>
      </c>
      <c r="D94" s="11">
        <v>44751</v>
      </c>
      <c r="E94" s="11"/>
      <c r="F94" s="247"/>
      <c r="G94" s="11"/>
      <c r="K94" s="4"/>
    </row>
    <row r="95" spans="2:11" x14ac:dyDescent="0.25">
      <c r="B95">
        <v>480</v>
      </c>
      <c r="C95" t="s">
        <v>203</v>
      </c>
      <c r="D95" s="11">
        <v>44751</v>
      </c>
      <c r="E95" s="11"/>
      <c r="F95" s="247"/>
      <c r="G95" s="11"/>
      <c r="K95" s="4"/>
    </row>
    <row r="96" spans="2:11" x14ac:dyDescent="0.25">
      <c r="B96">
        <v>360</v>
      </c>
      <c r="C96" t="s">
        <v>12</v>
      </c>
      <c r="D96" s="11">
        <v>44786</v>
      </c>
      <c r="E96" s="11"/>
      <c r="F96" s="247"/>
      <c r="G96" s="11"/>
      <c r="K96" s="4"/>
    </row>
    <row r="97" spans="2:11" x14ac:dyDescent="0.25">
      <c r="B97">
        <v>-400</v>
      </c>
      <c r="C97" t="s">
        <v>13</v>
      </c>
      <c r="D97" s="11">
        <v>44786</v>
      </c>
      <c r="E97" s="11"/>
      <c r="F97" s="247"/>
      <c r="G97" s="11"/>
      <c r="K97" s="4"/>
    </row>
    <row r="98" spans="2:11" x14ac:dyDescent="0.25">
      <c r="B98">
        <v>280</v>
      </c>
      <c r="C98" t="s">
        <v>12</v>
      </c>
      <c r="D98" s="11">
        <v>44798</v>
      </c>
      <c r="E98" s="11"/>
      <c r="F98" s="247"/>
      <c r="G98" s="11"/>
      <c r="K98" s="4"/>
    </row>
    <row r="99" spans="2:11" x14ac:dyDescent="0.25">
      <c r="B99">
        <v>880</v>
      </c>
      <c r="C99" t="s">
        <v>12</v>
      </c>
      <c r="D99" s="11"/>
      <c r="E99" s="11"/>
      <c r="F99" s="247"/>
      <c r="G99" s="11"/>
      <c r="K99" s="4"/>
    </row>
    <row r="100" spans="2:11" x14ac:dyDescent="0.25">
      <c r="B100">
        <v>-900</v>
      </c>
      <c r="C100" t="s">
        <v>13</v>
      </c>
      <c r="D100" s="11"/>
      <c r="E100" s="11"/>
      <c r="F100" s="247"/>
      <c r="G100" s="11"/>
      <c r="K100" s="4"/>
    </row>
    <row r="101" spans="2:11" x14ac:dyDescent="0.25">
      <c r="B101">
        <v>400</v>
      </c>
      <c r="C101" t="s">
        <v>12</v>
      </c>
      <c r="D101" s="11">
        <v>44881</v>
      </c>
      <c r="E101" s="11"/>
      <c r="F101" s="247"/>
      <c r="G101" s="11"/>
      <c r="K101" s="4"/>
    </row>
    <row r="102" spans="2:11" x14ac:dyDescent="0.25">
      <c r="B102">
        <v>-500</v>
      </c>
      <c r="C102" t="s">
        <v>13</v>
      </c>
      <c r="D102" s="11">
        <v>44881</v>
      </c>
      <c r="E102" s="11"/>
      <c r="F102" s="247"/>
      <c r="G102" s="11"/>
      <c r="K102" s="4"/>
    </row>
    <row r="103" spans="2:11" x14ac:dyDescent="0.25">
      <c r="B103">
        <v>-1800</v>
      </c>
      <c r="C103" t="s">
        <v>13</v>
      </c>
      <c r="D103" s="11">
        <v>44881</v>
      </c>
      <c r="E103" s="11"/>
      <c r="F103" s="247"/>
      <c r="G103" s="11"/>
      <c r="K103" s="4"/>
    </row>
    <row r="104" spans="2:11" x14ac:dyDescent="0.25">
      <c r="B104">
        <v>800</v>
      </c>
      <c r="C104" t="s">
        <v>74</v>
      </c>
      <c r="D104" s="11">
        <v>44884</v>
      </c>
      <c r="E104" s="11"/>
      <c r="F104" s="247"/>
      <c r="G104" s="11"/>
      <c r="K104" s="4"/>
    </row>
    <row r="105" spans="2:11" x14ac:dyDescent="0.25">
      <c r="B105">
        <v>-800</v>
      </c>
      <c r="C105" t="s">
        <v>93</v>
      </c>
      <c r="D105" s="11"/>
      <c r="E105" s="11"/>
      <c r="F105" s="247"/>
      <c r="G105" s="11"/>
      <c r="K105" s="4"/>
    </row>
    <row r="106" spans="2:11" x14ac:dyDescent="0.25">
      <c r="B106">
        <v>1600</v>
      </c>
      <c r="C106" t="s">
        <v>74</v>
      </c>
      <c r="D106" s="11">
        <v>44902</v>
      </c>
      <c r="E106" s="11"/>
      <c r="F106" s="247"/>
      <c r="G106" s="11"/>
      <c r="K106" s="4"/>
    </row>
    <row r="107" spans="2:11" x14ac:dyDescent="0.25">
      <c r="B107">
        <v>-1600</v>
      </c>
      <c r="C107" t="s">
        <v>13</v>
      </c>
      <c r="D107" s="11">
        <v>44902</v>
      </c>
      <c r="E107" s="11"/>
      <c r="F107" s="247"/>
      <c r="G107" s="11"/>
      <c r="K107" s="4"/>
    </row>
    <row r="108" spans="2:11" x14ac:dyDescent="0.25">
      <c r="B108">
        <v>800</v>
      </c>
      <c r="C108" t="s">
        <v>12</v>
      </c>
      <c r="D108" s="11">
        <v>44911</v>
      </c>
      <c r="E108" s="11"/>
      <c r="F108" s="247"/>
      <c r="G108" s="11"/>
      <c r="K108" s="4"/>
    </row>
    <row r="109" spans="2:11" x14ac:dyDescent="0.25">
      <c r="B109">
        <v>-800</v>
      </c>
      <c r="C109" t="s">
        <v>13</v>
      </c>
      <c r="D109" s="11"/>
      <c r="E109" s="11"/>
      <c r="F109" s="247"/>
      <c r="G109" s="11"/>
      <c r="K109" s="4"/>
    </row>
    <row r="110" spans="2:11" x14ac:dyDescent="0.25">
      <c r="B110">
        <v>800</v>
      </c>
      <c r="C110" t="s">
        <v>12</v>
      </c>
      <c r="D110" s="11">
        <v>44925</v>
      </c>
      <c r="E110" s="11"/>
      <c r="F110" s="247"/>
      <c r="G110" s="11"/>
      <c r="K110" s="4"/>
    </row>
    <row r="111" spans="2:11" x14ac:dyDescent="0.25">
      <c r="B111">
        <v>-800</v>
      </c>
      <c r="C111" t="s">
        <v>13</v>
      </c>
      <c r="D111" s="11">
        <v>44925</v>
      </c>
      <c r="E111" s="11"/>
      <c r="F111" s="247"/>
      <c r="G111" s="11"/>
      <c r="K111" s="4"/>
    </row>
    <row r="112" spans="2:11" x14ac:dyDescent="0.25">
      <c r="B112">
        <v>400</v>
      </c>
      <c r="C112" t="s">
        <v>12</v>
      </c>
      <c r="D112" s="11">
        <v>44931</v>
      </c>
      <c r="E112" s="11"/>
      <c r="F112" s="247"/>
      <c r="G112" s="11"/>
      <c r="K112" s="4"/>
    </row>
    <row r="113" spans="2:11" x14ac:dyDescent="0.25">
      <c r="B113">
        <v>800</v>
      </c>
      <c r="C113" t="s">
        <v>12</v>
      </c>
      <c r="D113" s="11">
        <v>44938</v>
      </c>
      <c r="E113" s="11"/>
      <c r="F113" s="247"/>
      <c r="G113" s="11"/>
      <c r="K113" s="4"/>
    </row>
    <row r="114" spans="2:11" x14ac:dyDescent="0.25">
      <c r="B114">
        <v>-1300</v>
      </c>
      <c r="C114" t="s">
        <v>13</v>
      </c>
      <c r="D114" s="11">
        <v>44938</v>
      </c>
      <c r="E114" s="11"/>
      <c r="F114" s="247"/>
      <c r="G114" s="11"/>
      <c r="K114" s="4"/>
    </row>
    <row r="115" spans="2:11" x14ac:dyDescent="0.25">
      <c r="B115">
        <v>800</v>
      </c>
      <c r="C115" t="s">
        <v>12</v>
      </c>
      <c r="D115" s="11">
        <v>44963</v>
      </c>
      <c r="E115" s="11"/>
      <c r="F115" s="247"/>
      <c r="G115" s="11"/>
      <c r="K115" s="4"/>
    </row>
    <row r="116" spans="2:11" x14ac:dyDescent="0.25">
      <c r="B116">
        <v>400</v>
      </c>
      <c r="C116" t="s">
        <v>74</v>
      </c>
      <c r="D116" s="11">
        <v>44964</v>
      </c>
      <c r="E116" s="11"/>
      <c r="F116" s="247"/>
      <c r="G116" s="11"/>
      <c r="K116" s="4"/>
    </row>
    <row r="117" spans="2:11" x14ac:dyDescent="0.25">
      <c r="B117">
        <v>-1200</v>
      </c>
      <c r="C117" t="s">
        <v>13</v>
      </c>
      <c r="D117" s="11">
        <v>44964</v>
      </c>
      <c r="E117" s="11"/>
      <c r="F117" s="247"/>
      <c r="G117" s="11"/>
      <c r="K117" s="4"/>
    </row>
    <row r="118" spans="2:11" x14ac:dyDescent="0.25">
      <c r="B118">
        <v>1200</v>
      </c>
      <c r="C118" t="s">
        <v>74</v>
      </c>
      <c r="D118" s="11">
        <v>45089</v>
      </c>
      <c r="E118" s="11"/>
      <c r="F118" s="247"/>
      <c r="G118" s="11"/>
      <c r="K118" s="4"/>
    </row>
    <row r="119" spans="2:11" x14ac:dyDescent="0.25">
      <c r="B119">
        <v>-1200</v>
      </c>
      <c r="C119" t="s">
        <v>93</v>
      </c>
      <c r="D119" s="11">
        <v>45089</v>
      </c>
      <c r="E119" s="11"/>
      <c r="F119" s="247"/>
      <c r="G119" s="11"/>
      <c r="K119" s="4"/>
    </row>
    <row r="120" spans="2:11" x14ac:dyDescent="0.25">
      <c r="B120">
        <v>1200</v>
      </c>
      <c r="C120" t="s">
        <v>12</v>
      </c>
      <c r="D120" s="11">
        <v>45093</v>
      </c>
      <c r="E120" s="11"/>
      <c r="F120" s="247"/>
      <c r="G120" s="11"/>
      <c r="K120" s="4"/>
    </row>
    <row r="121" spans="2:11" x14ac:dyDescent="0.25">
      <c r="B121">
        <v>-330</v>
      </c>
      <c r="C121" t="s">
        <v>175</v>
      </c>
      <c r="D121" s="11">
        <v>45138</v>
      </c>
      <c r="E121" s="11"/>
      <c r="F121" s="247"/>
      <c r="G121" s="11"/>
      <c r="K121" s="4"/>
    </row>
    <row r="122" spans="2:11" x14ac:dyDescent="0.25">
      <c r="B122">
        <v>800</v>
      </c>
      <c r="C122" t="s">
        <v>74</v>
      </c>
      <c r="D122" s="11">
        <v>45155</v>
      </c>
      <c r="E122" s="11"/>
      <c r="F122" s="247"/>
      <c r="G122" s="11"/>
      <c r="K122" s="4"/>
    </row>
    <row r="123" spans="2:11" x14ac:dyDescent="0.25">
      <c r="B123">
        <v>-1600</v>
      </c>
      <c r="C123" t="s">
        <v>13</v>
      </c>
      <c r="D123" s="11"/>
      <c r="E123" s="11"/>
      <c r="F123" s="247"/>
      <c r="G123" s="11"/>
      <c r="K123" s="4"/>
    </row>
    <row r="124" spans="2:11" x14ac:dyDescent="0.25">
      <c r="B124">
        <v>3800</v>
      </c>
      <c r="C124" t="s">
        <v>12</v>
      </c>
      <c r="D124" s="11"/>
      <c r="E124" s="11"/>
      <c r="F124" s="247"/>
      <c r="G124" s="11"/>
      <c r="K124" s="4"/>
    </row>
    <row r="125" spans="2:11" x14ac:dyDescent="0.25">
      <c r="B125">
        <v>-12000</v>
      </c>
      <c r="C125" t="s">
        <v>13</v>
      </c>
      <c r="D125" s="11"/>
      <c r="E125" s="11"/>
      <c r="F125" s="247"/>
      <c r="G125" s="11"/>
      <c r="K125" s="4"/>
    </row>
    <row r="126" spans="2:11" x14ac:dyDescent="0.25">
      <c r="B126">
        <v>3800</v>
      </c>
      <c r="C126" t="s">
        <v>12</v>
      </c>
      <c r="D126" s="11"/>
      <c r="E126" s="11"/>
      <c r="F126" s="247"/>
      <c r="G126" s="11"/>
      <c r="K126" s="4"/>
    </row>
    <row r="127" spans="2:11" x14ac:dyDescent="0.25">
      <c r="B127">
        <v>-4000</v>
      </c>
      <c r="C127" t="s">
        <v>13</v>
      </c>
      <c r="D127" s="11"/>
      <c r="E127" s="11"/>
      <c r="F127" s="247"/>
      <c r="G127" s="11"/>
      <c r="K127" s="4"/>
    </row>
    <row r="128" spans="2:11" x14ac:dyDescent="0.25">
      <c r="B128">
        <v>19200</v>
      </c>
      <c r="C128" t="s">
        <v>12</v>
      </c>
      <c r="D128" s="11"/>
      <c r="E128" s="11"/>
      <c r="F128" s="247"/>
      <c r="G128" s="11"/>
      <c r="K128" s="4"/>
    </row>
    <row r="129" spans="2:11" x14ac:dyDescent="0.25">
      <c r="B129">
        <v>-19200</v>
      </c>
      <c r="C129" t="s">
        <v>13</v>
      </c>
      <c r="D129" s="11">
        <v>45769</v>
      </c>
      <c r="E129" s="11"/>
      <c r="F129" s="247"/>
      <c r="G129" s="11"/>
      <c r="K129" s="4"/>
    </row>
    <row r="130" spans="2:11" x14ac:dyDescent="0.25">
      <c r="B130">
        <v>1800</v>
      </c>
      <c r="C130" t="s">
        <v>138</v>
      </c>
      <c r="D130" s="11">
        <v>45895</v>
      </c>
      <c r="E130" s="11"/>
      <c r="F130" s="247"/>
      <c r="G130" s="11"/>
      <c r="K130" s="4"/>
    </row>
    <row r="131" spans="2:11" x14ac:dyDescent="0.25">
      <c r="B131">
        <v>-2000</v>
      </c>
      <c r="C131" t="s">
        <v>13</v>
      </c>
      <c r="D131" s="11"/>
      <c r="E131" s="11"/>
      <c r="F131" s="247"/>
      <c r="G131" s="11"/>
      <c r="K131" s="4"/>
    </row>
    <row r="132" spans="2:11" x14ac:dyDescent="0.25">
      <c r="B132" s="161">
        <f>SUM(B57:B131)</f>
        <v>-10620</v>
      </c>
      <c r="C132" s="11">
        <v>45895</v>
      </c>
      <c r="D132" s="11"/>
      <c r="E132" s="11"/>
      <c r="F132" s="247"/>
      <c r="G132" s="11"/>
      <c r="K132" s="4"/>
    </row>
    <row r="133" spans="2:11" x14ac:dyDescent="0.25">
      <c r="B133" s="11"/>
      <c r="F133" s="247"/>
      <c r="G133" s="11"/>
      <c r="K133" s="4"/>
    </row>
    <row r="134" spans="2:11" x14ac:dyDescent="0.25">
      <c r="B134" s="11"/>
      <c r="F134" s="247"/>
      <c r="G134" s="11"/>
      <c r="K134" s="4"/>
    </row>
    <row r="135" spans="2:11" x14ac:dyDescent="0.25">
      <c r="B135" s="11"/>
      <c r="F135" s="247"/>
      <c r="G135" s="11"/>
      <c r="K135" s="4"/>
    </row>
    <row r="136" spans="2:11" x14ac:dyDescent="0.25">
      <c r="B136" s="11"/>
      <c r="F136" s="247"/>
      <c r="G136" s="11"/>
      <c r="K136" s="4"/>
    </row>
    <row r="137" spans="2:11" x14ac:dyDescent="0.25">
      <c r="B137" s="11"/>
      <c r="C137" s="11"/>
      <c r="I137" s="4"/>
    </row>
    <row r="138" spans="2:11" x14ac:dyDescent="0.25">
      <c r="B138" s="11"/>
      <c r="C138" s="11"/>
      <c r="I138" s="4"/>
    </row>
    <row r="139" spans="2:11" x14ac:dyDescent="0.25">
      <c r="B139" s="11"/>
      <c r="C139" s="11"/>
      <c r="I139" s="4"/>
    </row>
    <row r="140" spans="2:11" x14ac:dyDescent="0.25">
      <c r="B140" s="11"/>
      <c r="C140" s="11"/>
      <c r="I140" s="4"/>
    </row>
    <row r="141" spans="2:11" x14ac:dyDescent="0.25">
      <c r="B141" s="11"/>
      <c r="C141" s="11"/>
      <c r="I141" s="4"/>
    </row>
    <row r="142" spans="2:11" x14ac:dyDescent="0.25">
      <c r="B142" s="11"/>
      <c r="C142" s="11"/>
      <c r="I142" s="4"/>
    </row>
    <row r="143" spans="2:11" x14ac:dyDescent="0.25">
      <c r="B143" s="11"/>
      <c r="C143" s="11"/>
      <c r="I143" s="4"/>
    </row>
    <row r="144" spans="2:11" x14ac:dyDescent="0.25">
      <c r="B144" s="11"/>
      <c r="C144" s="11"/>
      <c r="I144" s="4"/>
    </row>
    <row r="145" spans="2:11" x14ac:dyDescent="0.25">
      <c r="B145" s="11"/>
      <c r="C145" s="11"/>
      <c r="I145" s="4"/>
    </row>
    <row r="146" spans="2:11" x14ac:dyDescent="0.25">
      <c r="B146" s="11"/>
      <c r="C146" s="11"/>
      <c r="I146" s="4"/>
    </row>
    <row r="147" spans="2:11" x14ac:dyDescent="0.25">
      <c r="B147" s="11"/>
      <c r="C147" s="11"/>
      <c r="I147" s="4"/>
    </row>
    <row r="148" spans="2:11" x14ac:dyDescent="0.25">
      <c r="B148" s="11"/>
      <c r="F148" s="247"/>
      <c r="G148" s="11"/>
      <c r="K148" s="4"/>
    </row>
    <row r="149" spans="2:11" x14ac:dyDescent="0.25">
      <c r="B149" s="11"/>
      <c r="F149" s="247"/>
      <c r="G149" s="11"/>
      <c r="K149" s="4"/>
    </row>
    <row r="150" spans="2:11" x14ac:dyDescent="0.25">
      <c r="B150" s="11"/>
      <c r="F150" s="247"/>
      <c r="G150" s="11"/>
      <c r="K150" s="4"/>
    </row>
    <row r="151" spans="2:11" x14ac:dyDescent="0.25">
      <c r="B151" s="11"/>
      <c r="C151" s="11"/>
      <c r="I151" s="4"/>
    </row>
    <row r="152" spans="2:11" x14ac:dyDescent="0.25">
      <c r="B152" s="11"/>
      <c r="F152" s="247"/>
      <c r="G152" s="11"/>
      <c r="K152" s="4"/>
    </row>
    <row r="153" spans="2:11" x14ac:dyDescent="0.25">
      <c r="B153" s="11"/>
      <c r="F153" s="247"/>
      <c r="G153" s="11"/>
      <c r="K153" s="4"/>
    </row>
    <row r="154" spans="2:11" x14ac:dyDescent="0.25">
      <c r="B154" s="11"/>
      <c r="F154" s="247"/>
      <c r="G154" s="11"/>
      <c r="K154" s="4"/>
    </row>
    <row r="155" spans="2:11" x14ac:dyDescent="0.25">
      <c r="B155" s="11"/>
      <c r="F155" s="247"/>
      <c r="G155" s="11"/>
      <c r="K155" s="4"/>
    </row>
    <row r="156" spans="2:11" x14ac:dyDescent="0.25">
      <c r="B156" s="11"/>
      <c r="F156" s="247"/>
      <c r="G156" s="11"/>
      <c r="K156" s="4"/>
    </row>
    <row r="157" spans="2:11" x14ac:dyDescent="0.25">
      <c r="B157" s="11"/>
      <c r="F157" s="247"/>
      <c r="G157" s="11"/>
      <c r="K157" s="4"/>
    </row>
    <row r="158" spans="2:11" x14ac:dyDescent="0.25">
      <c r="B158" s="11"/>
      <c r="F158" s="247"/>
      <c r="G158" s="11"/>
      <c r="K158" s="4"/>
    </row>
    <row r="159" spans="2:11" x14ac:dyDescent="0.25">
      <c r="B159" s="11"/>
      <c r="F159" s="247"/>
      <c r="G159" s="11"/>
      <c r="K159" s="4"/>
    </row>
    <row r="160" spans="2:11" x14ac:dyDescent="0.25">
      <c r="B160" s="11"/>
      <c r="F160" s="247"/>
      <c r="G160" s="11"/>
      <c r="K160" s="4"/>
    </row>
    <row r="161" spans="2:11" x14ac:dyDescent="0.25">
      <c r="B161" s="11"/>
      <c r="F161" s="247"/>
      <c r="G161" s="11"/>
      <c r="K161" s="4"/>
    </row>
    <row r="162" spans="2:11" x14ac:dyDescent="0.25">
      <c r="B162" s="11"/>
      <c r="F162" s="247"/>
      <c r="G162" s="11"/>
      <c r="K162" s="4"/>
    </row>
    <row r="163" spans="2:11" x14ac:dyDescent="0.25">
      <c r="B163" s="11"/>
      <c r="D163" s="11"/>
      <c r="E163" s="11"/>
      <c r="F163" s="247"/>
      <c r="G163" s="11"/>
      <c r="K163" s="4"/>
    </row>
    <row r="164" spans="2:11" x14ac:dyDescent="0.25">
      <c r="B164" s="11"/>
      <c r="F164" s="247"/>
      <c r="G164" s="11"/>
    </row>
    <row r="165" spans="2:11" x14ac:dyDescent="0.25">
      <c r="B165" s="11"/>
      <c r="F165" s="247"/>
      <c r="G165" s="11"/>
    </row>
    <row r="166" spans="2:11" x14ac:dyDescent="0.25">
      <c r="B166" s="11"/>
      <c r="F166" s="247"/>
      <c r="G166" s="11"/>
    </row>
    <row r="167" spans="2:11" x14ac:dyDescent="0.25">
      <c r="B167" s="11"/>
      <c r="F167" s="247"/>
      <c r="G167" s="11"/>
    </row>
    <row r="168" spans="2:11" x14ac:dyDescent="0.25">
      <c r="B168" s="11"/>
      <c r="F168" s="247"/>
      <c r="G168" s="11"/>
    </row>
    <row r="169" spans="2:11" x14ac:dyDescent="0.25">
      <c r="B169" s="11"/>
      <c r="F169" s="247"/>
      <c r="G169" s="11"/>
    </row>
    <row r="170" spans="2:11" x14ac:dyDescent="0.25">
      <c r="B170" s="11"/>
      <c r="F170" s="247"/>
      <c r="G170" s="11"/>
    </row>
    <row r="171" spans="2:11" x14ac:dyDescent="0.25">
      <c r="B171" s="11"/>
      <c r="F171" s="247"/>
      <c r="G171" s="11"/>
    </row>
    <row r="172" spans="2:11" x14ac:dyDescent="0.25">
      <c r="B172" s="11"/>
      <c r="F172" s="247"/>
      <c r="G172" s="11"/>
    </row>
    <row r="173" spans="2:11" x14ac:dyDescent="0.25">
      <c r="B173" s="11"/>
      <c r="F173" s="247"/>
      <c r="G173" s="11"/>
    </row>
    <row r="174" spans="2:11" x14ac:dyDescent="0.25">
      <c r="B174" s="11"/>
      <c r="F174" s="247"/>
      <c r="G174" s="11"/>
    </row>
    <row r="175" spans="2:11" x14ac:dyDescent="0.25">
      <c r="B175" s="11"/>
      <c r="F175" s="247"/>
      <c r="G175" s="11"/>
    </row>
    <row r="176" spans="2:11" x14ac:dyDescent="0.25">
      <c r="B176" s="11"/>
      <c r="F176" s="247"/>
      <c r="G176" s="11"/>
    </row>
    <row r="177" spans="2:7" x14ac:dyDescent="0.25">
      <c r="B177" s="11"/>
      <c r="F177" s="247"/>
      <c r="G177" s="11"/>
    </row>
    <row r="178" spans="2:7" x14ac:dyDescent="0.25">
      <c r="B178" s="11"/>
      <c r="F178" s="247"/>
      <c r="G178" s="11"/>
    </row>
    <row r="179" spans="2:7" x14ac:dyDescent="0.25">
      <c r="B179" s="11"/>
      <c r="F179" s="247"/>
      <c r="G179" s="11"/>
    </row>
    <row r="180" spans="2:7" x14ac:dyDescent="0.25">
      <c r="B180" s="11"/>
      <c r="F180" s="247"/>
      <c r="G180" s="11"/>
    </row>
    <row r="181" spans="2:7" x14ac:dyDescent="0.25">
      <c r="B181" s="11"/>
      <c r="F181" s="247"/>
      <c r="G181" s="11"/>
    </row>
    <row r="182" spans="2:7" x14ac:dyDescent="0.25">
      <c r="B182" s="11"/>
      <c r="F182" s="247"/>
      <c r="G182" s="11"/>
    </row>
    <row r="183" spans="2:7" x14ac:dyDescent="0.25">
      <c r="B183" s="11"/>
      <c r="F183" s="247"/>
      <c r="G183" s="11"/>
    </row>
    <row r="184" spans="2:7" x14ac:dyDescent="0.25">
      <c r="B184" s="11"/>
      <c r="F184" s="247"/>
      <c r="G184" s="11"/>
    </row>
    <row r="185" spans="2:7" x14ac:dyDescent="0.25">
      <c r="B185" s="11"/>
      <c r="F185" s="247"/>
      <c r="G185" s="11"/>
    </row>
    <row r="186" spans="2:7" x14ac:dyDescent="0.25">
      <c r="B186" s="11"/>
      <c r="F186" s="247"/>
      <c r="G186" s="1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96"/>
  <sheetViews>
    <sheetView topLeftCell="A22" zoomScale="110" zoomScaleNormal="110" workbookViewId="0">
      <selection activeCell="M14" sqref="M14"/>
    </sheetView>
  </sheetViews>
  <sheetFormatPr baseColWidth="10" defaultRowHeight="15" x14ac:dyDescent="0.25"/>
  <cols>
    <col min="2" max="2" width="12.140625" customWidth="1"/>
    <col min="8" max="8" width="12.85546875" bestFit="1" customWidth="1"/>
    <col min="9" max="9" width="14.28515625" bestFit="1" customWidth="1"/>
    <col min="11" max="11" width="13.28515625" customWidth="1"/>
  </cols>
  <sheetData>
    <row r="1" spans="1:11" x14ac:dyDescent="0.25">
      <c r="F1" s="172" t="s">
        <v>77</v>
      </c>
      <c r="G1" s="87"/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/>
      <c r="B3" s="82"/>
      <c r="C3" s="124"/>
      <c r="D3" s="82"/>
      <c r="E3" s="82"/>
      <c r="F3" s="82"/>
      <c r="G3" s="82"/>
      <c r="H3" s="123"/>
      <c r="I3" s="90"/>
      <c r="J3" s="138"/>
      <c r="K3" s="218"/>
    </row>
    <row r="4" spans="1:11" x14ac:dyDescent="0.25">
      <c r="A4" s="179"/>
      <c r="B4" s="82"/>
      <c r="C4" s="124"/>
      <c r="D4" s="82"/>
      <c r="E4" s="82"/>
      <c r="F4" s="82"/>
      <c r="G4" s="82"/>
      <c r="H4" s="123"/>
      <c r="I4" s="90"/>
      <c r="J4" s="138"/>
      <c r="K4" s="218"/>
    </row>
    <row r="5" spans="1:11" x14ac:dyDescent="0.25">
      <c r="A5" s="179"/>
      <c r="B5" s="82"/>
      <c r="C5" s="124"/>
      <c r="D5" s="82"/>
      <c r="E5" s="82"/>
      <c r="F5" s="82"/>
      <c r="G5" s="82"/>
      <c r="H5" s="123"/>
      <c r="I5" s="90"/>
      <c r="J5" s="138"/>
      <c r="K5" s="218"/>
    </row>
    <row r="6" spans="1:11" x14ac:dyDescent="0.25">
      <c r="A6" s="179"/>
      <c r="B6" s="82"/>
      <c r="C6" s="124"/>
      <c r="D6" s="82"/>
      <c r="E6" s="82"/>
      <c r="F6" s="82"/>
      <c r="G6" s="82"/>
      <c r="H6" s="123"/>
      <c r="I6" s="90"/>
      <c r="J6" s="138"/>
      <c r="K6" s="218"/>
    </row>
    <row r="7" spans="1:11" x14ac:dyDescent="0.25">
      <c r="A7" s="179"/>
      <c r="B7" s="82"/>
      <c r="C7" s="124"/>
      <c r="D7" s="82"/>
      <c r="E7" s="82"/>
      <c r="F7" s="82"/>
      <c r="G7" s="82"/>
      <c r="H7" s="123"/>
      <c r="I7" s="90"/>
      <c r="J7" s="138"/>
      <c r="K7" s="218"/>
    </row>
    <row r="8" spans="1:11" x14ac:dyDescent="0.25">
      <c r="A8" s="179"/>
      <c r="B8" s="82"/>
      <c r="C8" s="124"/>
      <c r="D8" s="82"/>
      <c r="E8" s="82"/>
      <c r="F8" s="82"/>
      <c r="G8" s="82"/>
      <c r="H8" s="123"/>
      <c r="I8" s="90"/>
      <c r="J8" s="138"/>
      <c r="K8" s="218"/>
    </row>
    <row r="9" spans="1:11" x14ac:dyDescent="0.25">
      <c r="A9" s="179"/>
      <c r="B9" s="82"/>
      <c r="C9" s="124"/>
      <c r="D9" s="82"/>
      <c r="E9" s="82"/>
      <c r="F9" s="82"/>
      <c r="G9" s="82"/>
      <c r="H9" s="123"/>
      <c r="I9" s="90"/>
      <c r="J9" s="138"/>
      <c r="K9" s="218"/>
    </row>
    <row r="10" spans="1:11" x14ac:dyDescent="0.25">
      <c r="A10" s="179"/>
      <c r="B10" s="82"/>
      <c r="C10" s="124"/>
      <c r="D10" s="82"/>
      <c r="E10" s="82"/>
      <c r="F10" s="82"/>
      <c r="G10" s="82"/>
      <c r="H10" s="123"/>
      <c r="I10" s="90"/>
      <c r="J10" s="138"/>
      <c r="K10" s="218"/>
    </row>
    <row r="11" spans="1:11" x14ac:dyDescent="0.25">
      <c r="A11" s="179"/>
      <c r="B11" s="82"/>
      <c r="C11" s="124"/>
      <c r="D11" s="82"/>
      <c r="E11" s="82"/>
      <c r="F11" s="82"/>
      <c r="G11" s="82"/>
      <c r="H11" s="123"/>
      <c r="I11" s="90"/>
      <c r="J11" s="138"/>
      <c r="K11" s="218"/>
    </row>
    <row r="12" spans="1:11" x14ac:dyDescent="0.25">
      <c r="A12" s="179"/>
      <c r="B12" s="82"/>
      <c r="C12" s="124"/>
      <c r="D12" s="82"/>
      <c r="E12" s="82"/>
      <c r="F12" s="82"/>
      <c r="G12" s="82"/>
      <c r="H12" s="123"/>
      <c r="I12" s="90"/>
      <c r="J12" s="138"/>
      <c r="K12" s="218"/>
    </row>
    <row r="13" spans="1:11" x14ac:dyDescent="0.25">
      <c r="A13" s="179"/>
      <c r="B13" s="82"/>
      <c r="C13" s="124"/>
      <c r="D13" s="82"/>
      <c r="E13" s="82"/>
      <c r="F13" s="82"/>
      <c r="G13" s="82"/>
      <c r="H13" s="123"/>
      <c r="I13" s="90"/>
      <c r="J13" s="138"/>
      <c r="K13" s="218"/>
    </row>
    <row r="14" spans="1:11" x14ac:dyDescent="0.25">
      <c r="A14" s="179"/>
      <c r="B14" s="82"/>
      <c r="C14" s="124"/>
      <c r="D14" s="82"/>
      <c r="E14" s="82"/>
      <c r="F14" s="82"/>
      <c r="G14" s="82"/>
      <c r="H14" s="123"/>
      <c r="I14" s="90"/>
      <c r="J14" s="138"/>
      <c r="K14" s="218"/>
    </row>
    <row r="15" spans="1:11" x14ac:dyDescent="0.25">
      <c r="A15" s="179"/>
      <c r="B15" s="82"/>
      <c r="C15" s="124"/>
      <c r="D15" s="82"/>
      <c r="E15" s="82"/>
      <c r="F15" s="82"/>
      <c r="G15" s="82"/>
      <c r="H15" s="123"/>
      <c r="I15" s="90"/>
      <c r="J15" s="138"/>
      <c r="K15" s="218"/>
    </row>
    <row r="16" spans="1:11" x14ac:dyDescent="0.25">
      <c r="A16" s="179"/>
      <c r="B16" s="82"/>
      <c r="C16" s="124"/>
      <c r="D16" s="82"/>
      <c r="E16" s="82"/>
      <c r="F16" s="82"/>
      <c r="G16" s="82"/>
      <c r="H16" s="123"/>
      <c r="I16" s="90"/>
      <c r="J16" s="138"/>
      <c r="K16" s="218"/>
    </row>
    <row r="17" spans="1:11" x14ac:dyDescent="0.25">
      <c r="A17" s="179"/>
      <c r="B17" s="82"/>
      <c r="C17" s="124"/>
      <c r="D17" s="82"/>
      <c r="E17" s="82"/>
      <c r="F17" s="82"/>
      <c r="G17" s="82"/>
      <c r="H17" s="123"/>
      <c r="I17" s="90"/>
      <c r="J17" s="138"/>
      <c r="K17" s="218"/>
    </row>
    <row r="18" spans="1:11" x14ac:dyDescent="0.25">
      <c r="A18" s="179"/>
      <c r="B18" s="82"/>
      <c r="C18" s="124"/>
      <c r="D18" s="82"/>
      <c r="E18" s="82"/>
      <c r="F18" s="82"/>
      <c r="G18" s="82"/>
      <c r="H18" s="123"/>
      <c r="I18" s="90"/>
      <c r="J18" s="138"/>
      <c r="K18" s="218"/>
    </row>
    <row r="19" spans="1:11" x14ac:dyDescent="0.25">
      <c r="A19" s="179"/>
      <c r="B19" s="82"/>
      <c r="C19" s="124"/>
      <c r="D19" s="82"/>
      <c r="E19" s="82"/>
      <c r="F19" s="82"/>
      <c r="G19" s="82"/>
      <c r="H19" s="128"/>
      <c r="I19" s="90"/>
      <c r="J19" s="138"/>
      <c r="K19" s="218"/>
    </row>
    <row r="20" spans="1:11" x14ac:dyDescent="0.25">
      <c r="A20" s="179"/>
      <c r="B20" s="82"/>
      <c r="C20" s="124"/>
      <c r="D20" s="82"/>
      <c r="E20" s="82"/>
      <c r="F20" s="82"/>
      <c r="G20" s="82"/>
      <c r="H20" s="128"/>
      <c r="I20" s="90"/>
      <c r="J20" s="138"/>
      <c r="K20" s="218"/>
    </row>
    <row r="21" spans="1:11" x14ac:dyDescent="0.25">
      <c r="A21" s="179"/>
      <c r="B21" s="82"/>
      <c r="C21" s="124"/>
      <c r="D21" s="82"/>
      <c r="E21" s="82"/>
      <c r="F21" s="82"/>
      <c r="G21" s="82"/>
      <c r="H21" s="128"/>
      <c r="I21" s="90"/>
      <c r="J21" s="138"/>
      <c r="K21" s="218"/>
    </row>
    <row r="22" spans="1:11" x14ac:dyDescent="0.25">
      <c r="A22" s="179"/>
      <c r="B22" s="82"/>
      <c r="C22" s="124"/>
      <c r="D22" s="82"/>
      <c r="E22" s="82"/>
      <c r="F22" s="82"/>
      <c r="G22" s="82"/>
      <c r="H22" s="128"/>
      <c r="I22" s="90"/>
      <c r="J22" s="138"/>
      <c r="K22" s="218"/>
    </row>
    <row r="23" spans="1:11" x14ac:dyDescent="0.25">
      <c r="A23" s="179"/>
      <c r="B23" s="82"/>
      <c r="C23" s="124"/>
      <c r="D23" s="82"/>
      <c r="E23" s="82"/>
      <c r="F23" s="82"/>
      <c r="G23" s="82"/>
      <c r="H23" s="128"/>
      <c r="I23" s="90"/>
      <c r="J23" s="138"/>
      <c r="K23" s="218"/>
    </row>
    <row r="24" spans="1:11" x14ac:dyDescent="0.25">
      <c r="A24" s="179"/>
      <c r="B24" s="82"/>
      <c r="C24" s="124"/>
      <c r="D24" s="82"/>
      <c r="E24" s="82"/>
      <c r="F24" s="82"/>
      <c r="G24" s="82"/>
      <c r="H24" s="128"/>
      <c r="I24" s="90"/>
      <c r="J24" s="138"/>
      <c r="K24" s="218"/>
    </row>
    <row r="25" spans="1:11" x14ac:dyDescent="0.25">
      <c r="A25" s="179"/>
      <c r="B25" s="82"/>
      <c r="C25" s="124"/>
      <c r="D25" s="82"/>
      <c r="E25" s="82"/>
      <c r="F25" s="82"/>
      <c r="G25" s="82"/>
      <c r="H25" s="128"/>
      <c r="I25" s="90"/>
      <c r="J25" s="138"/>
      <c r="K25" s="218"/>
    </row>
    <row r="26" spans="1:11" x14ac:dyDescent="0.25">
      <c r="A26" s="179">
        <v>46111</v>
      </c>
      <c r="B26" s="82" t="s">
        <v>9</v>
      </c>
      <c r="C26" s="124" t="s">
        <v>278</v>
      </c>
      <c r="D26" s="82">
        <v>430</v>
      </c>
      <c r="E26" s="82"/>
      <c r="F26" s="82"/>
      <c r="G26" s="82"/>
      <c r="H26" s="123">
        <v>292957</v>
      </c>
      <c r="I26" s="90" t="s">
        <v>15</v>
      </c>
      <c r="J26" s="138"/>
      <c r="K26" s="218"/>
    </row>
    <row r="27" spans="1:11" x14ac:dyDescent="0.25">
      <c r="A27" s="179">
        <v>46113</v>
      </c>
      <c r="B27" s="82" t="s">
        <v>278</v>
      </c>
      <c r="C27" s="124" t="s">
        <v>118</v>
      </c>
      <c r="D27" s="82">
        <v>150</v>
      </c>
      <c r="E27" s="82"/>
      <c r="F27" s="82"/>
      <c r="G27" s="82"/>
      <c r="H27" s="128" t="s">
        <v>66</v>
      </c>
      <c r="I27" s="90"/>
      <c r="J27" s="138"/>
      <c r="K27" s="218"/>
    </row>
    <row r="28" spans="1:11" x14ac:dyDescent="0.25">
      <c r="A28" s="179">
        <v>46114</v>
      </c>
      <c r="B28" s="82" t="s">
        <v>118</v>
      </c>
      <c r="C28" s="124" t="s">
        <v>146</v>
      </c>
      <c r="D28" s="82">
        <v>1430</v>
      </c>
      <c r="E28" s="82"/>
      <c r="F28" s="82"/>
      <c r="G28" s="82"/>
      <c r="H28" s="123">
        <v>118786</v>
      </c>
      <c r="I28" s="90" t="s">
        <v>147</v>
      </c>
      <c r="J28" s="138"/>
      <c r="K28" s="218"/>
    </row>
    <row r="29" spans="1:11" x14ac:dyDescent="0.25">
      <c r="A29" s="179">
        <v>46115</v>
      </c>
      <c r="B29" s="82" t="s">
        <v>146</v>
      </c>
      <c r="C29" s="124" t="s">
        <v>9</v>
      </c>
      <c r="D29" s="82">
        <v>1040</v>
      </c>
      <c r="E29" s="82"/>
      <c r="F29" s="82"/>
      <c r="G29" s="82"/>
      <c r="H29" s="83" t="s">
        <v>66</v>
      </c>
      <c r="I29" s="90"/>
      <c r="J29" s="138"/>
      <c r="K29" s="218"/>
    </row>
    <row r="30" spans="1:11" x14ac:dyDescent="0.25">
      <c r="A30" s="179">
        <v>46120</v>
      </c>
      <c r="B30" s="82" t="s">
        <v>9</v>
      </c>
      <c r="C30" s="124" t="s">
        <v>389</v>
      </c>
      <c r="D30" s="82">
        <v>320</v>
      </c>
      <c r="E30" s="82"/>
      <c r="F30" s="82"/>
      <c r="G30" s="82"/>
      <c r="H30" s="123"/>
      <c r="I30" s="90"/>
      <c r="J30" s="138"/>
      <c r="K30" s="218"/>
    </row>
    <row r="31" spans="1:11" x14ac:dyDescent="0.25">
      <c r="A31" s="179">
        <v>46121</v>
      </c>
      <c r="B31" s="82" t="s">
        <v>389</v>
      </c>
      <c r="C31" s="124" t="s">
        <v>9</v>
      </c>
      <c r="D31" s="82">
        <v>320</v>
      </c>
      <c r="E31" s="82"/>
      <c r="F31" s="82"/>
      <c r="G31" s="82"/>
      <c r="H31" s="123"/>
      <c r="I31" s="90"/>
      <c r="J31" s="138"/>
      <c r="K31" s="218"/>
    </row>
    <row r="32" spans="1:11" x14ac:dyDescent="0.25">
      <c r="A32" s="179">
        <v>46122</v>
      </c>
      <c r="B32" s="82" t="s">
        <v>9</v>
      </c>
      <c r="C32" s="124" t="s">
        <v>390</v>
      </c>
      <c r="D32" s="82">
        <v>420</v>
      </c>
      <c r="E32" s="82"/>
      <c r="F32" s="82">
        <v>35.020000000000003</v>
      </c>
      <c r="G32" s="82"/>
      <c r="H32" s="123">
        <v>293676</v>
      </c>
      <c r="I32" s="90" t="s">
        <v>344</v>
      </c>
      <c r="J32" s="138"/>
      <c r="K32" s="218"/>
    </row>
    <row r="33" spans="1:12" x14ac:dyDescent="0.25">
      <c r="A33" s="179">
        <v>46125</v>
      </c>
      <c r="B33" s="82" t="s">
        <v>390</v>
      </c>
      <c r="C33" s="124" t="s">
        <v>118</v>
      </c>
      <c r="D33" s="82">
        <v>150</v>
      </c>
      <c r="E33" s="82"/>
      <c r="F33" s="82"/>
      <c r="G33" s="82"/>
      <c r="H33" s="128" t="s">
        <v>66</v>
      </c>
      <c r="I33" s="90"/>
      <c r="J33" s="138"/>
      <c r="K33" s="218"/>
    </row>
    <row r="34" spans="1:12" x14ac:dyDescent="0.25">
      <c r="A34" s="179">
        <v>46125</v>
      </c>
      <c r="B34" s="82" t="s">
        <v>118</v>
      </c>
      <c r="C34" s="124" t="s">
        <v>385</v>
      </c>
      <c r="D34" s="82">
        <v>1560</v>
      </c>
      <c r="E34" s="82"/>
      <c r="F34" s="82"/>
      <c r="G34" s="82"/>
      <c r="H34" s="90">
        <v>120901</v>
      </c>
      <c r="I34" s="90" t="s">
        <v>386</v>
      </c>
      <c r="J34" s="138"/>
      <c r="K34" s="218"/>
    </row>
    <row r="35" spans="1:12" x14ac:dyDescent="0.25">
      <c r="A35" s="179">
        <v>46127</v>
      </c>
      <c r="B35" s="124" t="s">
        <v>385</v>
      </c>
      <c r="C35" s="124" t="s">
        <v>227</v>
      </c>
      <c r="D35" s="82">
        <v>270</v>
      </c>
      <c r="E35" s="82"/>
      <c r="F35" s="82"/>
      <c r="G35" s="82"/>
      <c r="H35" s="83" t="s">
        <v>66</v>
      </c>
      <c r="I35" s="90"/>
      <c r="J35" s="138"/>
      <c r="K35" s="218"/>
    </row>
    <row r="36" spans="1:12" x14ac:dyDescent="0.25">
      <c r="A36" s="179">
        <v>46128</v>
      </c>
      <c r="B36" s="82" t="s">
        <v>296</v>
      </c>
      <c r="C36" s="124" t="s">
        <v>9</v>
      </c>
      <c r="D36" s="82">
        <v>820</v>
      </c>
      <c r="E36" s="82"/>
      <c r="F36" s="82">
        <v>34.200000000000003</v>
      </c>
      <c r="G36" s="82"/>
      <c r="H36" s="90">
        <v>189557</v>
      </c>
      <c r="I36" s="90" t="s">
        <v>304</v>
      </c>
      <c r="J36" s="138"/>
      <c r="K36" s="218"/>
    </row>
    <row r="37" spans="1:12" x14ac:dyDescent="0.25">
      <c r="A37" s="179">
        <v>46129</v>
      </c>
      <c r="B37" s="82" t="s">
        <v>9</v>
      </c>
      <c r="C37" s="124" t="s">
        <v>326</v>
      </c>
      <c r="D37" s="82">
        <v>380</v>
      </c>
      <c r="E37" s="82"/>
      <c r="F37" s="82"/>
      <c r="G37" s="82"/>
      <c r="H37" s="90" t="s">
        <v>252</v>
      </c>
      <c r="I37" s="90" t="s">
        <v>327</v>
      </c>
      <c r="J37" s="138"/>
      <c r="K37" s="218"/>
    </row>
    <row r="38" spans="1:12" x14ac:dyDescent="0.25">
      <c r="A38" s="179">
        <v>46132</v>
      </c>
      <c r="B38" s="82" t="s">
        <v>326</v>
      </c>
      <c r="C38" s="124" t="s">
        <v>118</v>
      </c>
      <c r="D38" s="82">
        <v>180</v>
      </c>
      <c r="E38" s="82"/>
      <c r="F38" s="82"/>
      <c r="G38" s="82"/>
      <c r="H38" s="83" t="s">
        <v>66</v>
      </c>
      <c r="I38" s="90"/>
      <c r="J38" s="138"/>
      <c r="K38" s="218"/>
    </row>
    <row r="39" spans="1:12" x14ac:dyDescent="0.25">
      <c r="A39" s="179">
        <v>46132</v>
      </c>
      <c r="B39" s="82" t="s">
        <v>118</v>
      </c>
      <c r="C39" s="124" t="s">
        <v>385</v>
      </c>
      <c r="D39" s="82">
        <v>1560</v>
      </c>
      <c r="E39" s="82"/>
      <c r="F39" s="82"/>
      <c r="G39" s="82"/>
      <c r="H39" s="90">
        <v>121979</v>
      </c>
      <c r="I39" s="90" t="s">
        <v>386</v>
      </c>
      <c r="J39" s="138"/>
      <c r="K39" s="218"/>
    </row>
    <row r="40" spans="1:12" x14ac:dyDescent="0.25">
      <c r="A40" s="179">
        <v>46135</v>
      </c>
      <c r="B40" s="124" t="s">
        <v>385</v>
      </c>
      <c r="C40" s="124" t="s">
        <v>227</v>
      </c>
      <c r="D40" s="82">
        <v>270</v>
      </c>
      <c r="E40" s="82"/>
      <c r="F40" s="82"/>
      <c r="G40" s="82"/>
      <c r="H40" s="83" t="s">
        <v>66</v>
      </c>
      <c r="I40" s="90"/>
      <c r="J40" s="138"/>
      <c r="K40" s="218"/>
    </row>
    <row r="41" spans="1:12" x14ac:dyDescent="0.25">
      <c r="A41" s="179">
        <v>46136</v>
      </c>
      <c r="B41" s="82" t="s">
        <v>296</v>
      </c>
      <c r="C41" s="124" t="s">
        <v>9</v>
      </c>
      <c r="D41" s="82">
        <v>820</v>
      </c>
      <c r="E41" s="82"/>
      <c r="F41" s="82">
        <v>34.1</v>
      </c>
      <c r="G41" s="82"/>
      <c r="H41" s="90">
        <v>189878</v>
      </c>
      <c r="I41" s="90" t="s">
        <v>304</v>
      </c>
      <c r="J41" s="138"/>
      <c r="K41" s="218"/>
    </row>
    <row r="42" spans="1:12" x14ac:dyDescent="0.25">
      <c r="A42" s="179">
        <v>46137</v>
      </c>
      <c r="B42" s="82" t="s">
        <v>9</v>
      </c>
      <c r="C42" s="82" t="s">
        <v>382</v>
      </c>
      <c r="D42" s="82">
        <v>420</v>
      </c>
      <c r="E42" s="82"/>
      <c r="F42" s="82"/>
      <c r="G42" s="82"/>
      <c r="H42" s="123">
        <v>294580</v>
      </c>
      <c r="I42" s="90"/>
      <c r="J42" s="138"/>
      <c r="K42" s="218"/>
    </row>
    <row r="43" spans="1:12" x14ac:dyDescent="0.25">
      <c r="A43" s="179">
        <v>46139</v>
      </c>
      <c r="B43" s="82" t="s">
        <v>352</v>
      </c>
      <c r="C43" s="82" t="s">
        <v>118</v>
      </c>
      <c r="D43" s="82">
        <v>150</v>
      </c>
      <c r="E43" s="82"/>
      <c r="F43" s="82"/>
      <c r="G43" s="82"/>
      <c r="H43" s="128" t="s">
        <v>66</v>
      </c>
      <c r="I43" s="90"/>
      <c r="J43" s="138"/>
      <c r="K43" s="218"/>
    </row>
    <row r="44" spans="1:12" x14ac:dyDescent="0.25">
      <c r="A44" s="179">
        <v>46139</v>
      </c>
      <c r="B44" s="82" t="s">
        <v>118</v>
      </c>
      <c r="C44" s="124" t="s">
        <v>146</v>
      </c>
      <c r="D44" s="82">
        <v>1430</v>
      </c>
      <c r="E44" s="82"/>
      <c r="F44" s="82"/>
      <c r="G44" s="82"/>
      <c r="H44" s="123" t="s">
        <v>252</v>
      </c>
      <c r="I44" s="90" t="s">
        <v>147</v>
      </c>
      <c r="J44" s="138"/>
      <c r="K44" s="218"/>
    </row>
    <row r="45" spans="1:12" x14ac:dyDescent="0.25">
      <c r="A45" s="179"/>
      <c r="B45" s="82"/>
      <c r="C45" s="124"/>
      <c r="D45" s="151" t="s">
        <v>454</v>
      </c>
      <c r="E45" s="82"/>
      <c r="F45" s="82"/>
      <c r="G45" s="82"/>
      <c r="H45" s="90"/>
      <c r="I45" s="90"/>
      <c r="J45" s="138"/>
      <c r="K45" s="218"/>
    </row>
    <row r="46" spans="1:12" x14ac:dyDescent="0.25">
      <c r="A46" s="5"/>
      <c r="B46" s="6"/>
      <c r="C46" s="6"/>
      <c r="D46" s="6"/>
      <c r="E46" s="6"/>
      <c r="F46" s="6"/>
      <c r="G46" s="6"/>
      <c r="H46" s="7"/>
      <c r="I46" s="7"/>
      <c r="J46" s="140"/>
      <c r="K46" s="218"/>
    </row>
    <row r="47" spans="1:12" x14ac:dyDescent="0.25">
      <c r="D47" s="17">
        <f>SUM(D3:D46)</f>
        <v>12120</v>
      </c>
      <c r="E47" s="175"/>
      <c r="F47" s="13">
        <f>AVERAGE(F3:F45)</f>
        <v>34.44</v>
      </c>
      <c r="G47" s="13"/>
      <c r="J47" s="139">
        <f>SUM(J3:J46)</f>
        <v>0</v>
      </c>
      <c r="K47" s="219">
        <f>SUM(K3:K46)</f>
        <v>0</v>
      </c>
      <c r="L47" s="234"/>
    </row>
    <row r="49" spans="2:11" x14ac:dyDescent="0.25">
      <c r="B49">
        <v>-2017</v>
      </c>
      <c r="F49" s="11"/>
      <c r="G49" s="11"/>
      <c r="K49" s="4"/>
    </row>
    <row r="50" spans="2:11" x14ac:dyDescent="0.25">
      <c r="B50">
        <v>455</v>
      </c>
      <c r="C50" t="s">
        <v>12</v>
      </c>
      <c r="D50" s="11"/>
      <c r="E50" s="11"/>
      <c r="F50" s="11"/>
      <c r="G50" s="11"/>
      <c r="K50" s="4"/>
    </row>
    <row r="51" spans="2:11" x14ac:dyDescent="0.25">
      <c r="B51">
        <v>-500</v>
      </c>
      <c r="C51" t="s">
        <v>13</v>
      </c>
      <c r="D51" s="11"/>
      <c r="E51" s="11"/>
      <c r="F51" s="11"/>
      <c r="G51" s="11"/>
      <c r="K51" s="4"/>
    </row>
    <row r="52" spans="2:11" x14ac:dyDescent="0.25">
      <c r="B52">
        <v>140</v>
      </c>
      <c r="C52" t="s">
        <v>12</v>
      </c>
      <c r="D52" s="11"/>
      <c r="E52" s="11"/>
      <c r="F52" s="11"/>
      <c r="G52" s="11"/>
      <c r="K52" s="4"/>
    </row>
    <row r="53" spans="2:11" x14ac:dyDescent="0.25">
      <c r="B53">
        <v>-200</v>
      </c>
      <c r="C53" t="s">
        <v>13</v>
      </c>
      <c r="D53" s="11"/>
      <c r="E53" s="11"/>
      <c r="F53" s="11"/>
      <c r="G53" s="11"/>
      <c r="K53" s="4"/>
    </row>
    <row r="54" spans="2:11" x14ac:dyDescent="0.25">
      <c r="B54">
        <v>515</v>
      </c>
      <c r="C54" t="s">
        <v>12</v>
      </c>
      <c r="D54" s="11"/>
      <c r="E54" s="11"/>
      <c r="F54" s="11"/>
      <c r="G54" s="11"/>
      <c r="K54" s="4"/>
    </row>
    <row r="55" spans="2:11" x14ac:dyDescent="0.25">
      <c r="B55">
        <v>-500</v>
      </c>
      <c r="C55" t="s">
        <v>13</v>
      </c>
      <c r="D55" s="11"/>
      <c r="E55" s="11"/>
      <c r="F55" s="11"/>
      <c r="G55" s="11"/>
      <c r="K55" s="4"/>
    </row>
    <row r="56" spans="2:11" x14ac:dyDescent="0.25">
      <c r="B56">
        <v>280</v>
      </c>
      <c r="C56" t="s">
        <v>12</v>
      </c>
      <c r="D56" s="11"/>
      <c r="E56" s="11"/>
      <c r="F56" s="11"/>
      <c r="G56" s="11"/>
      <c r="K56" s="4"/>
    </row>
    <row r="57" spans="2:11" x14ac:dyDescent="0.25">
      <c r="B57">
        <v>-200</v>
      </c>
      <c r="C57" t="s">
        <v>13</v>
      </c>
      <c r="D57" s="11"/>
      <c r="E57" s="11"/>
      <c r="F57" s="11"/>
      <c r="G57" s="11"/>
      <c r="K57" s="4"/>
    </row>
    <row r="58" spans="2:11" x14ac:dyDescent="0.25">
      <c r="B58">
        <v>220</v>
      </c>
      <c r="C58" s="11" t="s">
        <v>12</v>
      </c>
      <c r="D58" s="11">
        <v>44149</v>
      </c>
      <c r="E58" s="11"/>
      <c r="F58" s="11"/>
      <c r="G58" s="11"/>
      <c r="K58" s="4"/>
    </row>
    <row r="59" spans="2:11" x14ac:dyDescent="0.25">
      <c r="B59">
        <v>200</v>
      </c>
      <c r="C59" s="11" t="s">
        <v>12</v>
      </c>
      <c r="D59" s="11">
        <v>44167</v>
      </c>
      <c r="E59" s="11"/>
      <c r="F59" s="11"/>
      <c r="G59" s="11"/>
      <c r="K59" s="4"/>
    </row>
    <row r="60" spans="2:11" x14ac:dyDescent="0.25">
      <c r="B60">
        <v>-400</v>
      </c>
      <c r="C60" s="11" t="s">
        <v>13</v>
      </c>
      <c r="D60" s="11"/>
      <c r="E60" s="11"/>
      <c r="F60" s="11"/>
      <c r="G60" s="11"/>
      <c r="K60" s="4"/>
    </row>
    <row r="61" spans="2:11" x14ac:dyDescent="0.25">
      <c r="B61">
        <v>220</v>
      </c>
      <c r="C61" s="11" t="s">
        <v>12</v>
      </c>
      <c r="D61" s="11">
        <v>44186</v>
      </c>
      <c r="E61" s="11"/>
      <c r="F61" s="11"/>
      <c r="G61" s="11"/>
      <c r="K61" s="4"/>
    </row>
    <row r="62" spans="2:11" x14ac:dyDescent="0.25">
      <c r="B62">
        <v>-200</v>
      </c>
      <c r="C62" s="11" t="s">
        <v>13</v>
      </c>
      <c r="D62" s="11">
        <v>44186</v>
      </c>
      <c r="E62" s="11"/>
      <c r="F62" s="11"/>
      <c r="G62" s="11"/>
      <c r="K62" s="4"/>
    </row>
    <row r="63" spans="2:11" x14ac:dyDescent="0.25">
      <c r="B63">
        <v>200</v>
      </c>
      <c r="C63" s="11" t="s">
        <v>12</v>
      </c>
      <c r="D63" s="11">
        <v>44188</v>
      </c>
      <c r="E63" s="11"/>
      <c r="F63" s="11"/>
      <c r="G63" s="11"/>
      <c r="K63" s="4"/>
    </row>
    <row r="64" spans="2:11" x14ac:dyDescent="0.25">
      <c r="B64">
        <v>-200</v>
      </c>
      <c r="C64" s="11" t="s">
        <v>13</v>
      </c>
      <c r="D64" s="11">
        <v>44188</v>
      </c>
      <c r="E64" s="11"/>
      <c r="F64" s="11"/>
      <c r="G64" s="11"/>
      <c r="K64" s="4"/>
    </row>
    <row r="65" spans="2:11" x14ac:dyDescent="0.25">
      <c r="B65">
        <v>465</v>
      </c>
      <c r="C65" s="11" t="s">
        <v>12</v>
      </c>
      <c r="D65" s="11"/>
      <c r="E65" s="11"/>
      <c r="F65" s="11"/>
      <c r="G65" s="11"/>
      <c r="K65" s="4"/>
    </row>
    <row r="66" spans="2:11" x14ac:dyDescent="0.25">
      <c r="B66">
        <v>-500</v>
      </c>
      <c r="C66" s="11" t="s">
        <v>13</v>
      </c>
      <c r="D66" s="11"/>
      <c r="E66" s="11"/>
      <c r="F66" s="11"/>
      <c r="G66" s="11"/>
      <c r="K66" s="4"/>
    </row>
    <row r="67" spans="2:11" x14ac:dyDescent="0.25">
      <c r="B67">
        <v>300</v>
      </c>
      <c r="C67" s="11" t="s">
        <v>143</v>
      </c>
      <c r="D67" s="11">
        <v>44203</v>
      </c>
      <c r="E67" s="11"/>
      <c r="F67" s="11"/>
      <c r="G67" s="11"/>
      <c r="K67" s="4"/>
    </row>
    <row r="68" spans="2:11" x14ac:dyDescent="0.25">
      <c r="B68">
        <v>-300</v>
      </c>
      <c r="C68" s="11" t="s">
        <v>13</v>
      </c>
      <c r="D68" s="11">
        <v>44203</v>
      </c>
      <c r="E68" s="11"/>
      <c r="F68" s="11"/>
      <c r="G68" s="11"/>
      <c r="K68" s="4"/>
    </row>
    <row r="69" spans="2:11" x14ac:dyDescent="0.25">
      <c r="B69">
        <v>300</v>
      </c>
      <c r="C69" s="11" t="s">
        <v>143</v>
      </c>
      <c r="D69" s="11"/>
      <c r="E69" s="11"/>
      <c r="F69" s="11"/>
      <c r="G69" s="11"/>
      <c r="K69" s="4"/>
    </row>
    <row r="70" spans="2:11" x14ac:dyDescent="0.25">
      <c r="B70">
        <v>-300</v>
      </c>
      <c r="C70" s="11" t="s">
        <v>13</v>
      </c>
      <c r="D70" s="11"/>
      <c r="E70" s="11"/>
      <c r="F70" s="11"/>
      <c r="G70" s="11"/>
      <c r="K70" s="4"/>
    </row>
    <row r="71" spans="2:11" x14ac:dyDescent="0.25">
      <c r="B71">
        <v>490</v>
      </c>
      <c r="C71" s="11" t="s">
        <v>12</v>
      </c>
      <c r="D71" s="11"/>
      <c r="E71" s="11"/>
      <c r="F71" s="11"/>
      <c r="G71" s="11"/>
      <c r="K71" s="4"/>
    </row>
    <row r="72" spans="2:11" x14ac:dyDescent="0.25">
      <c r="B72">
        <v>-500</v>
      </c>
      <c r="C72" s="11" t="s">
        <v>13</v>
      </c>
      <c r="D72" s="11"/>
      <c r="E72" s="11"/>
      <c r="F72" s="11"/>
      <c r="G72" s="11"/>
      <c r="K72" s="4"/>
    </row>
    <row r="73" spans="2:11" x14ac:dyDescent="0.25">
      <c r="B73">
        <v>490</v>
      </c>
      <c r="C73" s="11" t="s">
        <v>12</v>
      </c>
      <c r="D73" s="11">
        <v>44268</v>
      </c>
      <c r="E73" s="11"/>
      <c r="F73" s="11"/>
      <c r="G73" s="11"/>
      <c r="K73" s="4"/>
    </row>
    <row r="74" spans="2:11" x14ac:dyDescent="0.25">
      <c r="B74">
        <v>-500</v>
      </c>
      <c r="C74" s="11" t="s">
        <v>13</v>
      </c>
      <c r="D74" s="11"/>
      <c r="E74" s="11"/>
      <c r="F74" s="11"/>
      <c r="G74" s="11"/>
      <c r="K74" s="4"/>
    </row>
    <row r="75" spans="2:11" x14ac:dyDescent="0.25">
      <c r="B75">
        <v>300</v>
      </c>
      <c r="C75" s="11" t="s">
        <v>12</v>
      </c>
      <c r="D75" s="11">
        <v>44277</v>
      </c>
      <c r="E75" s="11"/>
      <c r="F75" s="11"/>
      <c r="G75" s="11"/>
      <c r="K75" s="4"/>
    </row>
    <row r="76" spans="2:11" x14ac:dyDescent="0.25">
      <c r="B76">
        <v>-300</v>
      </c>
      <c r="C76" s="11" t="s">
        <v>13</v>
      </c>
      <c r="D76" s="11">
        <v>44277</v>
      </c>
      <c r="E76" s="11"/>
      <c r="F76" s="11"/>
      <c r="G76" s="11"/>
      <c r="K76" s="4"/>
    </row>
    <row r="77" spans="2:11" x14ac:dyDescent="0.25">
      <c r="B77">
        <v>300</v>
      </c>
      <c r="C77" s="11" t="s">
        <v>12</v>
      </c>
      <c r="D77" s="11">
        <v>44282</v>
      </c>
      <c r="E77" s="11"/>
      <c r="F77" s="11"/>
      <c r="G77" s="11"/>
      <c r="K77" s="4"/>
    </row>
    <row r="78" spans="2:11" x14ac:dyDescent="0.25">
      <c r="B78">
        <v>-300</v>
      </c>
      <c r="C78" s="11"/>
      <c r="D78" s="11" t="s">
        <v>152</v>
      </c>
      <c r="E78" s="11"/>
      <c r="F78" s="11"/>
      <c r="G78" s="11"/>
      <c r="K78" s="4"/>
    </row>
    <row r="79" spans="2:11" x14ac:dyDescent="0.25">
      <c r="B79">
        <v>715</v>
      </c>
      <c r="C79" s="11" t="s">
        <v>74</v>
      </c>
      <c r="D79" s="11">
        <v>44310</v>
      </c>
      <c r="E79" s="11"/>
      <c r="F79" s="11"/>
      <c r="G79" s="11"/>
      <c r="K79" s="4"/>
    </row>
    <row r="80" spans="2:11" x14ac:dyDescent="0.25">
      <c r="B80">
        <v>-700</v>
      </c>
      <c r="C80" s="11" t="s">
        <v>13</v>
      </c>
      <c r="D80" s="11" t="s">
        <v>154</v>
      </c>
      <c r="E80" s="11"/>
      <c r="F80" s="11"/>
      <c r="G80" s="11"/>
      <c r="K80" s="4"/>
    </row>
    <row r="81" spans="2:11" x14ac:dyDescent="0.25">
      <c r="B81">
        <v>890</v>
      </c>
      <c r="C81" s="11" t="s">
        <v>12</v>
      </c>
      <c r="D81" s="11">
        <v>44315</v>
      </c>
      <c r="E81" s="11"/>
      <c r="F81" s="11"/>
      <c r="G81" s="11"/>
      <c r="K81" s="4"/>
    </row>
    <row r="82" spans="2:11" x14ac:dyDescent="0.25">
      <c r="B82">
        <v>-900</v>
      </c>
      <c r="C82" s="11" t="s">
        <v>13</v>
      </c>
      <c r="D82" s="11"/>
      <c r="E82" s="11"/>
      <c r="F82" s="11"/>
      <c r="G82" s="11"/>
      <c r="K82" s="4"/>
    </row>
    <row r="83" spans="2:11" x14ac:dyDescent="0.25">
      <c r="B83">
        <v>500</v>
      </c>
      <c r="C83" s="11" t="s">
        <v>141</v>
      </c>
      <c r="D83" s="11"/>
      <c r="E83" s="11"/>
      <c r="F83" s="11"/>
      <c r="G83" s="11"/>
      <c r="K83" s="4"/>
    </row>
    <row r="84" spans="2:11" x14ac:dyDescent="0.25">
      <c r="B84">
        <v>-500</v>
      </c>
      <c r="C84" s="11" t="s">
        <v>13</v>
      </c>
      <c r="D84" s="11"/>
      <c r="E84" s="11"/>
      <c r="F84" s="11"/>
      <c r="G84" s="11"/>
      <c r="K84" s="4"/>
    </row>
    <row r="85" spans="2:11" x14ac:dyDescent="0.25">
      <c r="B85">
        <v>630</v>
      </c>
      <c r="C85" s="11" t="s">
        <v>12</v>
      </c>
      <c r="D85" s="11">
        <v>44343</v>
      </c>
      <c r="E85" s="11"/>
      <c r="F85" s="11"/>
      <c r="G85" s="11"/>
      <c r="K85" s="4"/>
    </row>
    <row r="86" spans="2:11" x14ac:dyDescent="0.25">
      <c r="B86">
        <v>-600</v>
      </c>
      <c r="C86" s="11" t="s">
        <v>13</v>
      </c>
      <c r="D86" s="11"/>
      <c r="E86" s="11"/>
      <c r="F86" s="11"/>
      <c r="G86" s="11"/>
      <c r="K86" s="4"/>
    </row>
    <row r="87" spans="2:11" x14ac:dyDescent="0.25">
      <c r="B87">
        <v>300</v>
      </c>
      <c r="C87" s="11" t="s">
        <v>143</v>
      </c>
      <c r="D87" s="11"/>
      <c r="E87" s="11">
        <v>44567</v>
      </c>
      <c r="F87" s="11"/>
      <c r="G87" s="11"/>
      <c r="K87" s="4"/>
    </row>
    <row r="88" spans="2:11" x14ac:dyDescent="0.25">
      <c r="B88">
        <v>-300</v>
      </c>
      <c r="C88" s="11" t="s">
        <v>13</v>
      </c>
      <c r="D88" s="11"/>
      <c r="E88" s="11"/>
      <c r="F88" s="11"/>
      <c r="G88" s="11"/>
      <c r="K88" s="4"/>
    </row>
    <row r="89" spans="2:11" x14ac:dyDescent="0.25">
      <c r="B89">
        <v>420</v>
      </c>
      <c r="C89" s="11" t="s">
        <v>12</v>
      </c>
      <c r="D89" s="11"/>
      <c r="E89" s="11"/>
      <c r="F89" s="11"/>
      <c r="G89" s="11"/>
      <c r="K89" s="4"/>
    </row>
    <row r="90" spans="2:11" x14ac:dyDescent="0.25">
      <c r="B90">
        <v>-500</v>
      </c>
      <c r="C90" s="11" t="s">
        <v>13</v>
      </c>
      <c r="D90" s="11">
        <v>44614</v>
      </c>
      <c r="E90" s="11"/>
      <c r="F90" s="11"/>
      <c r="G90" s="11"/>
      <c r="K90" s="4"/>
    </row>
    <row r="91" spans="2:11" x14ac:dyDescent="0.25">
      <c r="B91">
        <v>420</v>
      </c>
      <c r="C91" s="11" t="s">
        <v>12</v>
      </c>
      <c r="D91" s="11">
        <v>44623</v>
      </c>
      <c r="E91" s="11"/>
      <c r="F91" s="11"/>
      <c r="G91" s="11"/>
      <c r="K91" s="4"/>
    </row>
    <row r="92" spans="2:11" x14ac:dyDescent="0.25">
      <c r="B92">
        <v>-400</v>
      </c>
      <c r="C92" s="11" t="s">
        <v>13</v>
      </c>
      <c r="D92" s="11">
        <v>44623</v>
      </c>
      <c r="E92" s="11"/>
      <c r="F92" s="11"/>
      <c r="G92" s="11"/>
      <c r="K92" s="4"/>
    </row>
    <row r="93" spans="2:11" x14ac:dyDescent="0.25">
      <c r="B93">
        <v>680</v>
      </c>
      <c r="C93" s="11" t="s">
        <v>12</v>
      </c>
      <c r="D93" s="11">
        <v>44676</v>
      </c>
      <c r="E93" s="11"/>
      <c r="F93" s="11"/>
      <c r="G93" s="11"/>
      <c r="K93" s="4"/>
    </row>
    <row r="94" spans="2:11" x14ac:dyDescent="0.25">
      <c r="B94">
        <v>-700</v>
      </c>
      <c r="C94" s="11" t="s">
        <v>13</v>
      </c>
      <c r="D94" s="11">
        <v>44676</v>
      </c>
      <c r="E94" s="11"/>
      <c r="F94" s="11"/>
      <c r="G94" s="11"/>
      <c r="K94" s="4"/>
    </row>
    <row r="95" spans="2:11" x14ac:dyDescent="0.25">
      <c r="B95">
        <v>800</v>
      </c>
      <c r="C95" s="11" t="s">
        <v>12</v>
      </c>
      <c r="D95" s="11">
        <v>44695</v>
      </c>
      <c r="E95" s="11"/>
      <c r="F95" s="11"/>
      <c r="G95" s="11"/>
      <c r="K95" s="4"/>
    </row>
    <row r="96" spans="2:11" x14ac:dyDescent="0.25">
      <c r="B96">
        <v>-800</v>
      </c>
      <c r="C96" s="11" t="s">
        <v>13</v>
      </c>
      <c r="D96" s="11">
        <v>44695</v>
      </c>
      <c r="E96" s="11"/>
      <c r="F96" s="11"/>
      <c r="G96" s="11"/>
      <c r="K96" s="4"/>
    </row>
    <row r="97" spans="2:11" x14ac:dyDescent="0.25">
      <c r="B97">
        <v>5640</v>
      </c>
      <c r="C97" s="11" t="s">
        <v>12</v>
      </c>
      <c r="D97" s="11">
        <v>44700</v>
      </c>
      <c r="E97" s="11"/>
      <c r="F97" s="11"/>
      <c r="G97" s="11"/>
      <c r="K97" s="4"/>
    </row>
    <row r="98" spans="2:11" x14ac:dyDescent="0.25">
      <c r="B98">
        <v>-5640</v>
      </c>
      <c r="C98" s="11" t="s">
        <v>13</v>
      </c>
      <c r="D98" s="11">
        <v>44700</v>
      </c>
      <c r="E98" s="11"/>
      <c r="F98" s="11"/>
      <c r="G98" s="11"/>
      <c r="K98" s="4"/>
    </row>
    <row r="99" spans="2:11" x14ac:dyDescent="0.25">
      <c r="B99">
        <v>-1500</v>
      </c>
      <c r="C99" s="11" t="s">
        <v>13</v>
      </c>
      <c r="D99" s="11">
        <v>44700</v>
      </c>
      <c r="E99" s="11"/>
      <c r="F99" s="11"/>
      <c r="G99" s="11"/>
      <c r="K99" s="4"/>
    </row>
    <row r="100" spans="2:11" x14ac:dyDescent="0.25">
      <c r="B100">
        <v>2080</v>
      </c>
      <c r="C100" s="11" t="s">
        <v>12</v>
      </c>
      <c r="D100" s="11">
        <v>44707</v>
      </c>
      <c r="E100" s="11"/>
      <c r="F100" s="11"/>
      <c r="G100" s="11"/>
      <c r="K100" s="4"/>
    </row>
    <row r="101" spans="2:11" x14ac:dyDescent="0.25">
      <c r="B101">
        <v>-2100</v>
      </c>
      <c r="C101" s="11" t="s">
        <v>13</v>
      </c>
      <c r="D101" s="11">
        <v>44707</v>
      </c>
      <c r="E101" s="11"/>
      <c r="F101" s="11"/>
      <c r="G101" s="11"/>
      <c r="K101" s="4"/>
    </row>
    <row r="102" spans="2:11" x14ac:dyDescent="0.25">
      <c r="B102">
        <v>4320</v>
      </c>
      <c r="C102" s="11" t="s">
        <v>12</v>
      </c>
      <c r="D102" s="11">
        <v>44714</v>
      </c>
      <c r="E102" s="11"/>
      <c r="F102" s="11"/>
      <c r="G102" s="11"/>
      <c r="K102" s="4"/>
    </row>
    <row r="103" spans="2:11" x14ac:dyDescent="0.25">
      <c r="B103">
        <v>-4320</v>
      </c>
      <c r="C103" s="11" t="s">
        <v>13</v>
      </c>
      <c r="D103" s="11">
        <v>44714</v>
      </c>
      <c r="E103" s="11"/>
      <c r="F103" s="11"/>
      <c r="G103" s="11"/>
      <c r="K103" s="4"/>
    </row>
    <row r="104" spans="2:11" x14ac:dyDescent="0.25">
      <c r="B104">
        <v>2960</v>
      </c>
      <c r="C104" s="11" t="s">
        <v>12</v>
      </c>
      <c r="D104" s="11"/>
      <c r="E104" s="11"/>
      <c r="F104" s="11"/>
      <c r="G104" s="11"/>
      <c r="K104" s="4"/>
    </row>
    <row r="105" spans="2:11" x14ac:dyDescent="0.25">
      <c r="B105">
        <v>-2900</v>
      </c>
      <c r="C105" s="11" t="s">
        <v>13</v>
      </c>
      <c r="D105" s="11"/>
      <c r="E105" s="11"/>
      <c r="F105" s="11"/>
      <c r="G105" s="11"/>
      <c r="K105" s="4"/>
    </row>
    <row r="106" spans="2:11" x14ac:dyDescent="0.25">
      <c r="B106">
        <v>960</v>
      </c>
      <c r="C106" s="11" t="s">
        <v>12</v>
      </c>
      <c r="D106" s="11">
        <v>44726</v>
      </c>
      <c r="E106" s="11"/>
      <c r="F106" s="11"/>
      <c r="G106" s="11"/>
      <c r="K106" s="4"/>
    </row>
    <row r="107" spans="2:11" x14ac:dyDescent="0.25">
      <c r="B107">
        <v>-1000</v>
      </c>
      <c r="C107" s="11" t="s">
        <v>13</v>
      </c>
      <c r="D107" s="11">
        <v>44726</v>
      </c>
      <c r="E107" s="11"/>
      <c r="F107" s="11"/>
      <c r="G107" s="11"/>
      <c r="K107" s="4"/>
    </row>
    <row r="108" spans="2:11" x14ac:dyDescent="0.25">
      <c r="B108">
        <v>2507.5</v>
      </c>
      <c r="C108" s="11" t="s">
        <v>201</v>
      </c>
      <c r="D108" s="11">
        <v>44749</v>
      </c>
      <c r="E108" s="11"/>
      <c r="F108" s="11"/>
      <c r="G108" s="11"/>
      <c r="K108" s="4"/>
    </row>
    <row r="109" spans="2:11" x14ac:dyDescent="0.25">
      <c r="B109">
        <v>300</v>
      </c>
      <c r="C109" s="11" t="s">
        <v>12</v>
      </c>
      <c r="D109" s="11"/>
      <c r="E109" s="11"/>
      <c r="F109" s="11"/>
      <c r="G109" s="11"/>
      <c r="K109" s="4"/>
    </row>
    <row r="110" spans="2:11" x14ac:dyDescent="0.25">
      <c r="B110">
        <v>-1300</v>
      </c>
      <c r="C110" s="11" t="s">
        <v>13</v>
      </c>
      <c r="D110" s="11"/>
      <c r="E110" s="11"/>
      <c r="F110" s="11"/>
      <c r="G110" s="11"/>
      <c r="K110" s="4"/>
    </row>
    <row r="111" spans="2:11" x14ac:dyDescent="0.25">
      <c r="B111">
        <v>480</v>
      </c>
      <c r="C111" s="11" t="s">
        <v>12</v>
      </c>
      <c r="D111" s="11">
        <v>44827</v>
      </c>
      <c r="E111" s="11"/>
      <c r="F111" s="11"/>
      <c r="G111" s="11"/>
      <c r="K111" s="4"/>
    </row>
    <row r="112" spans="2:11" x14ac:dyDescent="0.25">
      <c r="B112">
        <v>-500</v>
      </c>
      <c r="C112" s="11" t="s">
        <v>13</v>
      </c>
      <c r="D112" s="11"/>
      <c r="E112" s="11"/>
      <c r="F112" s="11"/>
      <c r="G112" s="11"/>
      <c r="K112" s="4"/>
    </row>
    <row r="113" spans="2:11" x14ac:dyDescent="0.25">
      <c r="B113">
        <v>-300</v>
      </c>
      <c r="C113" s="11" t="s">
        <v>190</v>
      </c>
      <c r="D113" s="11">
        <v>44832</v>
      </c>
      <c r="E113" s="11"/>
      <c r="F113" s="11"/>
      <c r="G113" s="11"/>
      <c r="K113" s="4"/>
    </row>
    <row r="114" spans="2:11" x14ac:dyDescent="0.25">
      <c r="B114">
        <v>480</v>
      </c>
      <c r="C114" s="11" t="s">
        <v>12</v>
      </c>
      <c r="D114" s="11"/>
      <c r="E114" s="11"/>
      <c r="F114" s="11"/>
      <c r="G114" s="11"/>
      <c r="K114" s="4"/>
    </row>
    <row r="115" spans="2:11" x14ac:dyDescent="0.25">
      <c r="B115">
        <v>-480</v>
      </c>
      <c r="C115" s="11" t="s">
        <v>13</v>
      </c>
      <c r="D115" s="11"/>
      <c r="E115" s="11"/>
      <c r="F115" s="11"/>
      <c r="G115" s="11"/>
      <c r="K115" s="4"/>
    </row>
    <row r="116" spans="2:11" x14ac:dyDescent="0.25">
      <c r="B116">
        <v>480</v>
      </c>
      <c r="C116" s="11" t="s">
        <v>12</v>
      </c>
      <c r="D116" s="11">
        <v>44849</v>
      </c>
      <c r="E116" s="11"/>
      <c r="F116" s="11"/>
      <c r="G116" s="11"/>
      <c r="K116" s="4"/>
    </row>
    <row r="117" spans="2:11" x14ac:dyDescent="0.25">
      <c r="B117">
        <v>-400</v>
      </c>
      <c r="C117" s="11" t="s">
        <v>13</v>
      </c>
      <c r="D117" s="11">
        <v>44849</v>
      </c>
      <c r="E117" s="11"/>
      <c r="F117" s="11"/>
      <c r="G117" s="11"/>
      <c r="K117" s="4"/>
    </row>
    <row r="118" spans="2:11" x14ac:dyDescent="0.25">
      <c r="B118">
        <v>800</v>
      </c>
      <c r="C118" s="11" t="s">
        <v>74</v>
      </c>
      <c r="D118" s="11">
        <v>44869</v>
      </c>
      <c r="E118" s="11"/>
      <c r="F118" s="11"/>
      <c r="G118" s="11"/>
      <c r="K118" s="4"/>
    </row>
    <row r="119" spans="2:11" x14ac:dyDescent="0.25">
      <c r="B119">
        <v>-500</v>
      </c>
      <c r="C119" s="11" t="s">
        <v>13</v>
      </c>
      <c r="D119" s="11">
        <v>44869</v>
      </c>
      <c r="E119" s="11"/>
      <c r="F119" s="11"/>
      <c r="G119" s="11"/>
      <c r="K119" s="4"/>
    </row>
    <row r="120" spans="2:11" x14ac:dyDescent="0.25">
      <c r="B120">
        <v>800</v>
      </c>
      <c r="C120" s="11" t="s">
        <v>12</v>
      </c>
      <c r="D120" s="11">
        <v>44875</v>
      </c>
      <c r="E120" s="11"/>
      <c r="F120" s="11"/>
      <c r="G120" s="11"/>
      <c r="K120" s="4"/>
    </row>
    <row r="121" spans="2:11" x14ac:dyDescent="0.25">
      <c r="B121">
        <v>-800</v>
      </c>
      <c r="C121" s="11" t="s">
        <v>13</v>
      </c>
      <c r="D121" s="11"/>
      <c r="E121" s="11"/>
      <c r="F121" s="11"/>
      <c r="G121" s="11"/>
      <c r="K121" s="4"/>
    </row>
    <row r="122" spans="2:11" x14ac:dyDescent="0.25">
      <c r="B122">
        <v>800</v>
      </c>
      <c r="C122" s="11" t="s">
        <v>12</v>
      </c>
      <c r="D122" s="11">
        <v>44881</v>
      </c>
      <c r="E122" s="11"/>
      <c r="F122" s="11"/>
      <c r="G122" s="11"/>
      <c r="K122" s="4"/>
    </row>
    <row r="123" spans="2:11" x14ac:dyDescent="0.25">
      <c r="B123">
        <v>-800</v>
      </c>
      <c r="C123" s="11" t="s">
        <v>13</v>
      </c>
      <c r="D123" s="11">
        <v>44881</v>
      </c>
      <c r="E123" s="11"/>
      <c r="F123" s="11"/>
      <c r="G123" s="11"/>
      <c r="K123" s="4"/>
    </row>
    <row r="124" spans="2:11" x14ac:dyDescent="0.25">
      <c r="B124">
        <v>800</v>
      </c>
      <c r="C124" s="11" t="s">
        <v>12</v>
      </c>
      <c r="D124" s="11">
        <v>44893</v>
      </c>
      <c r="E124" s="11"/>
      <c r="F124" s="11"/>
      <c r="G124" s="11"/>
      <c r="K124" s="4"/>
    </row>
    <row r="125" spans="2:11" x14ac:dyDescent="0.25">
      <c r="B125">
        <v>-800</v>
      </c>
      <c r="C125" s="11" t="s">
        <v>13</v>
      </c>
      <c r="D125" s="11">
        <v>44893</v>
      </c>
      <c r="E125" s="11"/>
      <c r="F125" s="11"/>
      <c r="G125" s="11"/>
      <c r="K125" s="4"/>
    </row>
    <row r="126" spans="2:11" x14ac:dyDescent="0.25">
      <c r="B126">
        <v>800</v>
      </c>
      <c r="C126" s="11" t="s">
        <v>12</v>
      </c>
      <c r="D126" s="11">
        <v>44897</v>
      </c>
      <c r="E126" s="11"/>
      <c r="F126" s="11"/>
      <c r="G126" s="11"/>
      <c r="K126" s="4"/>
    </row>
    <row r="127" spans="2:11" x14ac:dyDescent="0.25">
      <c r="B127">
        <v>-800</v>
      </c>
      <c r="C127" s="11" t="s">
        <v>13</v>
      </c>
      <c r="D127" s="11"/>
      <c r="E127" s="11"/>
      <c r="F127" s="11"/>
      <c r="G127" s="11"/>
      <c r="K127" s="4"/>
    </row>
    <row r="128" spans="2:11" x14ac:dyDescent="0.25">
      <c r="B128">
        <v>800</v>
      </c>
      <c r="C128" s="11" t="s">
        <v>74</v>
      </c>
      <c r="D128" s="11"/>
      <c r="E128" s="11"/>
      <c r="F128" s="11"/>
      <c r="G128" s="11"/>
      <c r="K128" s="4"/>
    </row>
    <row r="129" spans="2:11" x14ac:dyDescent="0.25">
      <c r="B129">
        <v>1500</v>
      </c>
      <c r="C129" s="11" t="s">
        <v>222</v>
      </c>
      <c r="D129" s="11"/>
      <c r="E129" s="11"/>
      <c r="F129" s="11"/>
      <c r="G129" s="11"/>
      <c r="K129" s="4"/>
    </row>
    <row r="130" spans="2:11" x14ac:dyDescent="0.25">
      <c r="B130">
        <v>-2300</v>
      </c>
      <c r="C130" s="11" t="s">
        <v>13</v>
      </c>
      <c r="D130" s="11"/>
      <c r="E130" s="11"/>
      <c r="F130" s="11"/>
      <c r="G130" s="11"/>
      <c r="K130" s="4"/>
    </row>
    <row r="131" spans="2:11" x14ac:dyDescent="0.25">
      <c r="B131">
        <v>800</v>
      </c>
      <c r="C131" s="11" t="s">
        <v>12</v>
      </c>
      <c r="D131" s="11"/>
      <c r="E131" s="11"/>
      <c r="F131" s="11"/>
      <c r="G131" s="11"/>
      <c r="K131" s="4"/>
    </row>
    <row r="132" spans="2:11" x14ac:dyDescent="0.25">
      <c r="B132">
        <v>-800</v>
      </c>
      <c r="C132" s="11" t="s">
        <v>93</v>
      </c>
      <c r="D132" s="11">
        <v>44911</v>
      </c>
      <c r="E132" s="11"/>
      <c r="F132" s="11"/>
      <c r="G132" s="11"/>
      <c r="K132" s="4"/>
    </row>
    <row r="133" spans="2:11" x14ac:dyDescent="0.25">
      <c r="B133">
        <v>800</v>
      </c>
      <c r="C133" s="11" t="s">
        <v>12</v>
      </c>
      <c r="D133" s="11">
        <v>44939</v>
      </c>
      <c r="E133" s="11"/>
      <c r="F133" s="11"/>
      <c r="G133" s="11"/>
      <c r="K133" s="4"/>
    </row>
    <row r="134" spans="2:11" x14ac:dyDescent="0.25">
      <c r="B134">
        <v>-800</v>
      </c>
      <c r="C134" s="11" t="s">
        <v>13</v>
      </c>
      <c r="D134" s="11"/>
      <c r="E134" s="11"/>
      <c r="F134" s="11"/>
      <c r="G134" s="11"/>
      <c r="K134" s="4"/>
    </row>
    <row r="135" spans="2:11" x14ac:dyDescent="0.25">
      <c r="B135">
        <v>800</v>
      </c>
      <c r="C135" s="11" t="s">
        <v>12</v>
      </c>
      <c r="D135" s="11">
        <v>44946</v>
      </c>
      <c r="E135" s="11"/>
      <c r="F135" s="11"/>
      <c r="G135" s="11"/>
      <c r="K135" s="4"/>
    </row>
    <row r="136" spans="2:11" x14ac:dyDescent="0.25">
      <c r="B136">
        <v>-800</v>
      </c>
      <c r="C136" s="11" t="s">
        <v>13</v>
      </c>
      <c r="D136" s="11"/>
      <c r="E136" s="11"/>
      <c r="F136" s="11"/>
      <c r="G136" s="11"/>
      <c r="K136" s="4"/>
    </row>
    <row r="137" spans="2:11" x14ac:dyDescent="0.25">
      <c r="B137">
        <v>800</v>
      </c>
      <c r="C137" s="11" t="s">
        <v>12</v>
      </c>
      <c r="D137" s="11"/>
      <c r="E137" s="11"/>
      <c r="F137" s="11"/>
      <c r="G137" s="11"/>
      <c r="K137" s="4"/>
    </row>
    <row r="138" spans="2:11" x14ac:dyDescent="0.25">
      <c r="B138">
        <v>-800</v>
      </c>
      <c r="C138" s="11" t="s">
        <v>13</v>
      </c>
      <c r="D138" s="11"/>
      <c r="E138" s="11"/>
      <c r="F138" s="11"/>
      <c r="G138" s="11"/>
      <c r="K138" s="4"/>
    </row>
    <row r="139" spans="2:11" x14ac:dyDescent="0.25">
      <c r="B139">
        <v>1600</v>
      </c>
      <c r="C139" s="11" t="s">
        <v>12</v>
      </c>
      <c r="D139" s="11"/>
      <c r="E139" s="11"/>
      <c r="F139" s="11"/>
      <c r="G139" s="11"/>
      <c r="K139" s="4"/>
    </row>
    <row r="140" spans="2:11" x14ac:dyDescent="0.25">
      <c r="B140">
        <v>-1600</v>
      </c>
      <c r="C140" s="11" t="s">
        <v>13</v>
      </c>
      <c r="D140" s="11">
        <v>45038</v>
      </c>
      <c r="E140" s="11"/>
      <c r="F140" s="11"/>
      <c r="G140" s="11"/>
      <c r="K140" s="4"/>
    </row>
    <row r="141" spans="2:11" x14ac:dyDescent="0.25">
      <c r="B141">
        <v>1600</v>
      </c>
      <c r="C141" s="11" t="s">
        <v>12</v>
      </c>
      <c r="D141" s="11">
        <v>45048</v>
      </c>
      <c r="E141" s="11"/>
      <c r="F141" s="11"/>
      <c r="G141" s="11"/>
      <c r="K141" s="4"/>
    </row>
    <row r="142" spans="2:11" x14ac:dyDescent="0.25">
      <c r="B142">
        <v>-1600</v>
      </c>
      <c r="C142" s="11" t="s">
        <v>13</v>
      </c>
      <c r="D142" s="11">
        <v>45048</v>
      </c>
      <c r="E142" s="11"/>
      <c r="F142" s="11"/>
      <c r="G142" s="11"/>
      <c r="K142" s="4"/>
    </row>
    <row r="143" spans="2:11" x14ac:dyDescent="0.25">
      <c r="B143">
        <v>800</v>
      </c>
      <c r="C143" s="11" t="s">
        <v>74</v>
      </c>
      <c r="D143" s="11"/>
      <c r="E143" s="11"/>
      <c r="F143" s="11"/>
      <c r="G143" s="11"/>
      <c r="K143" s="4"/>
    </row>
    <row r="144" spans="2:11" x14ac:dyDescent="0.25">
      <c r="B144">
        <v>-800</v>
      </c>
      <c r="C144" s="11" t="s">
        <v>93</v>
      </c>
      <c r="D144" s="11"/>
      <c r="E144" s="11"/>
      <c r="F144" s="11"/>
      <c r="G144" s="11"/>
      <c r="K144" s="4"/>
    </row>
    <row r="145" spans="2:11" x14ac:dyDescent="0.25">
      <c r="B145">
        <v>1200</v>
      </c>
      <c r="C145" s="11" t="s">
        <v>12</v>
      </c>
      <c r="D145" s="11">
        <v>45079</v>
      </c>
      <c r="E145" s="11"/>
      <c r="F145" s="11"/>
      <c r="G145" s="11"/>
      <c r="K145" s="4"/>
    </row>
    <row r="146" spans="2:11" x14ac:dyDescent="0.25">
      <c r="B146">
        <v>-1200</v>
      </c>
      <c r="C146" s="11" t="s">
        <v>13</v>
      </c>
      <c r="D146" s="11"/>
      <c r="E146" s="11"/>
      <c r="F146" s="11"/>
      <c r="G146" s="11"/>
      <c r="K146" s="4"/>
    </row>
    <row r="147" spans="2:11" x14ac:dyDescent="0.25">
      <c r="B147">
        <v>1200</v>
      </c>
      <c r="C147" s="11" t="s">
        <v>12</v>
      </c>
      <c r="D147" s="11">
        <v>45122</v>
      </c>
      <c r="E147" s="11"/>
      <c r="F147" s="11"/>
      <c r="G147" s="11"/>
      <c r="K147" s="4"/>
    </row>
    <row r="148" spans="2:11" x14ac:dyDescent="0.25">
      <c r="B148">
        <v>-1500</v>
      </c>
      <c r="C148" s="11"/>
      <c r="D148" s="11">
        <v>45122</v>
      </c>
      <c r="E148" s="11"/>
      <c r="F148" s="11"/>
      <c r="G148" s="11"/>
      <c r="K148" s="4"/>
    </row>
    <row r="149" spans="2:11" x14ac:dyDescent="0.25">
      <c r="B149">
        <v>3000</v>
      </c>
      <c r="C149" s="11" t="s">
        <v>13</v>
      </c>
      <c r="D149" s="11">
        <v>45378</v>
      </c>
      <c r="E149" s="11"/>
      <c r="F149" s="11"/>
      <c r="G149" s="11"/>
      <c r="K149" s="4"/>
    </row>
    <row r="150" spans="2:11" x14ac:dyDescent="0.25">
      <c r="B150">
        <v>-3000</v>
      </c>
      <c r="C150" s="11" t="s">
        <v>12</v>
      </c>
      <c r="D150" s="11"/>
      <c r="E150" s="11"/>
      <c r="F150" s="11"/>
      <c r="G150" s="11"/>
      <c r="K150" s="4"/>
    </row>
    <row r="151" spans="2:11" x14ac:dyDescent="0.25">
      <c r="B151">
        <v>-1000</v>
      </c>
      <c r="C151" s="11" t="s">
        <v>190</v>
      </c>
      <c r="D151" s="11">
        <v>45530</v>
      </c>
      <c r="E151" s="11"/>
      <c r="F151" s="11"/>
      <c r="G151" s="11"/>
      <c r="K151" s="4"/>
    </row>
    <row r="152" spans="2:11" x14ac:dyDescent="0.25">
      <c r="B152">
        <v>14300</v>
      </c>
      <c r="C152" s="11" t="s">
        <v>12</v>
      </c>
      <c r="D152" s="11">
        <v>45586</v>
      </c>
      <c r="E152" s="11"/>
      <c r="F152" s="11"/>
      <c r="G152" s="11"/>
      <c r="K152" s="4"/>
    </row>
    <row r="153" spans="2:11" x14ac:dyDescent="0.25">
      <c r="B153">
        <v>-21000</v>
      </c>
      <c r="C153" s="11" t="s">
        <v>13</v>
      </c>
      <c r="D153" s="11">
        <v>45586</v>
      </c>
      <c r="E153" s="11"/>
      <c r="F153" s="11"/>
      <c r="G153" s="11"/>
      <c r="K153" s="4"/>
    </row>
    <row r="154" spans="2:11" x14ac:dyDescent="0.25">
      <c r="B154">
        <v>-50000</v>
      </c>
      <c r="C154" s="11" t="s">
        <v>13</v>
      </c>
      <c r="D154" s="11">
        <v>46106</v>
      </c>
      <c r="E154" s="11"/>
      <c r="F154" s="11"/>
      <c r="G154" s="11"/>
      <c r="K154" s="4"/>
    </row>
    <row r="155" spans="2:11" x14ac:dyDescent="0.25">
      <c r="C155" s="11"/>
      <c r="D155" s="11"/>
      <c r="E155" s="11"/>
      <c r="F155" s="11"/>
      <c r="G155" s="11"/>
      <c r="K155" s="4"/>
    </row>
    <row r="156" spans="2:11" ht="14.25" customHeight="1" x14ac:dyDescent="0.25">
      <c r="B156" s="135">
        <f>SUM(B49:B154)</f>
        <v>-60019.5</v>
      </c>
      <c r="C156" s="11">
        <v>46106</v>
      </c>
      <c r="D156" s="11"/>
      <c r="E156" s="11"/>
      <c r="J156" s="4"/>
    </row>
    <row r="157" spans="2:11" x14ac:dyDescent="0.25">
      <c r="B157" s="11"/>
      <c r="C157" s="11"/>
      <c r="D157" s="11"/>
      <c r="E157" s="11"/>
      <c r="J157" s="4"/>
    </row>
    <row r="158" spans="2:11" x14ac:dyDescent="0.25">
      <c r="B158" s="11"/>
      <c r="F158" s="11"/>
      <c r="G158" s="11"/>
      <c r="K158" s="4"/>
    </row>
    <row r="159" spans="2:11" x14ac:dyDescent="0.25">
      <c r="B159" s="11"/>
      <c r="F159" s="11"/>
      <c r="G159" s="11"/>
      <c r="K159" s="4"/>
    </row>
    <row r="160" spans="2:11" x14ac:dyDescent="0.25">
      <c r="B160" s="11"/>
      <c r="F160" s="11"/>
      <c r="G160" s="11"/>
      <c r="K160" s="4"/>
    </row>
    <row r="161" spans="2:11" x14ac:dyDescent="0.25">
      <c r="B161" s="11"/>
      <c r="C161" s="11"/>
      <c r="I161" s="4"/>
    </row>
    <row r="162" spans="2:11" x14ac:dyDescent="0.25">
      <c r="B162" s="11"/>
      <c r="F162" s="11"/>
      <c r="G162" s="11"/>
      <c r="K162" s="4"/>
    </row>
    <row r="163" spans="2:11" x14ac:dyDescent="0.25">
      <c r="B163" s="11"/>
      <c r="F163" s="11"/>
      <c r="G163" s="11"/>
      <c r="K163" s="4"/>
    </row>
    <row r="164" spans="2:11" x14ac:dyDescent="0.25">
      <c r="B164" s="11"/>
      <c r="F164" s="11"/>
      <c r="G164" s="11"/>
      <c r="K164" s="4"/>
    </row>
    <row r="165" spans="2:11" x14ac:dyDescent="0.25">
      <c r="B165" s="11"/>
      <c r="F165" s="11"/>
      <c r="G165" s="11"/>
      <c r="K165" s="4"/>
    </row>
    <row r="166" spans="2:11" x14ac:dyDescent="0.25">
      <c r="B166" s="11"/>
      <c r="F166" s="11"/>
      <c r="G166" s="11"/>
      <c r="K166" s="4"/>
    </row>
    <row r="167" spans="2:11" x14ac:dyDescent="0.25">
      <c r="B167" s="11"/>
      <c r="F167" s="11"/>
      <c r="G167" s="11"/>
      <c r="K167" s="4"/>
    </row>
    <row r="168" spans="2:11" x14ac:dyDescent="0.25">
      <c r="B168" s="11"/>
      <c r="F168" s="11"/>
      <c r="G168" s="11"/>
      <c r="K168" s="4"/>
    </row>
    <row r="169" spans="2:11" x14ac:dyDescent="0.25">
      <c r="B169" s="11"/>
      <c r="F169" s="11"/>
      <c r="G169" s="11"/>
      <c r="K169" s="4"/>
    </row>
    <row r="170" spans="2:11" x14ac:dyDescent="0.25">
      <c r="B170" s="11"/>
      <c r="F170" s="11"/>
      <c r="G170" s="11"/>
      <c r="K170" s="4"/>
    </row>
    <row r="171" spans="2:11" x14ac:dyDescent="0.25">
      <c r="B171" s="11"/>
      <c r="F171" s="11"/>
      <c r="G171" s="11"/>
      <c r="K171" s="4"/>
    </row>
    <row r="172" spans="2:11" x14ac:dyDescent="0.25">
      <c r="B172" s="11"/>
      <c r="F172" s="11"/>
      <c r="G172" s="11"/>
      <c r="K172" s="4"/>
    </row>
    <row r="173" spans="2:11" x14ac:dyDescent="0.25">
      <c r="B173" s="11"/>
      <c r="D173" s="11"/>
      <c r="E173" s="11"/>
      <c r="F173" s="11"/>
      <c r="G173" s="11"/>
      <c r="K173" s="4"/>
    </row>
    <row r="174" spans="2:11" x14ac:dyDescent="0.25">
      <c r="B174" s="11"/>
      <c r="F174" s="11"/>
      <c r="G174" s="11"/>
    </row>
    <row r="175" spans="2:11" x14ac:dyDescent="0.25">
      <c r="B175" s="11"/>
      <c r="F175" s="11"/>
      <c r="G175" s="11"/>
    </row>
    <row r="176" spans="2:11" x14ac:dyDescent="0.25">
      <c r="B176" s="11"/>
      <c r="F176" s="11"/>
      <c r="G176" s="11"/>
    </row>
    <row r="177" spans="2:7" x14ac:dyDescent="0.25">
      <c r="B177" s="11"/>
      <c r="F177" s="11"/>
      <c r="G177" s="11"/>
    </row>
    <row r="178" spans="2:7" x14ac:dyDescent="0.25">
      <c r="B178" s="11"/>
      <c r="F178" s="11"/>
      <c r="G178" s="11"/>
    </row>
    <row r="179" spans="2:7" x14ac:dyDescent="0.25">
      <c r="B179" s="11"/>
      <c r="F179" s="11"/>
      <c r="G179" s="11"/>
    </row>
    <row r="180" spans="2:7" x14ac:dyDescent="0.25">
      <c r="B180" s="11"/>
      <c r="F180" s="11"/>
      <c r="G180" s="11"/>
    </row>
    <row r="181" spans="2:7" x14ac:dyDescent="0.25">
      <c r="B181" s="11"/>
      <c r="F181" s="11"/>
      <c r="G181" s="11"/>
    </row>
    <row r="182" spans="2:7" x14ac:dyDescent="0.25">
      <c r="B182" s="11"/>
      <c r="F182" s="11"/>
      <c r="G182" s="11"/>
    </row>
    <row r="183" spans="2:7" x14ac:dyDescent="0.25">
      <c r="B183" s="11"/>
      <c r="F183" s="11"/>
      <c r="G183" s="11"/>
    </row>
    <row r="184" spans="2:7" x14ac:dyDescent="0.25">
      <c r="B184" s="11"/>
      <c r="F184" s="11"/>
      <c r="G184" s="11"/>
    </row>
    <row r="185" spans="2:7" x14ac:dyDescent="0.25">
      <c r="B185" s="11"/>
      <c r="F185" s="11"/>
      <c r="G185" s="11"/>
    </row>
    <row r="186" spans="2:7" x14ac:dyDescent="0.25">
      <c r="B186" s="11"/>
      <c r="F186" s="11"/>
      <c r="G186" s="11"/>
    </row>
    <row r="187" spans="2:7" x14ac:dyDescent="0.25">
      <c r="B187" s="11"/>
      <c r="F187" s="11"/>
      <c r="G187" s="11"/>
    </row>
    <row r="188" spans="2:7" x14ac:dyDescent="0.25">
      <c r="B188" s="11"/>
      <c r="F188" s="11"/>
      <c r="G188" s="11"/>
    </row>
    <row r="189" spans="2:7" x14ac:dyDescent="0.25">
      <c r="B189" s="11"/>
      <c r="F189" s="11"/>
      <c r="G189" s="11"/>
    </row>
    <row r="190" spans="2:7" x14ac:dyDescent="0.25">
      <c r="B190" s="11"/>
      <c r="F190" s="11"/>
      <c r="G190" s="11"/>
    </row>
    <row r="191" spans="2:7" x14ac:dyDescent="0.25">
      <c r="B191" s="11"/>
      <c r="F191" s="11"/>
      <c r="G191" s="11"/>
    </row>
    <row r="192" spans="2:7" x14ac:dyDescent="0.25">
      <c r="B192" s="11"/>
      <c r="F192" s="11"/>
      <c r="G192" s="11"/>
    </row>
    <row r="193" spans="2:7" x14ac:dyDescent="0.25">
      <c r="B193" s="11"/>
      <c r="F193" s="11"/>
      <c r="G193" s="11"/>
    </row>
    <row r="194" spans="2:7" x14ac:dyDescent="0.25">
      <c r="B194" s="11"/>
      <c r="F194" s="11"/>
      <c r="G194" s="11"/>
    </row>
    <row r="195" spans="2:7" x14ac:dyDescent="0.25">
      <c r="B195" s="11"/>
      <c r="F195" s="11"/>
      <c r="G195" s="11"/>
    </row>
    <row r="196" spans="2:7" x14ac:dyDescent="0.25">
      <c r="B196" s="11"/>
      <c r="F196" s="11"/>
      <c r="G196" s="1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FD404"/>
  <sheetViews>
    <sheetView topLeftCell="A25" zoomScale="110" zoomScaleNormal="110" workbookViewId="0">
      <selection activeCell="A4" sqref="A4:XFD10"/>
    </sheetView>
  </sheetViews>
  <sheetFormatPr baseColWidth="10" defaultRowHeight="15" x14ac:dyDescent="0.25"/>
  <cols>
    <col min="2" max="2" width="11.85546875" customWidth="1"/>
    <col min="5" max="6" width="11.140625" customWidth="1"/>
    <col min="7" max="7" width="12.140625" customWidth="1"/>
    <col min="8" max="8" width="12.85546875" bestFit="1" customWidth="1"/>
    <col min="9" max="9" width="15" bestFit="1" customWidth="1"/>
    <col min="11" max="11" width="12.7109375" bestFit="1" customWidth="1"/>
  </cols>
  <sheetData>
    <row r="1" spans="1:11" x14ac:dyDescent="0.25">
      <c r="D1" s="172" t="s">
        <v>79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82"/>
      <c r="C3" s="124"/>
      <c r="D3" s="82"/>
      <c r="E3" s="82"/>
      <c r="F3" s="82"/>
      <c r="G3" s="82"/>
      <c r="H3" s="128"/>
      <c r="I3" s="90"/>
      <c r="J3" s="138"/>
      <c r="K3" s="218"/>
    </row>
    <row r="4" spans="1:11" x14ac:dyDescent="0.25">
      <c r="A4" s="91"/>
      <c r="B4" s="82"/>
      <c r="C4" s="124"/>
      <c r="D4" s="82"/>
      <c r="E4" s="82"/>
      <c r="F4" s="82"/>
      <c r="G4" s="82"/>
      <c r="H4" s="128"/>
      <c r="I4" s="90"/>
      <c r="J4" s="138"/>
      <c r="K4" s="218"/>
    </row>
    <row r="5" spans="1:11" x14ac:dyDescent="0.25">
      <c r="A5" s="91"/>
      <c r="B5" s="82"/>
      <c r="C5" s="124"/>
      <c r="D5" s="82"/>
      <c r="E5" s="82"/>
      <c r="F5" s="82"/>
      <c r="G5" s="82"/>
      <c r="H5" s="128"/>
      <c r="I5" s="90"/>
      <c r="J5" s="138"/>
      <c r="K5" s="218"/>
    </row>
    <row r="6" spans="1:11" x14ac:dyDescent="0.25">
      <c r="A6" s="91"/>
      <c r="B6" s="82"/>
      <c r="C6" s="124"/>
      <c r="D6" s="82"/>
      <c r="E6" s="82"/>
      <c r="F6" s="82"/>
      <c r="G6" s="82"/>
      <c r="H6" s="128"/>
      <c r="I6" s="90"/>
      <c r="J6" s="138"/>
      <c r="K6" s="218"/>
    </row>
    <row r="7" spans="1:11" x14ac:dyDescent="0.25">
      <c r="A7" s="91"/>
      <c r="B7" s="82"/>
      <c r="C7" s="124"/>
      <c r="D7" s="82"/>
      <c r="E7" s="82"/>
      <c r="F7" s="82"/>
      <c r="G7" s="82"/>
      <c r="H7" s="128"/>
      <c r="I7" s="90"/>
      <c r="J7" s="138"/>
      <c r="K7" s="218"/>
    </row>
    <row r="8" spans="1:11" x14ac:dyDescent="0.25">
      <c r="A8" s="91"/>
      <c r="B8" s="82"/>
      <c r="C8" s="124"/>
      <c r="D8" s="82"/>
      <c r="E8" s="82"/>
      <c r="F8" s="82"/>
      <c r="G8" s="82"/>
      <c r="H8" s="128"/>
      <c r="I8" s="90"/>
      <c r="J8" s="138"/>
      <c r="K8" s="218"/>
    </row>
    <row r="9" spans="1:11" x14ac:dyDescent="0.25">
      <c r="A9" s="91"/>
      <c r="B9" s="82"/>
      <c r="C9" s="124"/>
      <c r="D9" s="82"/>
      <c r="E9" s="82"/>
      <c r="F9" s="82"/>
      <c r="G9" s="82"/>
      <c r="H9" s="128"/>
      <c r="I9" s="90"/>
      <c r="J9" s="138"/>
      <c r="K9" s="218"/>
    </row>
    <row r="10" spans="1:11" x14ac:dyDescent="0.25">
      <c r="A10" s="91"/>
      <c r="B10" s="82"/>
      <c r="C10" s="124"/>
      <c r="D10" s="82"/>
      <c r="E10" s="82"/>
      <c r="F10" s="82"/>
      <c r="G10" s="82"/>
      <c r="H10" s="128"/>
      <c r="I10" s="90"/>
      <c r="J10" s="138"/>
      <c r="K10" s="218"/>
    </row>
    <row r="11" spans="1:11" x14ac:dyDescent="0.25">
      <c r="A11" s="91"/>
      <c r="B11" s="82"/>
      <c r="C11" s="124"/>
      <c r="D11" s="82"/>
      <c r="E11" s="82"/>
      <c r="F11" s="82"/>
      <c r="G11" s="82"/>
      <c r="H11" s="128"/>
      <c r="I11" s="90"/>
      <c r="J11" s="138"/>
      <c r="K11" s="218"/>
    </row>
    <row r="12" spans="1:11" x14ac:dyDescent="0.25">
      <c r="A12" s="91"/>
      <c r="B12" s="82"/>
      <c r="C12" s="124"/>
      <c r="D12" s="82"/>
      <c r="E12" s="82"/>
      <c r="F12" s="82"/>
      <c r="G12" s="82"/>
      <c r="H12" s="128"/>
      <c r="I12" s="90"/>
      <c r="J12" s="138"/>
      <c r="K12" s="218"/>
    </row>
    <row r="13" spans="1:11" x14ac:dyDescent="0.25">
      <c r="A13" s="91"/>
      <c r="B13" s="82"/>
      <c r="C13" s="124"/>
      <c r="D13" s="82"/>
      <c r="E13" s="82"/>
      <c r="F13" s="82"/>
      <c r="G13" s="82"/>
      <c r="H13" s="128"/>
      <c r="I13" s="90"/>
      <c r="J13" s="138"/>
      <c r="K13" s="218"/>
    </row>
    <row r="14" spans="1:11" x14ac:dyDescent="0.25">
      <c r="A14" s="91"/>
      <c r="B14" s="82"/>
      <c r="C14" s="124"/>
      <c r="D14" s="82"/>
      <c r="E14" s="82"/>
      <c r="F14" s="82"/>
      <c r="G14" s="82"/>
      <c r="H14" s="128"/>
      <c r="I14" s="90"/>
      <c r="J14" s="138"/>
      <c r="K14" s="218"/>
    </row>
    <row r="15" spans="1:11" x14ac:dyDescent="0.25">
      <c r="A15" s="91"/>
      <c r="B15" s="82"/>
      <c r="C15" s="124"/>
      <c r="D15" s="82"/>
      <c r="E15" s="82"/>
      <c r="F15" s="82"/>
      <c r="G15" s="82"/>
      <c r="H15" s="128"/>
      <c r="I15" s="90"/>
      <c r="J15" s="138"/>
      <c r="K15" s="218"/>
    </row>
    <row r="16" spans="1:11" x14ac:dyDescent="0.25">
      <c r="A16" s="91"/>
      <c r="B16" s="82"/>
      <c r="C16" s="124"/>
      <c r="D16" s="82"/>
      <c r="E16" s="82"/>
      <c r="F16" s="82"/>
      <c r="G16" s="82"/>
      <c r="H16" s="128"/>
      <c r="I16" s="90"/>
      <c r="J16" s="138"/>
      <c r="K16" s="218"/>
    </row>
    <row r="17" spans="1:11" x14ac:dyDescent="0.25">
      <c r="A17" s="91"/>
      <c r="B17" s="82"/>
      <c r="C17" s="124"/>
      <c r="D17" s="82"/>
      <c r="E17" s="82"/>
      <c r="F17" s="82"/>
      <c r="G17" s="82"/>
      <c r="H17" s="128"/>
      <c r="I17" s="90"/>
      <c r="J17" s="138"/>
      <c r="K17" s="218"/>
    </row>
    <row r="18" spans="1:11" x14ac:dyDescent="0.25">
      <c r="A18" s="91"/>
      <c r="B18" s="82"/>
      <c r="C18" s="124"/>
      <c r="D18" s="82"/>
      <c r="E18" s="82"/>
      <c r="F18" s="82"/>
      <c r="G18" s="82"/>
      <c r="H18" s="83"/>
      <c r="I18" s="90"/>
      <c r="J18" s="138"/>
      <c r="K18" s="218"/>
    </row>
    <row r="19" spans="1:11" x14ac:dyDescent="0.25">
      <c r="A19" s="91"/>
      <c r="B19" s="82"/>
      <c r="C19" s="124"/>
      <c r="D19" s="82"/>
      <c r="E19" s="82"/>
      <c r="F19" s="82"/>
      <c r="G19" s="82"/>
      <c r="H19" s="83"/>
      <c r="I19" s="90"/>
      <c r="J19" s="138"/>
      <c r="K19" s="218"/>
    </row>
    <row r="20" spans="1:11" x14ac:dyDescent="0.25">
      <c r="A20" s="91"/>
      <c r="B20" s="82"/>
      <c r="C20" s="124"/>
      <c r="D20" s="82"/>
      <c r="E20" s="82"/>
      <c r="F20" s="82"/>
      <c r="G20" s="82"/>
      <c r="H20" s="83"/>
      <c r="I20" s="90"/>
      <c r="J20" s="138"/>
      <c r="K20" s="218"/>
    </row>
    <row r="21" spans="1:11" x14ac:dyDescent="0.25">
      <c r="A21" s="91"/>
      <c r="B21" s="82"/>
      <c r="C21" s="124"/>
      <c r="D21" s="82"/>
      <c r="E21" s="82"/>
      <c r="F21" s="82"/>
      <c r="G21" s="82"/>
      <c r="H21" s="83"/>
      <c r="I21" s="90"/>
      <c r="J21" s="138"/>
      <c r="K21" s="218"/>
    </row>
    <row r="22" spans="1:11" x14ac:dyDescent="0.25">
      <c r="A22" s="91"/>
      <c r="B22" s="82"/>
      <c r="C22" s="124"/>
      <c r="D22" s="82"/>
      <c r="E22" s="82"/>
      <c r="F22" s="82"/>
      <c r="G22" s="82"/>
      <c r="H22" s="83"/>
      <c r="I22" s="90"/>
      <c r="J22" s="138"/>
      <c r="K22" s="218"/>
    </row>
    <row r="23" spans="1:11" x14ac:dyDescent="0.25">
      <c r="A23" s="91"/>
      <c r="B23" s="82"/>
      <c r="C23" s="124"/>
      <c r="D23" s="82"/>
      <c r="E23" s="82"/>
      <c r="F23" s="82"/>
      <c r="G23" s="82"/>
      <c r="H23" s="83"/>
      <c r="I23" s="90"/>
      <c r="J23" s="138"/>
      <c r="K23" s="218"/>
    </row>
    <row r="24" spans="1:11" x14ac:dyDescent="0.25">
      <c r="A24" s="91"/>
      <c r="B24" s="82"/>
      <c r="C24" s="124"/>
      <c r="D24" s="82"/>
      <c r="E24" s="82"/>
      <c r="F24" s="82"/>
      <c r="G24" s="82"/>
      <c r="H24" s="83"/>
      <c r="I24" s="90"/>
      <c r="J24" s="138"/>
      <c r="K24" s="218"/>
    </row>
    <row r="25" spans="1:11" x14ac:dyDescent="0.25">
      <c r="A25" s="91"/>
      <c r="B25" s="82"/>
      <c r="C25" s="124"/>
      <c r="D25" s="82"/>
      <c r="E25" s="82"/>
      <c r="F25" s="82"/>
      <c r="G25" s="82"/>
      <c r="H25" s="83"/>
      <c r="I25" s="90"/>
      <c r="J25" s="138"/>
      <c r="K25" s="218"/>
    </row>
    <row r="26" spans="1:11" x14ac:dyDescent="0.25">
      <c r="A26" s="91">
        <v>46111</v>
      </c>
      <c r="B26" s="82" t="s">
        <v>342</v>
      </c>
      <c r="C26" s="124" t="s">
        <v>391</v>
      </c>
      <c r="D26" s="82">
        <v>70</v>
      </c>
      <c r="E26" s="82"/>
      <c r="F26" s="82"/>
      <c r="G26" s="82" t="s">
        <v>354</v>
      </c>
      <c r="H26" s="128" t="s">
        <v>392</v>
      </c>
      <c r="I26" s="90"/>
      <c r="J26" s="138"/>
      <c r="K26" s="218"/>
    </row>
    <row r="27" spans="1:11" x14ac:dyDescent="0.25">
      <c r="A27" s="91">
        <v>46084</v>
      </c>
      <c r="B27" s="82" t="s">
        <v>391</v>
      </c>
      <c r="C27" s="124" t="s">
        <v>118</v>
      </c>
      <c r="D27" s="82">
        <v>220</v>
      </c>
      <c r="E27" s="82"/>
      <c r="F27" s="82"/>
      <c r="G27" s="82"/>
      <c r="H27" s="83" t="s">
        <v>66</v>
      </c>
      <c r="I27" s="90"/>
      <c r="J27" s="138"/>
      <c r="K27" s="218"/>
    </row>
    <row r="28" spans="1:11" x14ac:dyDescent="0.25">
      <c r="A28" s="91">
        <v>46115</v>
      </c>
      <c r="B28" s="82" t="s">
        <v>118</v>
      </c>
      <c r="C28" s="124" t="s">
        <v>385</v>
      </c>
      <c r="D28" s="82">
        <v>1560</v>
      </c>
      <c r="E28" s="82"/>
      <c r="F28" s="82"/>
      <c r="G28" s="82"/>
      <c r="H28" s="90">
        <v>80746</v>
      </c>
      <c r="I28" s="90" t="s">
        <v>386</v>
      </c>
      <c r="J28" s="138"/>
      <c r="K28" s="218"/>
    </row>
    <row r="29" spans="1:11" x14ac:dyDescent="0.25">
      <c r="A29" s="91">
        <v>46119</v>
      </c>
      <c r="B29" s="124" t="s">
        <v>385</v>
      </c>
      <c r="C29" s="124" t="s">
        <v>9</v>
      </c>
      <c r="D29" s="82">
        <v>1070</v>
      </c>
      <c r="E29" s="82"/>
      <c r="F29" s="82"/>
      <c r="G29" s="82"/>
      <c r="H29" s="83" t="s">
        <v>66</v>
      </c>
      <c r="I29" s="90"/>
      <c r="J29" s="138"/>
      <c r="K29" s="218"/>
    </row>
    <row r="30" spans="1:11" x14ac:dyDescent="0.25">
      <c r="A30" s="91">
        <v>46122</v>
      </c>
      <c r="B30" s="82" t="s">
        <v>9</v>
      </c>
      <c r="C30" s="124" t="s">
        <v>361</v>
      </c>
      <c r="D30" s="82">
        <v>350</v>
      </c>
      <c r="E30" s="82"/>
      <c r="F30" s="82"/>
      <c r="G30" s="82">
        <v>35.14</v>
      </c>
      <c r="H30" s="90">
        <v>293670</v>
      </c>
      <c r="I30" s="90" t="s">
        <v>15</v>
      </c>
      <c r="J30" s="138"/>
      <c r="K30" s="218"/>
    </row>
    <row r="31" spans="1:11" x14ac:dyDescent="0.25">
      <c r="A31" s="91">
        <v>46094</v>
      </c>
      <c r="B31" s="82" t="s">
        <v>361</v>
      </c>
      <c r="C31" s="124" t="s">
        <v>220</v>
      </c>
      <c r="D31" s="82">
        <v>20</v>
      </c>
      <c r="E31" s="82"/>
      <c r="F31" s="82"/>
      <c r="G31" s="82"/>
      <c r="H31" s="83" t="s">
        <v>66</v>
      </c>
      <c r="I31" s="90"/>
      <c r="J31" s="138"/>
      <c r="K31" s="218"/>
    </row>
    <row r="32" spans="1:11" x14ac:dyDescent="0.25">
      <c r="A32" s="91">
        <v>46125</v>
      </c>
      <c r="B32" s="82" t="s">
        <v>220</v>
      </c>
      <c r="C32" s="124" t="s">
        <v>393</v>
      </c>
      <c r="D32" s="82">
        <v>120</v>
      </c>
      <c r="E32" s="82"/>
      <c r="F32" s="82"/>
      <c r="G32" s="82"/>
      <c r="H32" s="90">
        <v>895883</v>
      </c>
      <c r="I32" s="90"/>
      <c r="J32" s="138"/>
      <c r="K32" s="218"/>
    </row>
    <row r="33" spans="1:12" x14ac:dyDescent="0.25">
      <c r="A33" s="91">
        <v>46125</v>
      </c>
      <c r="B33" s="82" t="s">
        <v>393</v>
      </c>
      <c r="C33" s="124" t="s">
        <v>394</v>
      </c>
      <c r="D33" s="82">
        <v>120</v>
      </c>
      <c r="E33" s="82"/>
      <c r="F33" s="82"/>
      <c r="G33" s="82"/>
      <c r="H33" s="83" t="s">
        <v>66</v>
      </c>
      <c r="I33" s="90"/>
      <c r="J33" s="138"/>
      <c r="K33" s="218"/>
    </row>
    <row r="34" spans="1:12" x14ac:dyDescent="0.25">
      <c r="A34" s="91">
        <v>46125</v>
      </c>
      <c r="B34" s="82" t="s">
        <v>394</v>
      </c>
      <c r="C34" s="124" t="s">
        <v>10</v>
      </c>
      <c r="D34" s="82">
        <v>300</v>
      </c>
      <c r="E34" s="82"/>
      <c r="F34" s="82"/>
      <c r="G34" s="82"/>
      <c r="H34" s="90">
        <v>5258</v>
      </c>
      <c r="I34" s="90" t="s">
        <v>102</v>
      </c>
      <c r="J34" s="138"/>
      <c r="K34" s="218">
        <v>329603.71000000002</v>
      </c>
    </row>
    <row r="35" spans="1:12" x14ac:dyDescent="0.25">
      <c r="A35" s="91">
        <v>46125</v>
      </c>
      <c r="B35" s="82" t="s">
        <v>10</v>
      </c>
      <c r="C35" s="124" t="s">
        <v>9</v>
      </c>
      <c r="D35" s="82">
        <v>500</v>
      </c>
      <c r="E35" s="82"/>
      <c r="F35" s="82"/>
      <c r="G35" s="82"/>
      <c r="H35" s="90">
        <v>1064909</v>
      </c>
      <c r="I35" s="90" t="s">
        <v>368</v>
      </c>
      <c r="J35" s="138"/>
      <c r="K35" s="218"/>
    </row>
    <row r="36" spans="1:12" x14ac:dyDescent="0.25">
      <c r="A36" s="91">
        <v>46127</v>
      </c>
      <c r="B36" s="82" t="s">
        <v>9</v>
      </c>
      <c r="C36" s="124" t="s">
        <v>351</v>
      </c>
      <c r="D36" s="82">
        <v>1010</v>
      </c>
      <c r="E36" s="82"/>
      <c r="F36" s="82"/>
      <c r="G36" s="82">
        <v>36.25</v>
      </c>
      <c r="H36" s="90">
        <v>619692</v>
      </c>
      <c r="I36" s="90" t="s">
        <v>257</v>
      </c>
      <c r="J36" s="138"/>
      <c r="K36" s="218"/>
    </row>
    <row r="37" spans="1:12" x14ac:dyDescent="0.25">
      <c r="A37" s="91">
        <v>46128</v>
      </c>
      <c r="B37" s="82" t="s">
        <v>351</v>
      </c>
      <c r="C37" s="124" t="s">
        <v>227</v>
      </c>
      <c r="D37" s="82">
        <v>240</v>
      </c>
      <c r="E37" s="82"/>
      <c r="F37" s="82"/>
      <c r="G37" s="82"/>
      <c r="H37" s="83" t="s">
        <v>66</v>
      </c>
      <c r="I37" s="90"/>
      <c r="J37" s="138"/>
      <c r="K37" s="218"/>
    </row>
    <row r="38" spans="1:12" x14ac:dyDescent="0.25">
      <c r="A38" s="91">
        <v>46128</v>
      </c>
      <c r="B38" s="82" t="s">
        <v>296</v>
      </c>
      <c r="C38" s="124" t="s">
        <v>9</v>
      </c>
      <c r="D38" s="82">
        <v>850</v>
      </c>
      <c r="E38" s="82"/>
      <c r="F38" s="82"/>
      <c r="G38" s="82">
        <v>33</v>
      </c>
      <c r="H38" s="90">
        <v>189632</v>
      </c>
      <c r="I38" s="90" t="s">
        <v>304</v>
      </c>
      <c r="J38" s="138"/>
      <c r="K38" s="218"/>
    </row>
    <row r="39" spans="1:12" x14ac:dyDescent="0.25">
      <c r="A39" s="91">
        <v>46130</v>
      </c>
      <c r="B39" s="82" t="s">
        <v>9</v>
      </c>
      <c r="C39" s="124" t="s">
        <v>351</v>
      </c>
      <c r="D39" s="82">
        <v>1010</v>
      </c>
      <c r="E39" s="82"/>
      <c r="F39" s="82"/>
      <c r="G39" s="82"/>
      <c r="H39" s="90">
        <v>619973</v>
      </c>
      <c r="I39" s="90" t="s">
        <v>257</v>
      </c>
      <c r="J39" s="138"/>
      <c r="K39" s="218"/>
    </row>
    <row r="40" spans="1:12" x14ac:dyDescent="0.25">
      <c r="A40" s="91">
        <v>46132</v>
      </c>
      <c r="B40" s="82" t="s">
        <v>351</v>
      </c>
      <c r="C40" s="124" t="s">
        <v>227</v>
      </c>
      <c r="D40" s="82">
        <v>240</v>
      </c>
      <c r="E40" s="82"/>
      <c r="F40" s="82"/>
      <c r="G40" s="82"/>
      <c r="H40" s="83" t="s">
        <v>66</v>
      </c>
      <c r="I40" s="90"/>
      <c r="J40" s="138"/>
      <c r="K40" s="218"/>
    </row>
    <row r="41" spans="1:12" x14ac:dyDescent="0.25">
      <c r="A41" s="91">
        <v>46132</v>
      </c>
      <c r="B41" s="82" t="s">
        <v>296</v>
      </c>
      <c r="C41" s="124" t="s">
        <v>9</v>
      </c>
      <c r="D41" s="82">
        <v>850</v>
      </c>
      <c r="E41" s="82"/>
      <c r="F41" s="82"/>
      <c r="G41" s="82">
        <v>36</v>
      </c>
      <c r="H41" s="90">
        <v>189730</v>
      </c>
      <c r="I41" s="90" t="s">
        <v>304</v>
      </c>
      <c r="J41" s="138"/>
      <c r="K41" s="218"/>
    </row>
    <row r="42" spans="1:12" x14ac:dyDescent="0.25">
      <c r="A42" s="91">
        <v>46134</v>
      </c>
      <c r="B42" s="82" t="s">
        <v>9</v>
      </c>
      <c r="C42" s="124" t="s">
        <v>351</v>
      </c>
      <c r="D42" s="82">
        <v>1010</v>
      </c>
      <c r="E42" s="82"/>
      <c r="F42" s="82"/>
      <c r="G42" s="82">
        <v>36.64</v>
      </c>
      <c r="H42" s="90">
        <v>620156</v>
      </c>
      <c r="I42" s="90" t="s">
        <v>257</v>
      </c>
      <c r="J42" s="138"/>
      <c r="K42" s="218"/>
    </row>
    <row r="43" spans="1:12" x14ac:dyDescent="0.25">
      <c r="A43" s="91">
        <v>46135</v>
      </c>
      <c r="B43" s="82" t="s">
        <v>351</v>
      </c>
      <c r="C43" s="124" t="s">
        <v>227</v>
      </c>
      <c r="D43" s="82">
        <v>240</v>
      </c>
      <c r="E43" s="82"/>
      <c r="F43" s="82"/>
      <c r="G43" s="82"/>
      <c r="H43" s="83" t="s">
        <v>66</v>
      </c>
      <c r="I43" s="90"/>
      <c r="J43" s="138"/>
      <c r="K43" s="218"/>
    </row>
    <row r="44" spans="1:12" x14ac:dyDescent="0.25">
      <c r="A44" s="91">
        <v>46136</v>
      </c>
      <c r="B44" s="82" t="s">
        <v>296</v>
      </c>
      <c r="C44" s="124" t="s">
        <v>9</v>
      </c>
      <c r="D44" s="82">
        <v>850</v>
      </c>
      <c r="E44" s="82"/>
      <c r="F44" s="82"/>
      <c r="G44" s="82">
        <v>35.5</v>
      </c>
      <c r="H44" s="90">
        <v>189849</v>
      </c>
      <c r="I44" s="90" t="s">
        <v>304</v>
      </c>
      <c r="J44" s="138"/>
      <c r="K44" s="218"/>
    </row>
    <row r="45" spans="1:12" x14ac:dyDescent="0.25">
      <c r="A45" s="91"/>
      <c r="B45" s="82"/>
      <c r="C45" s="124"/>
      <c r="D45" s="151" t="s">
        <v>455</v>
      </c>
      <c r="E45" s="286" t="s">
        <v>497</v>
      </c>
      <c r="F45" s="82"/>
      <c r="G45" s="82"/>
      <c r="H45" s="83"/>
      <c r="I45" s="90"/>
      <c r="J45" s="138"/>
      <c r="K45" s="218"/>
    </row>
    <row r="46" spans="1:12" x14ac:dyDescent="0.25">
      <c r="A46" s="5"/>
      <c r="B46" s="6"/>
      <c r="C46" s="6"/>
      <c r="D46" s="6"/>
      <c r="E46" s="6"/>
      <c r="F46" s="6"/>
      <c r="G46" s="6"/>
      <c r="H46" s="7"/>
      <c r="I46" s="7"/>
      <c r="J46" s="140"/>
      <c r="K46" s="218"/>
    </row>
    <row r="47" spans="1:12" x14ac:dyDescent="0.25">
      <c r="D47" s="17">
        <f>SUM(D3:D46)</f>
        <v>10630</v>
      </c>
      <c r="E47" s="13"/>
      <c r="F47" s="13"/>
      <c r="G47" s="13">
        <f>AVERAGE(G3:G45)</f>
        <v>35.42166666666666</v>
      </c>
      <c r="J47" s="139">
        <f>SUM(J3:J46)</f>
        <v>0</v>
      </c>
      <c r="K47" s="219">
        <f>SUM(K3:K46)</f>
        <v>329603.71000000002</v>
      </c>
      <c r="L47" s="89">
        <f>K47/D47</f>
        <v>31.006934148635938</v>
      </c>
    </row>
    <row r="49" spans="2:11" x14ac:dyDescent="0.25">
      <c r="B49">
        <v>-2106</v>
      </c>
      <c r="C49" t="s">
        <v>13</v>
      </c>
      <c r="D49" s="11"/>
      <c r="E49" s="11"/>
      <c r="F49" s="11"/>
      <c r="G49" s="11"/>
      <c r="K49" s="4"/>
    </row>
    <row r="50" spans="2:11" x14ac:dyDescent="0.25">
      <c r="B50">
        <v>630</v>
      </c>
      <c r="C50" t="s">
        <v>12</v>
      </c>
      <c r="D50" s="11"/>
      <c r="E50" s="11"/>
      <c r="F50" s="11"/>
      <c r="G50" s="11"/>
      <c r="K50" s="4"/>
    </row>
    <row r="51" spans="2:11" x14ac:dyDescent="0.25">
      <c r="B51">
        <v>-600</v>
      </c>
      <c r="C51" t="s">
        <v>13</v>
      </c>
      <c r="D51" s="11"/>
      <c r="E51" s="11"/>
      <c r="F51" s="11"/>
      <c r="G51" s="11"/>
      <c r="K51" s="4"/>
    </row>
    <row r="52" spans="2:11" x14ac:dyDescent="0.25">
      <c r="B52">
        <v>630</v>
      </c>
      <c r="C52" t="s">
        <v>12</v>
      </c>
      <c r="D52" s="11"/>
      <c r="E52" s="11"/>
      <c r="F52" s="11"/>
      <c r="G52" s="11"/>
      <c r="K52" s="4"/>
    </row>
    <row r="53" spans="2:11" x14ac:dyDescent="0.25">
      <c r="B53">
        <v>-600</v>
      </c>
      <c r="C53" t="s">
        <v>13</v>
      </c>
      <c r="D53" s="11">
        <v>44111</v>
      </c>
      <c r="E53" s="11"/>
      <c r="F53" s="11"/>
      <c r="G53" s="11"/>
      <c r="K53" s="4"/>
    </row>
    <row r="54" spans="2:11" x14ac:dyDescent="0.25">
      <c r="B54">
        <v>1065</v>
      </c>
      <c r="C54" t="s">
        <v>133</v>
      </c>
      <c r="D54" s="11"/>
      <c r="E54" s="11"/>
      <c r="F54" s="11"/>
      <c r="G54" s="11"/>
      <c r="K54" s="4"/>
    </row>
    <row r="55" spans="2:11" x14ac:dyDescent="0.25">
      <c r="B55">
        <v>-1100</v>
      </c>
      <c r="C55" t="s">
        <v>13</v>
      </c>
      <c r="D55" s="11">
        <v>44118</v>
      </c>
      <c r="E55" s="11"/>
      <c r="F55" s="11"/>
      <c r="G55" s="11"/>
      <c r="K55" s="4"/>
    </row>
    <row r="56" spans="2:11" x14ac:dyDescent="0.25">
      <c r="B56">
        <v>600</v>
      </c>
      <c r="C56" t="s">
        <v>134</v>
      </c>
      <c r="D56" s="11">
        <v>44123</v>
      </c>
      <c r="E56" s="11"/>
      <c r="F56" s="11"/>
      <c r="G56" s="11"/>
      <c r="K56" s="4"/>
    </row>
    <row r="57" spans="2:11" x14ac:dyDescent="0.25">
      <c r="B57">
        <v>140</v>
      </c>
      <c r="C57" t="s">
        <v>12</v>
      </c>
      <c r="D57" s="11"/>
      <c r="E57" s="11"/>
      <c r="F57" s="11"/>
      <c r="G57" s="11"/>
      <c r="K57" s="4"/>
    </row>
    <row r="58" spans="2:11" x14ac:dyDescent="0.25">
      <c r="B58">
        <v>-700</v>
      </c>
      <c r="C58" t="s">
        <v>13</v>
      </c>
      <c r="D58" s="11"/>
      <c r="E58" s="11"/>
      <c r="F58" s="11"/>
      <c r="G58" s="11"/>
      <c r="K58" s="4"/>
    </row>
    <row r="59" spans="2:11" x14ac:dyDescent="0.25">
      <c r="B59">
        <v>800</v>
      </c>
      <c r="C59" t="s">
        <v>136</v>
      </c>
      <c r="D59" s="11">
        <v>44130</v>
      </c>
      <c r="E59" s="11"/>
      <c r="F59" s="11"/>
      <c r="G59" s="11"/>
      <c r="K59" s="4"/>
    </row>
    <row r="60" spans="2:11" x14ac:dyDescent="0.25">
      <c r="B60">
        <v>-800</v>
      </c>
      <c r="C60" t="s">
        <v>13</v>
      </c>
      <c r="D60" s="11"/>
      <c r="E60" s="11"/>
      <c r="F60" s="11"/>
      <c r="G60" s="11"/>
      <c r="K60" s="4"/>
    </row>
    <row r="61" spans="2:11" x14ac:dyDescent="0.25">
      <c r="B61">
        <v>220</v>
      </c>
      <c r="C61" t="s">
        <v>12</v>
      </c>
      <c r="D61" s="11">
        <v>44140</v>
      </c>
      <c r="E61" s="11"/>
      <c r="F61" s="11"/>
      <c r="G61" s="11"/>
      <c r="K61" s="4"/>
    </row>
    <row r="62" spans="2:11" x14ac:dyDescent="0.25">
      <c r="B62">
        <v>220</v>
      </c>
      <c r="C62" t="s">
        <v>12</v>
      </c>
      <c r="D62" s="11">
        <v>44148</v>
      </c>
      <c r="E62" s="11"/>
      <c r="F62" s="11"/>
      <c r="G62" s="11"/>
      <c r="K62" s="4"/>
    </row>
    <row r="63" spans="2:11" x14ac:dyDescent="0.25">
      <c r="B63">
        <v>800</v>
      </c>
      <c r="C63" t="s">
        <v>95</v>
      </c>
      <c r="D63" s="11">
        <v>44161</v>
      </c>
      <c r="E63" s="11"/>
      <c r="F63" s="11"/>
      <c r="G63" s="11"/>
      <c r="K63" s="4"/>
    </row>
    <row r="64" spans="2:11" x14ac:dyDescent="0.25">
      <c r="B64">
        <v>-1200</v>
      </c>
      <c r="C64" t="s">
        <v>13</v>
      </c>
      <c r="D64" s="11">
        <v>44161</v>
      </c>
      <c r="E64" s="11"/>
      <c r="F64" s="11"/>
      <c r="G64" s="11"/>
      <c r="K64" s="4"/>
    </row>
    <row r="65" spans="2:11" x14ac:dyDescent="0.25">
      <c r="B65">
        <v>340</v>
      </c>
      <c r="C65" t="s">
        <v>12</v>
      </c>
      <c r="D65" s="11"/>
      <c r="E65" s="11"/>
      <c r="F65" s="11"/>
      <c r="G65" s="11"/>
      <c r="K65" s="4"/>
    </row>
    <row r="66" spans="2:11" x14ac:dyDescent="0.25">
      <c r="B66">
        <v>-400</v>
      </c>
      <c r="C66" t="s">
        <v>13</v>
      </c>
      <c r="D66" s="11"/>
      <c r="E66" s="11"/>
      <c r="F66" s="11"/>
      <c r="G66" s="11"/>
      <c r="K66" s="4"/>
    </row>
    <row r="67" spans="2:11" x14ac:dyDescent="0.25">
      <c r="B67">
        <v>315</v>
      </c>
      <c r="C67" t="s">
        <v>12</v>
      </c>
      <c r="D67" s="11">
        <v>44180</v>
      </c>
      <c r="E67" s="11"/>
      <c r="F67" s="11"/>
      <c r="G67" s="11"/>
      <c r="K67" s="4"/>
    </row>
    <row r="68" spans="2:11" x14ac:dyDescent="0.25">
      <c r="B68">
        <v>-300</v>
      </c>
      <c r="C68" t="s">
        <v>13</v>
      </c>
      <c r="D68" s="11"/>
      <c r="E68" s="11"/>
      <c r="F68" s="11"/>
      <c r="G68" s="11"/>
      <c r="K68" s="4"/>
    </row>
    <row r="69" spans="2:11" x14ac:dyDescent="0.25">
      <c r="B69">
        <v>490</v>
      </c>
      <c r="C69" t="s">
        <v>12</v>
      </c>
      <c r="D69" s="11"/>
      <c r="E69" s="11"/>
      <c r="F69" s="11"/>
      <c r="G69" s="11"/>
      <c r="K69" s="4"/>
    </row>
    <row r="70" spans="2:11" x14ac:dyDescent="0.25">
      <c r="B70">
        <v>-500</v>
      </c>
      <c r="C70" t="s">
        <v>13</v>
      </c>
      <c r="D70" s="11"/>
      <c r="E70" s="11"/>
      <c r="F70" s="11"/>
      <c r="G70" s="11"/>
      <c r="K70" s="4"/>
    </row>
    <row r="71" spans="2:11" x14ac:dyDescent="0.25">
      <c r="B71">
        <v>315</v>
      </c>
      <c r="C71" t="s">
        <v>12</v>
      </c>
      <c r="D71" s="11">
        <v>44203</v>
      </c>
      <c r="E71" s="11"/>
      <c r="F71" s="11"/>
      <c r="G71" s="11"/>
      <c r="K71" s="4"/>
    </row>
    <row r="72" spans="2:11" x14ac:dyDescent="0.25">
      <c r="B72">
        <v>-300</v>
      </c>
      <c r="C72" t="s">
        <v>13</v>
      </c>
      <c r="D72" s="11">
        <v>44203</v>
      </c>
      <c r="E72" s="11"/>
      <c r="F72" s="11"/>
      <c r="G72" s="11"/>
      <c r="K72" s="4"/>
    </row>
    <row r="73" spans="2:11" x14ac:dyDescent="0.25">
      <c r="B73">
        <v>1225</v>
      </c>
      <c r="C73" t="s">
        <v>138</v>
      </c>
      <c r="D73" s="11">
        <v>44214</v>
      </c>
      <c r="E73" s="11"/>
      <c r="F73" s="11"/>
      <c r="G73" s="11"/>
      <c r="K73" s="4"/>
    </row>
    <row r="74" spans="2:11" x14ac:dyDescent="0.25">
      <c r="B74">
        <v>-1200</v>
      </c>
      <c r="C74" t="s">
        <v>13</v>
      </c>
      <c r="D74" s="11">
        <v>44214</v>
      </c>
      <c r="E74" s="11"/>
      <c r="F74" s="11"/>
      <c r="G74" s="11"/>
      <c r="K74" s="4"/>
    </row>
    <row r="75" spans="2:11" x14ac:dyDescent="0.25">
      <c r="B75">
        <v>490</v>
      </c>
      <c r="C75" t="s">
        <v>12</v>
      </c>
      <c r="D75" s="11">
        <v>44216</v>
      </c>
      <c r="E75" s="11"/>
      <c r="F75" s="11"/>
      <c r="G75" s="11"/>
      <c r="K75" s="4"/>
    </row>
    <row r="76" spans="2:11" x14ac:dyDescent="0.25">
      <c r="B76">
        <v>-500</v>
      </c>
      <c r="C76" t="s">
        <v>13</v>
      </c>
      <c r="D76" s="11"/>
      <c r="E76" s="11"/>
      <c r="F76" s="11"/>
      <c r="G76" s="11"/>
      <c r="K76" s="4"/>
    </row>
    <row r="77" spans="2:11" x14ac:dyDescent="0.25">
      <c r="B77">
        <v>315</v>
      </c>
      <c r="C77" t="s">
        <v>12</v>
      </c>
      <c r="D77" s="11">
        <v>44216</v>
      </c>
      <c r="E77" s="11"/>
      <c r="F77" s="11"/>
      <c r="G77" s="11"/>
      <c r="K77" s="4"/>
    </row>
    <row r="78" spans="2:11" x14ac:dyDescent="0.25">
      <c r="B78">
        <v>-300</v>
      </c>
      <c r="C78" t="s">
        <v>13</v>
      </c>
      <c r="D78" s="11"/>
      <c r="E78" s="11"/>
      <c r="F78" s="11"/>
      <c r="G78" s="11"/>
      <c r="K78" s="4"/>
    </row>
    <row r="79" spans="2:11" x14ac:dyDescent="0.25">
      <c r="B79">
        <v>630</v>
      </c>
      <c r="C79" t="s">
        <v>12</v>
      </c>
      <c r="D79" s="11">
        <v>44222</v>
      </c>
      <c r="E79" s="11"/>
      <c r="F79" s="11"/>
      <c r="G79" s="11"/>
      <c r="K79" s="4"/>
    </row>
    <row r="80" spans="2:11" x14ac:dyDescent="0.25">
      <c r="B80">
        <v>-600</v>
      </c>
      <c r="C80" t="s">
        <v>13</v>
      </c>
      <c r="D80" s="11">
        <v>44222</v>
      </c>
      <c r="E80" s="11"/>
      <c r="F80" s="11"/>
      <c r="G80" s="11"/>
      <c r="K80" s="4"/>
    </row>
    <row r="81" spans="2:11" x14ac:dyDescent="0.25">
      <c r="B81">
        <v>300</v>
      </c>
      <c r="C81" t="s">
        <v>138</v>
      </c>
      <c r="D81" s="11">
        <v>44278</v>
      </c>
      <c r="E81" s="11"/>
      <c r="F81" s="11"/>
      <c r="G81" s="11"/>
      <c r="K81" s="4"/>
    </row>
    <row r="82" spans="2:11" x14ac:dyDescent="0.25">
      <c r="B82">
        <v>-300</v>
      </c>
      <c r="C82" t="s">
        <v>13</v>
      </c>
      <c r="D82" s="11">
        <v>44278</v>
      </c>
      <c r="E82" s="11"/>
      <c r="F82" s="11"/>
      <c r="G82" s="11"/>
      <c r="K82" s="4"/>
    </row>
    <row r="83" spans="2:11" x14ac:dyDescent="0.25">
      <c r="B83">
        <v>300</v>
      </c>
      <c r="C83" t="s">
        <v>94</v>
      </c>
      <c r="D83" s="11"/>
      <c r="E83" s="11"/>
      <c r="F83" s="11"/>
      <c r="G83" s="11"/>
      <c r="K83" s="4"/>
    </row>
    <row r="84" spans="2:11" x14ac:dyDescent="0.25">
      <c r="B84">
        <v>-300</v>
      </c>
      <c r="C84" t="s">
        <v>13</v>
      </c>
      <c r="D84" s="11">
        <v>44289</v>
      </c>
      <c r="E84" s="11"/>
      <c r="F84" s="11"/>
      <c r="G84" s="11"/>
      <c r="K84" s="4"/>
    </row>
    <row r="85" spans="2:11" x14ac:dyDescent="0.25">
      <c r="B85">
        <v>300</v>
      </c>
      <c r="C85" t="s">
        <v>138</v>
      </c>
      <c r="D85" s="11">
        <v>44294</v>
      </c>
      <c r="E85" s="11"/>
      <c r="F85" s="11"/>
      <c r="G85" s="11"/>
      <c r="K85" s="4"/>
    </row>
    <row r="86" spans="2:11" x14ac:dyDescent="0.25">
      <c r="B86">
        <v>-400</v>
      </c>
      <c r="C86" t="s">
        <v>13</v>
      </c>
      <c r="D86" s="11">
        <v>44294</v>
      </c>
      <c r="E86" s="11"/>
      <c r="F86" s="11"/>
      <c r="G86" s="11"/>
      <c r="K86" s="4"/>
    </row>
    <row r="87" spans="2:11" x14ac:dyDescent="0.25">
      <c r="B87">
        <v>315</v>
      </c>
      <c r="C87" t="s">
        <v>12</v>
      </c>
      <c r="D87" s="11">
        <v>44305</v>
      </c>
      <c r="E87" s="11"/>
      <c r="F87" s="11"/>
      <c r="G87" s="11"/>
      <c r="K87" s="4"/>
    </row>
    <row r="88" spans="2:11" x14ac:dyDescent="0.25">
      <c r="B88">
        <v>-300</v>
      </c>
      <c r="C88" t="s">
        <v>13</v>
      </c>
      <c r="D88" s="11">
        <v>44305</v>
      </c>
      <c r="E88" s="11"/>
      <c r="F88" s="11"/>
      <c r="G88" s="11"/>
      <c r="K88" s="4"/>
    </row>
    <row r="89" spans="2:11" x14ac:dyDescent="0.25">
      <c r="B89">
        <v>490</v>
      </c>
      <c r="C89" t="s">
        <v>138</v>
      </c>
      <c r="D89" s="11">
        <v>44320</v>
      </c>
      <c r="E89" s="11"/>
      <c r="F89" s="11"/>
      <c r="G89" s="11"/>
      <c r="K89" s="4"/>
    </row>
    <row r="90" spans="2:11" x14ac:dyDescent="0.25">
      <c r="B90">
        <v>-500</v>
      </c>
      <c r="C90" t="s">
        <v>13</v>
      </c>
      <c r="D90" s="11">
        <v>44320</v>
      </c>
      <c r="E90" s="11"/>
      <c r="F90" s="11"/>
      <c r="G90" s="11"/>
      <c r="K90" s="4"/>
    </row>
    <row r="91" spans="2:11" x14ac:dyDescent="0.25">
      <c r="B91">
        <v>420</v>
      </c>
      <c r="C91" t="s">
        <v>94</v>
      </c>
      <c r="D91" s="11">
        <v>44575</v>
      </c>
      <c r="E91" s="11"/>
      <c r="F91" s="11"/>
      <c r="G91" s="11"/>
      <c r="K91" s="4"/>
    </row>
    <row r="92" spans="2:11" x14ac:dyDescent="0.25">
      <c r="B92">
        <v>-400</v>
      </c>
      <c r="C92" t="s">
        <v>183</v>
      </c>
      <c r="D92" s="11"/>
      <c r="E92" s="11"/>
      <c r="F92" s="11"/>
      <c r="G92" s="11"/>
      <c r="K92" s="4"/>
    </row>
    <row r="93" spans="2:11" x14ac:dyDescent="0.25">
      <c r="B93">
        <v>420</v>
      </c>
      <c r="C93" t="s">
        <v>12</v>
      </c>
      <c r="D93" s="11">
        <v>44635</v>
      </c>
      <c r="E93" s="11"/>
      <c r="F93" s="11"/>
      <c r="G93" s="11"/>
      <c r="K93" s="4"/>
    </row>
    <row r="94" spans="2:11" x14ac:dyDescent="0.25">
      <c r="B94">
        <v>-400</v>
      </c>
      <c r="C94" t="s">
        <v>13</v>
      </c>
      <c r="D94" s="11">
        <v>44635</v>
      </c>
      <c r="E94" s="11"/>
      <c r="F94" s="11"/>
      <c r="G94" s="11"/>
      <c r="K94" s="4"/>
    </row>
    <row r="95" spans="2:11" x14ac:dyDescent="0.25">
      <c r="B95">
        <v>880</v>
      </c>
      <c r="C95" t="s">
        <v>12</v>
      </c>
      <c r="D95" s="11">
        <v>44642</v>
      </c>
      <c r="E95" s="11"/>
      <c r="F95" s="11"/>
      <c r="G95" s="11"/>
      <c r="K95" s="4"/>
    </row>
    <row r="96" spans="2:11" ht="14.25" customHeight="1" x14ac:dyDescent="0.25">
      <c r="B96">
        <v>-900</v>
      </c>
      <c r="C96" t="s">
        <v>13</v>
      </c>
      <c r="D96" s="11">
        <v>44642</v>
      </c>
      <c r="E96" s="11"/>
      <c r="F96" s="11"/>
      <c r="G96" s="11"/>
      <c r="K96" s="4"/>
    </row>
    <row r="97" spans="2:11" ht="14.25" customHeight="1" x14ac:dyDescent="0.25">
      <c r="B97">
        <v>440</v>
      </c>
      <c r="C97" t="s">
        <v>74</v>
      </c>
      <c r="D97" s="11">
        <v>44686</v>
      </c>
      <c r="E97" s="11"/>
      <c r="F97" s="11"/>
      <c r="G97" s="11"/>
      <c r="K97" s="4"/>
    </row>
    <row r="98" spans="2:11" ht="14.25" customHeight="1" x14ac:dyDescent="0.25">
      <c r="B98">
        <v>-400</v>
      </c>
      <c r="C98" t="s">
        <v>93</v>
      </c>
      <c r="D98" s="11"/>
      <c r="E98" s="11"/>
      <c r="F98" s="11"/>
      <c r="G98" s="11"/>
      <c r="K98" s="4"/>
    </row>
    <row r="99" spans="2:11" ht="14.25" customHeight="1" x14ac:dyDescent="0.25">
      <c r="B99">
        <v>440</v>
      </c>
      <c r="C99" t="s">
        <v>138</v>
      </c>
      <c r="D99" s="11">
        <v>44699</v>
      </c>
      <c r="E99" s="11"/>
      <c r="F99" s="11"/>
      <c r="G99" s="11"/>
      <c r="K99" s="4"/>
    </row>
    <row r="100" spans="2:11" ht="14.25" customHeight="1" x14ac:dyDescent="0.25">
      <c r="B100">
        <v>-500</v>
      </c>
      <c r="C100" t="s">
        <v>13</v>
      </c>
      <c r="D100" s="11"/>
      <c r="E100" s="11"/>
      <c r="F100" s="11"/>
      <c r="G100" s="11"/>
      <c r="K100" s="4"/>
    </row>
    <row r="101" spans="2:11" ht="14.25" customHeight="1" x14ac:dyDescent="0.25">
      <c r="B101">
        <v>440</v>
      </c>
      <c r="C101" t="s">
        <v>74</v>
      </c>
      <c r="D101" s="11">
        <v>44744</v>
      </c>
      <c r="E101" s="11"/>
      <c r="F101" s="11"/>
      <c r="G101" s="11"/>
      <c r="K101" s="4"/>
    </row>
    <row r="102" spans="2:11" ht="14.25" customHeight="1" x14ac:dyDescent="0.25">
      <c r="B102">
        <v>-400</v>
      </c>
      <c r="C102" t="s">
        <v>93</v>
      </c>
      <c r="D102" s="11">
        <v>44744</v>
      </c>
      <c r="E102" s="11"/>
      <c r="F102" s="11"/>
      <c r="G102" s="11"/>
      <c r="K102" s="4"/>
    </row>
    <row r="103" spans="2:11" ht="14.25" customHeight="1" x14ac:dyDescent="0.25">
      <c r="B103">
        <v>400</v>
      </c>
      <c r="C103" t="s">
        <v>12</v>
      </c>
      <c r="D103" s="11">
        <v>44757</v>
      </c>
      <c r="E103" s="11"/>
      <c r="F103" s="11"/>
      <c r="G103" s="11"/>
      <c r="K103" s="4"/>
    </row>
    <row r="104" spans="2:11" ht="14.25" customHeight="1" x14ac:dyDescent="0.25">
      <c r="B104">
        <v>-400</v>
      </c>
      <c r="C104" t="s">
        <v>13</v>
      </c>
      <c r="D104" s="11">
        <v>44757</v>
      </c>
      <c r="E104" s="11"/>
      <c r="F104" s="11"/>
      <c r="G104" s="11"/>
      <c r="K104" s="4"/>
    </row>
    <row r="105" spans="2:11" ht="14.25" customHeight="1" x14ac:dyDescent="0.25">
      <c r="B105">
        <v>300</v>
      </c>
      <c r="C105" t="s">
        <v>12</v>
      </c>
      <c r="D105" s="11">
        <v>44786</v>
      </c>
      <c r="E105" s="11"/>
      <c r="F105" s="11"/>
      <c r="G105" s="11"/>
      <c r="K105" s="4"/>
    </row>
    <row r="106" spans="2:11" ht="14.25" customHeight="1" x14ac:dyDescent="0.25">
      <c r="B106">
        <v>-300</v>
      </c>
      <c r="D106" s="11"/>
      <c r="E106" s="11"/>
      <c r="F106" s="11"/>
      <c r="G106" s="11"/>
      <c r="K106" s="4"/>
    </row>
    <row r="107" spans="2:11" ht="14.25" customHeight="1" x14ac:dyDescent="0.25">
      <c r="B107">
        <v>300</v>
      </c>
      <c r="C107" t="s">
        <v>12</v>
      </c>
      <c r="D107" s="11">
        <v>44793</v>
      </c>
      <c r="E107" s="11"/>
      <c r="F107" s="11"/>
      <c r="G107" s="11"/>
      <c r="K107" s="4"/>
    </row>
    <row r="108" spans="2:11" ht="14.25" customHeight="1" x14ac:dyDescent="0.25">
      <c r="B108">
        <v>-300</v>
      </c>
      <c r="C108" t="s">
        <v>13</v>
      </c>
      <c r="D108" s="11"/>
      <c r="E108" s="11"/>
      <c r="F108" s="11"/>
      <c r="G108" s="11"/>
      <c r="K108" s="4"/>
    </row>
    <row r="109" spans="2:11" ht="14.25" customHeight="1" x14ac:dyDescent="0.25">
      <c r="B109">
        <v>480</v>
      </c>
      <c r="C109" t="s">
        <v>12</v>
      </c>
      <c r="D109" s="11">
        <v>44799</v>
      </c>
      <c r="E109" s="11"/>
      <c r="F109" s="11"/>
      <c r="G109" s="11"/>
      <c r="K109" s="4"/>
    </row>
    <row r="110" spans="2:11" ht="14.25" customHeight="1" x14ac:dyDescent="0.25">
      <c r="B110">
        <v>-500</v>
      </c>
      <c r="C110" t="s">
        <v>13</v>
      </c>
      <c r="D110" s="11">
        <v>44799</v>
      </c>
      <c r="E110" s="11"/>
      <c r="F110" s="11"/>
      <c r="G110" s="11"/>
      <c r="K110" s="4"/>
    </row>
    <row r="111" spans="2:11" ht="14.25" customHeight="1" x14ac:dyDescent="0.25">
      <c r="B111">
        <v>480</v>
      </c>
      <c r="C111" t="s">
        <v>210</v>
      </c>
      <c r="D111" s="11"/>
      <c r="E111" s="11"/>
      <c r="F111" s="11"/>
      <c r="G111" s="11"/>
      <c r="K111" s="4"/>
    </row>
    <row r="112" spans="2:11" ht="14.25" customHeight="1" x14ac:dyDescent="0.25">
      <c r="B112">
        <v>-500</v>
      </c>
      <c r="C112" t="s">
        <v>93</v>
      </c>
      <c r="D112" s="11"/>
      <c r="E112" s="11"/>
      <c r="F112" s="11"/>
      <c r="G112" s="11"/>
      <c r="K112" s="4"/>
    </row>
    <row r="113" spans="2:11" ht="14.25" customHeight="1" x14ac:dyDescent="0.25">
      <c r="B113">
        <v>-300</v>
      </c>
      <c r="C113" t="s">
        <v>211</v>
      </c>
      <c r="D113" s="11">
        <v>44826</v>
      </c>
      <c r="E113" s="11"/>
      <c r="F113" s="11"/>
      <c r="G113" s="11"/>
      <c r="K113" s="4"/>
    </row>
    <row r="114" spans="2:11" ht="14.25" customHeight="1" x14ac:dyDescent="0.25">
      <c r="B114">
        <v>1180</v>
      </c>
      <c r="C114" t="s">
        <v>12</v>
      </c>
      <c r="D114" s="11">
        <v>44828</v>
      </c>
      <c r="E114" s="11"/>
      <c r="F114" s="11"/>
      <c r="G114" s="11"/>
      <c r="K114" s="4"/>
    </row>
    <row r="115" spans="2:11" ht="14.25" customHeight="1" x14ac:dyDescent="0.25">
      <c r="B115">
        <v>-1000</v>
      </c>
      <c r="C115" t="s">
        <v>13</v>
      </c>
      <c r="D115" s="11">
        <v>44828</v>
      </c>
      <c r="E115" s="11"/>
      <c r="F115" s="11"/>
      <c r="G115" s="11"/>
      <c r="K115" s="4"/>
    </row>
    <row r="116" spans="2:11" ht="14.25" customHeight="1" x14ac:dyDescent="0.25">
      <c r="B116">
        <v>480</v>
      </c>
      <c r="C116" t="s">
        <v>12</v>
      </c>
      <c r="D116" s="11">
        <v>44834</v>
      </c>
      <c r="E116" s="11"/>
      <c r="F116" s="11"/>
      <c r="G116" s="11"/>
      <c r="K116" s="4"/>
    </row>
    <row r="117" spans="2:11" ht="14.25" customHeight="1" x14ac:dyDescent="0.25">
      <c r="B117">
        <v>-500</v>
      </c>
      <c r="C117" t="s">
        <v>13</v>
      </c>
      <c r="D117" s="11">
        <v>44834</v>
      </c>
      <c r="E117" s="11"/>
      <c r="F117" s="11"/>
      <c r="G117" s="11"/>
      <c r="K117" s="4"/>
    </row>
    <row r="118" spans="2:11" ht="14.25" customHeight="1" x14ac:dyDescent="0.25">
      <c r="B118">
        <v>800</v>
      </c>
      <c r="C118" t="s">
        <v>74</v>
      </c>
      <c r="D118" s="11">
        <v>44863</v>
      </c>
      <c r="E118" s="11"/>
      <c r="F118" s="11"/>
      <c r="G118" s="11"/>
      <c r="K118" s="4"/>
    </row>
    <row r="119" spans="2:11" ht="14.25" customHeight="1" x14ac:dyDescent="0.25">
      <c r="B119">
        <v>-800</v>
      </c>
      <c r="C119" t="s">
        <v>93</v>
      </c>
      <c r="D119" s="11"/>
      <c r="E119" s="11"/>
      <c r="F119" s="11"/>
      <c r="G119" s="11"/>
      <c r="K119" s="4"/>
    </row>
    <row r="120" spans="2:11" ht="14.25" customHeight="1" x14ac:dyDescent="0.25">
      <c r="B120">
        <v>800</v>
      </c>
      <c r="C120" t="s">
        <v>74</v>
      </c>
      <c r="D120" s="11">
        <v>44868</v>
      </c>
      <c r="E120" s="11"/>
      <c r="F120" s="11"/>
      <c r="G120" s="11"/>
      <c r="K120" s="4"/>
    </row>
    <row r="121" spans="2:11" ht="14.25" customHeight="1" x14ac:dyDescent="0.25">
      <c r="B121">
        <v>-600</v>
      </c>
      <c r="C121" t="s">
        <v>93</v>
      </c>
      <c r="D121" s="11"/>
      <c r="E121" s="11"/>
      <c r="F121" s="11"/>
      <c r="G121" s="11"/>
      <c r="K121" s="4"/>
    </row>
    <row r="122" spans="2:11" ht="14.25" customHeight="1" x14ac:dyDescent="0.25">
      <c r="B122">
        <v>800</v>
      </c>
      <c r="C122" t="s">
        <v>12</v>
      </c>
      <c r="D122" s="11">
        <v>44876</v>
      </c>
      <c r="E122" s="11"/>
      <c r="F122" s="11"/>
      <c r="G122" s="11"/>
      <c r="K122" s="4"/>
    </row>
    <row r="123" spans="2:11" ht="14.25" customHeight="1" x14ac:dyDescent="0.25">
      <c r="B123">
        <v>-800</v>
      </c>
      <c r="C123" t="s">
        <v>13</v>
      </c>
      <c r="D123" s="11">
        <v>44876</v>
      </c>
      <c r="E123" s="11"/>
      <c r="F123" s="11"/>
      <c r="G123" s="11"/>
      <c r="K123" s="4"/>
    </row>
    <row r="124" spans="2:11" ht="14.25" customHeight="1" x14ac:dyDescent="0.25">
      <c r="B124">
        <v>1600</v>
      </c>
      <c r="C124" t="s">
        <v>12</v>
      </c>
      <c r="D124" s="11">
        <v>44883</v>
      </c>
      <c r="E124" s="11"/>
      <c r="F124" s="11"/>
      <c r="G124" s="11"/>
      <c r="K124" s="4"/>
    </row>
    <row r="125" spans="2:11" ht="14.25" customHeight="1" x14ac:dyDescent="0.25">
      <c r="B125">
        <v>3000</v>
      </c>
      <c r="C125" t="s">
        <v>141</v>
      </c>
      <c r="E125" s="11"/>
      <c r="F125" s="11"/>
      <c r="G125" s="11"/>
      <c r="K125" s="4"/>
    </row>
    <row r="126" spans="2:11" ht="14.25" customHeight="1" x14ac:dyDescent="0.25">
      <c r="B126">
        <v>-4600</v>
      </c>
      <c r="C126" t="s">
        <v>13</v>
      </c>
      <c r="D126" s="11"/>
      <c r="E126" s="11"/>
      <c r="F126" s="11"/>
      <c r="G126" s="11"/>
      <c r="K126" s="4"/>
    </row>
    <row r="127" spans="2:11" ht="14.25" customHeight="1" x14ac:dyDescent="0.25">
      <c r="B127">
        <v>800</v>
      </c>
      <c r="C127" t="s">
        <v>12</v>
      </c>
      <c r="D127" s="11">
        <v>44888</v>
      </c>
      <c r="E127" s="11"/>
      <c r="F127" s="11"/>
      <c r="G127" s="11"/>
      <c r="K127" s="4"/>
    </row>
    <row r="128" spans="2:11" ht="14.25" customHeight="1" x14ac:dyDescent="0.25">
      <c r="B128">
        <v>1600</v>
      </c>
      <c r="C128" t="s">
        <v>12</v>
      </c>
      <c r="D128" s="11">
        <v>44896</v>
      </c>
      <c r="E128" s="11"/>
      <c r="F128" s="11"/>
      <c r="G128" s="11"/>
      <c r="K128" s="4"/>
    </row>
    <row r="129" spans="2:11" ht="14.25" customHeight="1" x14ac:dyDescent="0.25">
      <c r="B129">
        <v>-2400</v>
      </c>
      <c r="C129" t="s">
        <v>13</v>
      </c>
      <c r="D129" s="11"/>
      <c r="E129" s="11"/>
      <c r="F129" s="11"/>
      <c r="G129" s="11"/>
      <c r="K129" s="4"/>
    </row>
    <row r="130" spans="2:11" ht="14.25" customHeight="1" x14ac:dyDescent="0.25">
      <c r="B130">
        <v>800</v>
      </c>
      <c r="C130" t="s">
        <v>12</v>
      </c>
      <c r="D130" s="11">
        <v>44912</v>
      </c>
      <c r="E130" s="11"/>
      <c r="F130" s="11"/>
      <c r="G130" s="11"/>
      <c r="K130" s="4"/>
    </row>
    <row r="131" spans="2:11" ht="14.25" customHeight="1" x14ac:dyDescent="0.25">
      <c r="B131">
        <v>-800</v>
      </c>
      <c r="C131" t="s">
        <v>13</v>
      </c>
      <c r="D131" s="11">
        <v>44912</v>
      </c>
      <c r="E131" s="11"/>
      <c r="F131" s="11"/>
      <c r="G131" s="11"/>
      <c r="K131" s="4"/>
    </row>
    <row r="132" spans="2:11" ht="14.25" customHeight="1" x14ac:dyDescent="0.25">
      <c r="B132">
        <v>800</v>
      </c>
      <c r="C132" t="s">
        <v>12</v>
      </c>
      <c r="D132" s="11">
        <v>44939</v>
      </c>
      <c r="E132" s="11"/>
      <c r="F132" s="11"/>
      <c r="G132" s="11"/>
      <c r="K132" s="4"/>
    </row>
    <row r="133" spans="2:11" ht="14.25" customHeight="1" x14ac:dyDescent="0.25">
      <c r="B133">
        <v>-800</v>
      </c>
      <c r="C133" t="s">
        <v>13</v>
      </c>
      <c r="D133" s="11"/>
      <c r="E133" s="11"/>
      <c r="F133" s="11"/>
      <c r="G133" s="11"/>
      <c r="K133" s="4"/>
    </row>
    <row r="134" spans="2:11" ht="14.25" customHeight="1" x14ac:dyDescent="0.25">
      <c r="B134">
        <v>1200</v>
      </c>
      <c r="C134" t="s">
        <v>74</v>
      </c>
      <c r="D134" s="11">
        <v>44970</v>
      </c>
      <c r="E134" s="11"/>
      <c r="F134" s="11"/>
      <c r="G134" s="11"/>
      <c r="K134" s="4"/>
    </row>
    <row r="135" spans="2:11" ht="14.25" customHeight="1" x14ac:dyDescent="0.25">
      <c r="B135">
        <v>-1200</v>
      </c>
      <c r="C135" t="s">
        <v>13</v>
      </c>
      <c r="D135" s="11">
        <v>44970</v>
      </c>
      <c r="E135" s="11"/>
      <c r="F135" s="11"/>
      <c r="G135" s="11"/>
      <c r="K135" s="4"/>
    </row>
    <row r="136" spans="2:11" ht="14.25" customHeight="1" x14ac:dyDescent="0.25">
      <c r="B136">
        <v>2000</v>
      </c>
      <c r="C136" t="s">
        <v>74</v>
      </c>
      <c r="D136" s="11">
        <v>44996</v>
      </c>
      <c r="E136" s="11"/>
      <c r="F136" s="11"/>
      <c r="G136" s="11"/>
      <c r="K136" s="4"/>
    </row>
    <row r="137" spans="2:11" ht="14.25" customHeight="1" x14ac:dyDescent="0.25">
      <c r="B137">
        <v>-2000</v>
      </c>
      <c r="C137" t="s">
        <v>93</v>
      </c>
      <c r="D137" s="11">
        <v>44996</v>
      </c>
      <c r="E137" s="11"/>
      <c r="F137" s="11"/>
      <c r="G137" s="11"/>
      <c r="K137" s="4"/>
    </row>
    <row r="138" spans="2:11" ht="14.25" customHeight="1" x14ac:dyDescent="0.25">
      <c r="B138">
        <v>1200</v>
      </c>
      <c r="C138" t="s">
        <v>12</v>
      </c>
      <c r="D138" s="11">
        <v>45048</v>
      </c>
      <c r="E138" s="11"/>
      <c r="F138" s="11"/>
      <c r="G138" s="11"/>
      <c r="K138" s="4"/>
    </row>
    <row r="139" spans="2:11" ht="14.25" customHeight="1" x14ac:dyDescent="0.25">
      <c r="B139">
        <v>-1200</v>
      </c>
      <c r="C139" t="s">
        <v>13</v>
      </c>
      <c r="D139" s="11">
        <v>45048</v>
      </c>
      <c r="E139" s="11"/>
      <c r="F139" s="11"/>
      <c r="G139" s="11"/>
      <c r="K139" s="4"/>
    </row>
    <row r="140" spans="2:11" ht="14.25" customHeight="1" x14ac:dyDescent="0.25">
      <c r="B140">
        <v>2000</v>
      </c>
      <c r="C140" t="s">
        <v>74</v>
      </c>
      <c r="D140" s="11"/>
      <c r="E140" s="11"/>
      <c r="F140" s="11"/>
      <c r="G140" s="11"/>
      <c r="K140" s="4"/>
    </row>
    <row r="141" spans="2:11" ht="14.25" customHeight="1" x14ac:dyDescent="0.25">
      <c r="B141">
        <v>-2000</v>
      </c>
      <c r="C141" t="s">
        <v>93</v>
      </c>
      <c r="D141" s="11"/>
      <c r="E141" s="11"/>
      <c r="F141" s="11"/>
      <c r="G141" s="11"/>
      <c r="K141" s="4"/>
    </row>
    <row r="142" spans="2:11" ht="14.25" customHeight="1" x14ac:dyDescent="0.25">
      <c r="B142">
        <v>1200</v>
      </c>
      <c r="C142" t="s">
        <v>12</v>
      </c>
      <c r="D142" s="11">
        <v>45153</v>
      </c>
      <c r="E142" s="11"/>
      <c r="F142" s="11"/>
      <c r="G142" s="11"/>
      <c r="K142" s="4"/>
    </row>
    <row r="143" spans="2:11" ht="14.25" customHeight="1" x14ac:dyDescent="0.25">
      <c r="B143">
        <v>-1200</v>
      </c>
      <c r="C143" t="s">
        <v>13</v>
      </c>
      <c r="D143" s="11"/>
      <c r="E143" s="11"/>
      <c r="F143" s="11"/>
      <c r="G143" s="11"/>
      <c r="K143" s="4"/>
    </row>
    <row r="144" spans="2:11" ht="14.25" customHeight="1" x14ac:dyDescent="0.25">
      <c r="B144">
        <v>1200</v>
      </c>
      <c r="C144" t="s">
        <v>12</v>
      </c>
      <c r="D144" s="11">
        <v>45079</v>
      </c>
      <c r="E144" s="11"/>
      <c r="F144" s="11"/>
      <c r="G144" s="11"/>
      <c r="K144" s="4"/>
    </row>
    <row r="145" spans="2:11" ht="14.25" customHeight="1" x14ac:dyDescent="0.25">
      <c r="B145">
        <v>-1200</v>
      </c>
      <c r="C145" t="s">
        <v>13</v>
      </c>
      <c r="D145" s="11">
        <v>45079</v>
      </c>
      <c r="E145" s="11"/>
      <c r="F145" s="11"/>
      <c r="G145" s="11"/>
      <c r="K145" s="4"/>
    </row>
    <row r="146" spans="2:11" ht="14.25" customHeight="1" x14ac:dyDescent="0.25">
      <c r="B146">
        <v>1200</v>
      </c>
      <c r="C146" t="s">
        <v>12</v>
      </c>
      <c r="D146" s="11">
        <v>45098</v>
      </c>
      <c r="E146" s="11"/>
      <c r="F146" s="11"/>
      <c r="G146" s="11"/>
      <c r="K146" s="4"/>
    </row>
    <row r="147" spans="2:11" ht="14.25" customHeight="1" x14ac:dyDescent="0.25">
      <c r="B147">
        <v>-1200</v>
      </c>
      <c r="C147" t="s">
        <v>13</v>
      </c>
      <c r="D147" s="11">
        <v>45098</v>
      </c>
      <c r="E147" s="11"/>
      <c r="F147" s="11"/>
      <c r="G147" s="11"/>
      <c r="K147" s="4"/>
    </row>
    <row r="148" spans="2:11" ht="14.25" customHeight="1" x14ac:dyDescent="0.25">
      <c r="B148">
        <v>4400</v>
      </c>
      <c r="C148" t="s">
        <v>74</v>
      </c>
      <c r="D148" s="11">
        <v>45108</v>
      </c>
      <c r="E148" s="11"/>
      <c r="F148" s="11"/>
      <c r="G148" s="11"/>
      <c r="K148" s="4"/>
    </row>
    <row r="149" spans="2:11" ht="14.25" customHeight="1" x14ac:dyDescent="0.25">
      <c r="B149">
        <v>-4400</v>
      </c>
      <c r="C149" t="s">
        <v>93</v>
      </c>
      <c r="D149" s="11">
        <v>45108</v>
      </c>
      <c r="E149" s="11"/>
      <c r="F149" s="11"/>
      <c r="G149" s="11"/>
      <c r="K149" s="4"/>
    </row>
    <row r="150" spans="2:11" ht="14.25" customHeight="1" x14ac:dyDescent="0.25">
      <c r="B150">
        <v>3200</v>
      </c>
      <c r="C150" t="s">
        <v>12</v>
      </c>
      <c r="D150" s="11">
        <v>45164</v>
      </c>
      <c r="E150" s="11"/>
      <c r="F150" s="11"/>
      <c r="G150" s="11"/>
      <c r="K150" s="4"/>
    </row>
    <row r="151" spans="2:11" ht="14.25" customHeight="1" x14ac:dyDescent="0.25">
      <c r="B151">
        <v>-3200</v>
      </c>
      <c r="C151" t="s">
        <v>13</v>
      </c>
      <c r="D151" s="11">
        <v>45164</v>
      </c>
      <c r="E151" s="11"/>
      <c r="F151" s="11"/>
      <c r="G151" s="11"/>
      <c r="K151" s="4"/>
    </row>
    <row r="152" spans="2:11" ht="14.25" customHeight="1" x14ac:dyDescent="0.25">
      <c r="B152">
        <v>1600</v>
      </c>
      <c r="C152" t="s">
        <v>12</v>
      </c>
      <c r="D152" s="11">
        <v>45169</v>
      </c>
      <c r="E152" s="11"/>
      <c r="F152" s="11"/>
      <c r="G152" s="11"/>
      <c r="K152" s="4"/>
    </row>
    <row r="153" spans="2:11" ht="14.25" customHeight="1" x14ac:dyDescent="0.25">
      <c r="B153">
        <v>-1600</v>
      </c>
      <c r="C153" t="s">
        <v>13</v>
      </c>
      <c r="D153" s="11"/>
      <c r="E153" s="11"/>
      <c r="F153" s="11"/>
      <c r="G153" s="11"/>
      <c r="K153" s="4"/>
    </row>
    <row r="154" spans="2:11" ht="14.25" customHeight="1" x14ac:dyDescent="0.25">
      <c r="B154">
        <v>2400</v>
      </c>
      <c r="C154" t="s">
        <v>12</v>
      </c>
      <c r="D154" s="11"/>
      <c r="E154" s="11"/>
      <c r="F154" s="11"/>
      <c r="G154" s="11"/>
      <c r="K154" s="4"/>
    </row>
    <row r="155" spans="2:11" ht="14.25" customHeight="1" x14ac:dyDescent="0.25">
      <c r="B155">
        <v>-2400</v>
      </c>
      <c r="C155" t="s">
        <v>13</v>
      </c>
      <c r="D155" s="11"/>
      <c r="E155" s="11"/>
      <c r="F155" s="11"/>
      <c r="G155" s="11"/>
      <c r="K155" s="4"/>
    </row>
    <row r="156" spans="2:11" ht="14.25" customHeight="1" x14ac:dyDescent="0.25">
      <c r="B156">
        <v>1600</v>
      </c>
      <c r="C156" t="s">
        <v>12</v>
      </c>
      <c r="D156" s="11"/>
      <c r="E156" s="11"/>
      <c r="F156" s="11"/>
      <c r="G156" s="11"/>
      <c r="K156" s="4"/>
    </row>
    <row r="157" spans="2:11" ht="14.25" customHeight="1" x14ac:dyDescent="0.25">
      <c r="B157">
        <v>-1000</v>
      </c>
      <c r="C157" t="s">
        <v>211</v>
      </c>
      <c r="D157" s="11">
        <v>45519</v>
      </c>
      <c r="E157" s="11"/>
      <c r="F157" s="11"/>
      <c r="G157" s="11"/>
      <c r="K157" s="4"/>
    </row>
    <row r="158" spans="2:11" ht="14.25" customHeight="1" x14ac:dyDescent="0.25">
      <c r="B158">
        <v>4700</v>
      </c>
      <c r="C158" t="s">
        <v>12</v>
      </c>
      <c r="D158" s="11">
        <v>45583</v>
      </c>
      <c r="E158" s="11"/>
      <c r="F158" s="11"/>
      <c r="G158" s="11"/>
      <c r="K158" s="4"/>
    </row>
    <row r="159" spans="2:11" ht="14.25" customHeight="1" x14ac:dyDescent="0.25">
      <c r="B159">
        <v>-3284</v>
      </c>
      <c r="C159" t="s">
        <v>13</v>
      </c>
      <c r="D159" s="11">
        <v>45583</v>
      </c>
      <c r="E159" s="11"/>
      <c r="F159" s="11"/>
      <c r="G159" s="11"/>
      <c r="K159" s="4"/>
    </row>
    <row r="160" spans="2:11" ht="14.25" customHeight="1" x14ac:dyDescent="0.25">
      <c r="B160">
        <v>3600</v>
      </c>
      <c r="C160" t="s">
        <v>12</v>
      </c>
      <c r="D160" s="11"/>
      <c r="E160" s="11"/>
      <c r="F160" s="11"/>
      <c r="G160" s="11"/>
      <c r="K160" s="4"/>
    </row>
    <row r="161" spans="2:11 16384:16384" ht="14.25" customHeight="1" x14ac:dyDescent="0.25">
      <c r="B161">
        <v>-4000</v>
      </c>
      <c r="C161" t="s">
        <v>13</v>
      </c>
      <c r="D161" s="11">
        <v>45894</v>
      </c>
      <c r="E161" s="11"/>
      <c r="F161" s="11"/>
      <c r="G161" s="11"/>
      <c r="K161" s="4"/>
    </row>
    <row r="162" spans="2:11 16384:16384" ht="14.25" customHeight="1" x14ac:dyDescent="0.25">
      <c r="B162">
        <v>4000</v>
      </c>
      <c r="C162" t="s">
        <v>12</v>
      </c>
      <c r="D162" s="11">
        <v>45915</v>
      </c>
      <c r="E162" s="11"/>
      <c r="F162" s="11"/>
      <c r="G162" s="11"/>
      <c r="K162" s="4"/>
    </row>
    <row r="163" spans="2:11 16384:16384" ht="14.25" customHeight="1" x14ac:dyDescent="0.25">
      <c r="B163">
        <v>-4000</v>
      </c>
      <c r="C163" t="s">
        <v>13</v>
      </c>
      <c r="D163" s="11"/>
      <c r="E163" s="11"/>
      <c r="F163" s="11"/>
      <c r="G163" s="11"/>
      <c r="K163" s="4"/>
    </row>
    <row r="164" spans="2:11 16384:16384" x14ac:dyDescent="0.25">
      <c r="B164" s="135">
        <f>SUM(B49:B163)</f>
        <v>-400</v>
      </c>
      <c r="C164" s="11">
        <v>45915</v>
      </c>
      <c r="D164" s="11"/>
      <c r="E164" s="4"/>
      <c r="K164" s="4"/>
      <c r="XFD164">
        <f>SUM(A164:XFC164)</f>
        <v>45515</v>
      </c>
    </row>
    <row r="165" spans="2:11 16384:16384" x14ac:dyDescent="0.25">
      <c r="B165" s="11"/>
      <c r="D165" s="11"/>
      <c r="F165" s="11"/>
      <c r="G165" s="11"/>
      <c r="I165" s="173"/>
      <c r="K165" s="4"/>
    </row>
    <row r="166" spans="2:11 16384:16384" x14ac:dyDescent="0.25">
      <c r="B166" s="11"/>
      <c r="E166" s="11"/>
      <c r="F166" s="11"/>
      <c r="G166" s="11"/>
      <c r="K166" s="4"/>
    </row>
    <row r="167" spans="2:11 16384:16384" x14ac:dyDescent="0.25">
      <c r="B167" s="11"/>
      <c r="K167" s="4"/>
    </row>
    <row r="168" spans="2:11 16384:16384" x14ac:dyDescent="0.25">
      <c r="B168" s="11"/>
      <c r="E168" s="11"/>
      <c r="F168" s="11"/>
      <c r="G168" s="11"/>
      <c r="K168" s="4"/>
    </row>
    <row r="169" spans="2:11 16384:16384" x14ac:dyDescent="0.25">
      <c r="B169" s="11"/>
      <c r="C169" s="11"/>
      <c r="I169" s="4"/>
    </row>
    <row r="170" spans="2:11 16384:16384" x14ac:dyDescent="0.25">
      <c r="B170" s="11"/>
      <c r="E170" s="11"/>
      <c r="F170" s="11"/>
      <c r="G170" s="11"/>
      <c r="K170" s="4"/>
    </row>
    <row r="171" spans="2:11 16384:16384" x14ac:dyDescent="0.25">
      <c r="B171" s="11"/>
      <c r="E171" s="11"/>
      <c r="F171" s="11"/>
      <c r="G171" s="11"/>
      <c r="K171" s="4"/>
    </row>
    <row r="172" spans="2:11 16384:16384" x14ac:dyDescent="0.25">
      <c r="B172" s="11"/>
      <c r="E172" s="11"/>
      <c r="F172" s="11"/>
      <c r="G172" s="11"/>
      <c r="K172" s="4"/>
    </row>
    <row r="173" spans="2:11 16384:16384" x14ac:dyDescent="0.25">
      <c r="B173" s="11"/>
      <c r="E173" s="11"/>
      <c r="F173" s="11"/>
      <c r="G173" s="11"/>
      <c r="K173" s="4"/>
    </row>
    <row r="174" spans="2:11 16384:16384" x14ac:dyDescent="0.25">
      <c r="B174" s="11"/>
      <c r="E174" s="11"/>
      <c r="F174" s="11"/>
      <c r="G174" s="11"/>
      <c r="K174" s="4"/>
    </row>
    <row r="175" spans="2:11 16384:16384" x14ac:dyDescent="0.25">
      <c r="B175" s="11"/>
      <c r="E175" s="11"/>
      <c r="F175" s="11"/>
      <c r="G175" s="11"/>
      <c r="K175" s="4"/>
    </row>
    <row r="176" spans="2:11 16384:16384" x14ac:dyDescent="0.25">
      <c r="B176" s="11"/>
      <c r="E176" s="11"/>
      <c r="F176" s="11"/>
      <c r="G176" s="11"/>
      <c r="K176" s="4"/>
    </row>
    <row r="177" spans="2:11" x14ac:dyDescent="0.25">
      <c r="B177" s="11"/>
      <c r="E177" s="11"/>
      <c r="F177" s="11"/>
      <c r="G177" s="11"/>
      <c r="K177" s="4"/>
    </row>
    <row r="178" spans="2:11" x14ac:dyDescent="0.25">
      <c r="B178" s="11"/>
      <c r="E178" s="11"/>
      <c r="F178" s="11"/>
      <c r="G178" s="11"/>
      <c r="K178" s="4"/>
    </row>
    <row r="179" spans="2:11" x14ac:dyDescent="0.25">
      <c r="B179" s="11"/>
      <c r="E179" s="11"/>
      <c r="F179" s="11"/>
      <c r="G179" s="11"/>
      <c r="K179" s="4"/>
    </row>
    <row r="180" spans="2:11" x14ac:dyDescent="0.25">
      <c r="B180" s="11"/>
      <c r="E180" s="11"/>
      <c r="F180" s="11"/>
      <c r="G180" s="11"/>
      <c r="K180" s="4"/>
    </row>
    <row r="181" spans="2:11" x14ac:dyDescent="0.25">
      <c r="B181" s="11"/>
      <c r="D181" s="11"/>
      <c r="E181" s="11"/>
      <c r="F181" s="11"/>
      <c r="G181" s="11"/>
      <c r="K181" s="4"/>
    </row>
    <row r="182" spans="2:11" x14ac:dyDescent="0.25">
      <c r="B182" s="11"/>
      <c r="E182" s="11"/>
      <c r="F182" s="11"/>
      <c r="G182" s="11"/>
    </row>
    <row r="183" spans="2:11" x14ac:dyDescent="0.25">
      <c r="B183" s="11"/>
      <c r="E183" s="11"/>
      <c r="F183" s="11"/>
      <c r="G183" s="11"/>
    </row>
    <row r="184" spans="2:11" x14ac:dyDescent="0.25">
      <c r="B184" s="11"/>
      <c r="E184" s="11"/>
      <c r="F184" s="11"/>
      <c r="G184" s="11"/>
    </row>
    <row r="185" spans="2:11" x14ac:dyDescent="0.25">
      <c r="B185" s="11"/>
      <c r="E185" s="11"/>
      <c r="F185" s="11"/>
      <c r="G185" s="11"/>
    </row>
    <row r="186" spans="2:11" x14ac:dyDescent="0.25">
      <c r="B186" s="11"/>
      <c r="E186" s="11"/>
      <c r="F186" s="11"/>
      <c r="G186" s="11"/>
    </row>
    <row r="187" spans="2:11" x14ac:dyDescent="0.25">
      <c r="B187" s="11"/>
      <c r="E187" s="11"/>
      <c r="F187" s="11"/>
      <c r="G187" s="11"/>
    </row>
    <row r="188" spans="2:11" x14ac:dyDescent="0.25">
      <c r="B188" s="11"/>
      <c r="E188" s="11"/>
      <c r="F188" s="11"/>
      <c r="G188" s="11"/>
    </row>
    <row r="189" spans="2:11" x14ac:dyDescent="0.25">
      <c r="B189" s="11"/>
      <c r="E189" s="11"/>
      <c r="F189" s="11"/>
      <c r="G189" s="11"/>
    </row>
    <row r="190" spans="2:11" x14ac:dyDescent="0.25">
      <c r="B190" s="11"/>
      <c r="E190" s="11"/>
      <c r="F190" s="11"/>
      <c r="G190" s="11"/>
    </row>
    <row r="191" spans="2:11" x14ac:dyDescent="0.25">
      <c r="B191" s="11"/>
      <c r="E191" s="11"/>
      <c r="F191" s="11"/>
      <c r="G191" s="11"/>
    </row>
    <row r="192" spans="2:11" x14ac:dyDescent="0.25">
      <c r="B192" s="11"/>
      <c r="E192" s="11"/>
      <c r="F192" s="11"/>
      <c r="G192" s="11"/>
    </row>
    <row r="193" spans="2:7" x14ac:dyDescent="0.25">
      <c r="B193" s="11"/>
      <c r="E193" s="11"/>
      <c r="F193" s="11"/>
      <c r="G193" s="11"/>
    </row>
    <row r="194" spans="2:7" x14ac:dyDescent="0.25">
      <c r="B194" s="11"/>
      <c r="E194" s="11"/>
      <c r="F194" s="11"/>
      <c r="G194" s="11"/>
    </row>
    <row r="195" spans="2:7" x14ac:dyDescent="0.25">
      <c r="B195" s="11"/>
      <c r="E195" s="11"/>
      <c r="F195" s="11"/>
      <c r="G195" s="11"/>
    </row>
    <row r="196" spans="2:7" x14ac:dyDescent="0.25">
      <c r="B196" s="11"/>
      <c r="E196" s="11"/>
      <c r="F196" s="11"/>
      <c r="G196" s="11"/>
    </row>
    <row r="197" spans="2:7" x14ac:dyDescent="0.25">
      <c r="B197" s="11"/>
      <c r="E197" s="11"/>
      <c r="F197" s="11"/>
      <c r="G197" s="11"/>
    </row>
    <row r="198" spans="2:7" x14ac:dyDescent="0.25">
      <c r="B198" s="11"/>
      <c r="E198" s="11"/>
      <c r="F198" s="11"/>
      <c r="G198" s="11"/>
    </row>
    <row r="199" spans="2:7" x14ac:dyDescent="0.25">
      <c r="B199" s="11"/>
      <c r="E199" s="11"/>
      <c r="F199" s="11"/>
      <c r="G199" s="11"/>
    </row>
    <row r="200" spans="2:7" x14ac:dyDescent="0.25">
      <c r="B200" s="11"/>
      <c r="E200" s="11"/>
      <c r="F200" s="11"/>
      <c r="G200" s="11"/>
    </row>
    <row r="201" spans="2:7" x14ac:dyDescent="0.25">
      <c r="B201" s="11"/>
      <c r="E201" s="11"/>
      <c r="F201" s="11"/>
      <c r="G201" s="11"/>
    </row>
    <row r="202" spans="2:7" x14ac:dyDescent="0.25">
      <c r="B202" s="11"/>
      <c r="E202" s="11"/>
      <c r="F202" s="11"/>
      <c r="G202" s="11"/>
    </row>
    <row r="203" spans="2:7" x14ac:dyDescent="0.25">
      <c r="B203" s="11"/>
      <c r="E203" s="11"/>
      <c r="F203" s="11"/>
      <c r="G203" s="11"/>
    </row>
    <row r="204" spans="2:7" x14ac:dyDescent="0.25">
      <c r="B204" s="11"/>
      <c r="E204" s="11"/>
      <c r="F204" s="11"/>
      <c r="G204" s="11"/>
    </row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FD663"/>
  <sheetViews>
    <sheetView topLeftCell="A19" zoomScale="110" zoomScaleNormal="110" workbookViewId="0">
      <selection activeCell="A4" sqref="A4:XFD9"/>
    </sheetView>
  </sheetViews>
  <sheetFormatPr baseColWidth="10" defaultRowHeight="15" x14ac:dyDescent="0.25"/>
  <cols>
    <col min="2" max="2" width="13.7109375" customWidth="1"/>
    <col min="5" max="6" width="11.140625" customWidth="1"/>
    <col min="7" max="7" width="12.140625" customWidth="1"/>
    <col min="9" max="9" width="13.28515625" customWidth="1"/>
    <col min="10" max="10" width="13.42578125" bestFit="1" customWidth="1"/>
    <col min="11" max="11" width="13.7109375" bestFit="1" customWidth="1"/>
  </cols>
  <sheetData>
    <row r="1" spans="1:11" x14ac:dyDescent="0.25">
      <c r="D1" s="172" t="s">
        <v>162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82"/>
      <c r="C3" s="124"/>
      <c r="D3" s="82"/>
      <c r="E3" s="82"/>
      <c r="F3" s="82"/>
      <c r="G3" s="82"/>
      <c r="H3" s="90"/>
      <c r="I3" s="90"/>
      <c r="J3" s="138"/>
      <c r="K3" s="217"/>
    </row>
    <row r="4" spans="1:11" x14ac:dyDescent="0.25">
      <c r="A4" s="91"/>
      <c r="B4" s="82"/>
      <c r="C4" s="124"/>
      <c r="D4" s="82"/>
      <c r="E4" s="82"/>
      <c r="F4" s="82"/>
      <c r="G4" s="82"/>
      <c r="H4" s="90"/>
      <c r="I4" s="90"/>
      <c r="J4" s="138"/>
      <c r="K4" s="217"/>
    </row>
    <row r="5" spans="1:11" x14ac:dyDescent="0.25">
      <c r="A5" s="91"/>
      <c r="B5" s="82"/>
      <c r="C5" s="124"/>
      <c r="D5" s="82"/>
      <c r="E5" s="82"/>
      <c r="F5" s="82"/>
      <c r="G5" s="82"/>
      <c r="H5" s="90"/>
      <c r="I5" s="90"/>
      <c r="J5" s="138"/>
      <c r="K5" s="217"/>
    </row>
    <row r="6" spans="1:11" x14ac:dyDescent="0.25">
      <c r="A6" s="91"/>
      <c r="B6" s="82"/>
      <c r="C6" s="124"/>
      <c r="D6" s="82"/>
      <c r="E6" s="82"/>
      <c r="F6" s="82"/>
      <c r="G6" s="82"/>
      <c r="H6" s="90"/>
      <c r="I6" s="90"/>
      <c r="J6" s="138"/>
      <c r="K6" s="217"/>
    </row>
    <row r="7" spans="1:11" x14ac:dyDescent="0.25">
      <c r="A7" s="91"/>
      <c r="B7" s="82"/>
      <c r="C7" s="124"/>
      <c r="D7" s="82"/>
      <c r="E7" s="82"/>
      <c r="F7" s="82"/>
      <c r="G7" s="82"/>
      <c r="H7" s="90"/>
      <c r="I7" s="90"/>
      <c r="J7" s="138"/>
      <c r="K7" s="217"/>
    </row>
    <row r="8" spans="1:11" x14ac:dyDescent="0.25">
      <c r="A8" s="91"/>
      <c r="B8" s="82"/>
      <c r="C8" s="124"/>
      <c r="D8" s="82"/>
      <c r="E8" s="82"/>
      <c r="F8" s="82"/>
      <c r="G8" s="82"/>
      <c r="H8" s="90"/>
      <c r="I8" s="90"/>
      <c r="J8" s="138"/>
      <c r="K8" s="217"/>
    </row>
    <row r="9" spans="1:11" x14ac:dyDescent="0.25">
      <c r="A9" s="91"/>
      <c r="B9" s="82"/>
      <c r="C9" s="124"/>
      <c r="D9" s="82"/>
      <c r="E9" s="82"/>
      <c r="F9" s="82"/>
      <c r="G9" s="82"/>
      <c r="H9" s="90"/>
      <c r="I9" s="90"/>
      <c r="J9" s="138"/>
      <c r="K9" s="217"/>
    </row>
    <row r="10" spans="1:11" x14ac:dyDescent="0.25">
      <c r="A10" s="91"/>
      <c r="B10" s="82"/>
      <c r="C10" s="124"/>
      <c r="D10" s="82"/>
      <c r="E10" s="82"/>
      <c r="F10" s="82"/>
      <c r="G10" s="82"/>
      <c r="H10" s="90"/>
      <c r="I10" s="90"/>
      <c r="J10" s="138"/>
      <c r="K10" s="217"/>
    </row>
    <row r="11" spans="1:11" x14ac:dyDescent="0.25">
      <c r="A11" s="91"/>
      <c r="B11" s="82"/>
      <c r="C11" s="124"/>
      <c r="D11" s="82"/>
      <c r="E11" s="82"/>
      <c r="F11" s="82"/>
      <c r="G11" s="82"/>
      <c r="H11" s="90"/>
      <c r="I11" s="90"/>
      <c r="J11" s="138"/>
      <c r="K11" s="217"/>
    </row>
    <row r="12" spans="1:11" x14ac:dyDescent="0.25">
      <c r="A12" s="91"/>
      <c r="B12" s="82"/>
      <c r="C12" s="124"/>
      <c r="D12" s="82"/>
      <c r="E12" s="82"/>
      <c r="F12" s="82"/>
      <c r="G12" s="82"/>
      <c r="H12" s="90"/>
      <c r="I12" s="90"/>
      <c r="J12" s="138"/>
      <c r="K12" s="217"/>
    </row>
    <row r="13" spans="1:11" x14ac:dyDescent="0.25">
      <c r="A13" s="91"/>
      <c r="B13" s="82"/>
      <c r="C13" s="124"/>
      <c r="D13" s="82"/>
      <c r="E13" s="82"/>
      <c r="F13" s="82"/>
      <c r="G13" s="82"/>
      <c r="H13" s="90"/>
      <c r="I13" s="90"/>
      <c r="J13" s="138"/>
      <c r="K13" s="217"/>
    </row>
    <row r="14" spans="1:11" x14ac:dyDescent="0.25">
      <c r="A14" s="91"/>
      <c r="B14" s="82"/>
      <c r="C14" s="124"/>
      <c r="D14" s="82"/>
      <c r="E14" s="82"/>
      <c r="F14" s="82"/>
      <c r="G14" s="82"/>
      <c r="H14" s="90"/>
      <c r="I14" s="90"/>
      <c r="J14" s="138"/>
      <c r="K14" s="217"/>
    </row>
    <row r="15" spans="1:11" x14ac:dyDescent="0.25">
      <c r="A15" s="91"/>
      <c r="B15" s="82"/>
      <c r="C15" s="124"/>
      <c r="D15" s="82"/>
      <c r="E15" s="82"/>
      <c r="F15" s="82"/>
      <c r="G15" s="82"/>
      <c r="H15" s="90"/>
      <c r="I15" s="90"/>
      <c r="J15" s="138"/>
      <c r="K15" s="217"/>
    </row>
    <row r="16" spans="1:11" x14ac:dyDescent="0.25">
      <c r="A16" s="91"/>
      <c r="B16" s="82"/>
      <c r="C16" s="124"/>
      <c r="D16" s="82"/>
      <c r="E16" s="82"/>
      <c r="F16" s="82"/>
      <c r="G16" s="82"/>
      <c r="H16" s="83"/>
      <c r="I16" s="90"/>
      <c r="J16" s="138"/>
      <c r="K16" s="217"/>
    </row>
    <row r="17" spans="1:11" x14ac:dyDescent="0.25">
      <c r="A17" s="91"/>
      <c r="B17" s="82"/>
      <c r="C17" s="124"/>
      <c r="D17" s="82"/>
      <c r="E17" s="82"/>
      <c r="F17" s="82"/>
      <c r="G17" s="82"/>
      <c r="H17" s="83"/>
      <c r="I17" s="90"/>
      <c r="J17" s="138"/>
      <c r="K17" s="217"/>
    </row>
    <row r="18" spans="1:11" x14ac:dyDescent="0.25">
      <c r="A18" s="91"/>
      <c r="B18" s="82"/>
      <c r="C18" s="124"/>
      <c r="D18" s="82"/>
      <c r="E18" s="82"/>
      <c r="F18" s="82"/>
      <c r="G18" s="82"/>
      <c r="H18" s="83"/>
      <c r="I18" s="90"/>
      <c r="J18" s="138"/>
      <c r="K18" s="217"/>
    </row>
    <row r="19" spans="1:11" x14ac:dyDescent="0.25">
      <c r="A19" s="91"/>
      <c r="B19" s="82"/>
      <c r="C19" s="124"/>
      <c r="D19" s="82"/>
      <c r="E19" s="82"/>
      <c r="F19" s="82"/>
      <c r="G19" s="82"/>
      <c r="H19" s="83"/>
      <c r="I19" s="90"/>
      <c r="J19" s="138"/>
      <c r="K19" s="217"/>
    </row>
    <row r="20" spans="1:11" x14ac:dyDescent="0.25">
      <c r="A20" s="91"/>
      <c r="B20" s="82"/>
      <c r="C20" s="124"/>
      <c r="D20" s="82"/>
      <c r="E20" s="82"/>
      <c r="F20" s="82"/>
      <c r="G20" s="82"/>
      <c r="H20" s="83"/>
      <c r="I20" s="90"/>
      <c r="J20" s="138"/>
      <c r="K20" s="217"/>
    </row>
    <row r="21" spans="1:11" x14ac:dyDescent="0.25">
      <c r="A21" s="91"/>
      <c r="B21" s="82"/>
      <c r="C21" s="124"/>
      <c r="D21" s="82"/>
      <c r="E21" s="82"/>
      <c r="F21" s="82"/>
      <c r="G21" s="82"/>
      <c r="H21" s="83"/>
      <c r="I21" s="90"/>
      <c r="J21" s="138"/>
      <c r="K21" s="217"/>
    </row>
    <row r="22" spans="1:11" x14ac:dyDescent="0.25">
      <c r="A22" s="91"/>
      <c r="B22" s="82"/>
      <c r="C22" s="124"/>
      <c r="D22" s="82"/>
      <c r="E22" s="82"/>
      <c r="F22" s="82"/>
      <c r="G22" s="82"/>
      <c r="H22" s="83"/>
      <c r="I22" s="90"/>
      <c r="J22" s="138"/>
      <c r="K22" s="217"/>
    </row>
    <row r="23" spans="1:11" x14ac:dyDescent="0.25">
      <c r="A23" s="91">
        <v>46113</v>
      </c>
      <c r="B23" s="82" t="s">
        <v>9</v>
      </c>
      <c r="C23" s="124" t="s">
        <v>326</v>
      </c>
      <c r="D23" s="82">
        <v>380</v>
      </c>
      <c r="E23" s="82"/>
      <c r="F23" s="82">
        <v>34.44</v>
      </c>
      <c r="G23" s="82"/>
      <c r="H23" s="90">
        <v>293227</v>
      </c>
      <c r="I23" s="90" t="s">
        <v>327</v>
      </c>
      <c r="J23" s="138"/>
      <c r="K23" s="217">
        <v>619920</v>
      </c>
    </row>
    <row r="24" spans="1:11" x14ac:dyDescent="0.25">
      <c r="A24" s="91">
        <v>46118</v>
      </c>
      <c r="B24" s="82" t="s">
        <v>326</v>
      </c>
      <c r="C24" s="124" t="s">
        <v>118</v>
      </c>
      <c r="D24" s="82">
        <v>180</v>
      </c>
      <c r="E24" s="82"/>
      <c r="F24" s="82"/>
      <c r="G24" s="82"/>
      <c r="H24" s="83" t="s">
        <v>66</v>
      </c>
      <c r="I24" s="90"/>
      <c r="J24" s="138"/>
      <c r="K24" s="217"/>
    </row>
    <row r="25" spans="1:11" x14ac:dyDescent="0.25">
      <c r="A25" s="91">
        <v>46118</v>
      </c>
      <c r="B25" s="82" t="s">
        <v>118</v>
      </c>
      <c r="C25" s="124" t="s">
        <v>146</v>
      </c>
      <c r="D25" s="82">
        <v>1430</v>
      </c>
      <c r="E25" s="82"/>
      <c r="F25" s="82"/>
      <c r="G25" s="82"/>
      <c r="H25" s="123">
        <v>119477</v>
      </c>
      <c r="I25" s="90" t="s">
        <v>147</v>
      </c>
      <c r="J25" s="138"/>
      <c r="K25" s="217"/>
    </row>
    <row r="26" spans="1:11" x14ac:dyDescent="0.25">
      <c r="A26" s="91">
        <v>46121</v>
      </c>
      <c r="B26" s="82" t="s">
        <v>146</v>
      </c>
      <c r="C26" s="124" t="s">
        <v>9</v>
      </c>
      <c r="D26" s="82">
        <v>1000</v>
      </c>
      <c r="E26" s="82"/>
      <c r="F26" s="82"/>
      <c r="G26" s="82"/>
      <c r="H26" s="83" t="s">
        <v>66</v>
      </c>
      <c r="I26" s="90"/>
      <c r="J26" s="138"/>
      <c r="K26" s="217"/>
    </row>
    <row r="27" spans="1:11" x14ac:dyDescent="0.25">
      <c r="A27" s="91">
        <v>46123</v>
      </c>
      <c r="B27" s="82" t="s">
        <v>9</v>
      </c>
      <c r="C27" s="124" t="s">
        <v>351</v>
      </c>
      <c r="D27" s="82">
        <v>1010</v>
      </c>
      <c r="E27" s="82"/>
      <c r="F27" s="82">
        <v>33.909999999999997</v>
      </c>
      <c r="G27" s="82"/>
      <c r="H27" s="90">
        <v>619460</v>
      </c>
      <c r="I27" s="90" t="s">
        <v>257</v>
      </c>
      <c r="J27" s="138"/>
      <c r="K27" s="217">
        <v>2227070.4500000002</v>
      </c>
    </row>
    <row r="28" spans="1:11" x14ac:dyDescent="0.25">
      <c r="A28" s="91">
        <v>46125</v>
      </c>
      <c r="B28" s="82" t="s">
        <v>351</v>
      </c>
      <c r="C28" s="124" t="s">
        <v>227</v>
      </c>
      <c r="D28" s="82">
        <v>240</v>
      </c>
      <c r="E28" s="82"/>
      <c r="F28" s="82"/>
      <c r="G28" s="82"/>
      <c r="H28" s="83" t="s">
        <v>66</v>
      </c>
      <c r="I28" s="90"/>
      <c r="J28" s="138"/>
      <c r="K28" s="217"/>
    </row>
    <row r="29" spans="1:11" x14ac:dyDescent="0.25">
      <c r="A29" s="91">
        <v>46125</v>
      </c>
      <c r="B29" s="82" t="s">
        <v>296</v>
      </c>
      <c r="C29" s="124" t="s">
        <v>9</v>
      </c>
      <c r="D29" s="82">
        <v>820</v>
      </c>
      <c r="E29" s="82"/>
      <c r="F29" s="82">
        <v>34.700000000000003</v>
      </c>
      <c r="G29" s="82"/>
      <c r="H29" s="90">
        <v>189454</v>
      </c>
      <c r="I29" s="90" t="s">
        <v>304</v>
      </c>
      <c r="J29" s="138"/>
      <c r="K29" s="217">
        <v>972132.93</v>
      </c>
    </row>
    <row r="30" spans="1:11" x14ac:dyDescent="0.25">
      <c r="A30" s="91">
        <v>46126</v>
      </c>
      <c r="B30" s="227" t="s">
        <v>9</v>
      </c>
      <c r="C30" s="124" t="s">
        <v>300</v>
      </c>
      <c r="D30" s="82">
        <v>420</v>
      </c>
      <c r="E30" s="82"/>
      <c r="F30" s="82">
        <v>34.25</v>
      </c>
      <c r="G30" s="82"/>
      <c r="H30" s="123">
        <v>619657</v>
      </c>
      <c r="I30" s="90" t="s">
        <v>257</v>
      </c>
      <c r="J30" s="138"/>
      <c r="K30" s="217"/>
    </row>
    <row r="31" spans="1:11" x14ac:dyDescent="0.25">
      <c r="A31" s="91">
        <v>46127</v>
      </c>
      <c r="B31" s="82" t="s">
        <v>300</v>
      </c>
      <c r="C31" s="124" t="s">
        <v>229</v>
      </c>
      <c r="D31" s="82">
        <v>150</v>
      </c>
      <c r="E31" s="82"/>
      <c r="F31" s="82"/>
      <c r="G31" s="82"/>
      <c r="H31" s="83" t="s">
        <v>66</v>
      </c>
      <c r="I31" s="90"/>
      <c r="J31" s="138"/>
      <c r="K31" s="217"/>
    </row>
    <row r="32" spans="1:11" x14ac:dyDescent="0.25">
      <c r="A32" s="91">
        <v>46127</v>
      </c>
      <c r="B32" s="82" t="s">
        <v>229</v>
      </c>
      <c r="C32" s="124" t="s">
        <v>9</v>
      </c>
      <c r="D32" s="82">
        <v>500</v>
      </c>
      <c r="E32" s="82"/>
      <c r="F32" s="82">
        <v>34.03</v>
      </c>
      <c r="G32" s="82"/>
      <c r="H32" s="90">
        <v>1065172</v>
      </c>
      <c r="I32" s="90" t="s">
        <v>176</v>
      </c>
      <c r="J32" s="138"/>
      <c r="K32" s="217"/>
    </row>
    <row r="33" spans="1:11" x14ac:dyDescent="0.25">
      <c r="A33" s="91">
        <v>46129</v>
      </c>
      <c r="B33" s="82" t="s">
        <v>9</v>
      </c>
      <c r="C33" s="124" t="s">
        <v>351</v>
      </c>
      <c r="D33" s="82">
        <v>1010</v>
      </c>
      <c r="E33" s="82"/>
      <c r="F33" s="82">
        <v>34.26</v>
      </c>
      <c r="G33" s="82"/>
      <c r="H33" s="90">
        <v>619847</v>
      </c>
      <c r="I33" s="90" t="s">
        <v>257</v>
      </c>
      <c r="J33" s="138"/>
      <c r="K33" s="217"/>
    </row>
    <row r="34" spans="1:11" x14ac:dyDescent="0.25">
      <c r="A34" s="91">
        <v>46132</v>
      </c>
      <c r="B34" s="82" t="s">
        <v>351</v>
      </c>
      <c r="C34" s="124" t="s">
        <v>227</v>
      </c>
      <c r="D34" s="82">
        <v>240</v>
      </c>
      <c r="E34" s="82"/>
      <c r="F34" s="82"/>
      <c r="G34" s="82"/>
      <c r="H34" s="83" t="s">
        <v>66</v>
      </c>
      <c r="I34" s="90"/>
      <c r="J34" s="138"/>
      <c r="K34" s="217"/>
    </row>
    <row r="35" spans="1:11" x14ac:dyDescent="0.25">
      <c r="A35" s="91">
        <v>46132</v>
      </c>
      <c r="B35" s="82" t="s">
        <v>296</v>
      </c>
      <c r="C35" s="124" t="s">
        <v>351</v>
      </c>
      <c r="D35" s="82">
        <v>240</v>
      </c>
      <c r="E35" s="82"/>
      <c r="F35" s="82">
        <v>33.6</v>
      </c>
      <c r="G35" s="82"/>
      <c r="H35" s="90">
        <v>189745</v>
      </c>
      <c r="I35" s="90" t="s">
        <v>304</v>
      </c>
      <c r="J35" s="138"/>
      <c r="K35" s="217"/>
    </row>
    <row r="36" spans="1:11" x14ac:dyDescent="0.25">
      <c r="A36" s="91">
        <v>46133</v>
      </c>
      <c r="B36" s="82" t="s">
        <v>351</v>
      </c>
      <c r="C36" s="124" t="s">
        <v>227</v>
      </c>
      <c r="D36" s="82">
        <v>240</v>
      </c>
      <c r="E36" s="82"/>
      <c r="F36" s="82"/>
      <c r="G36" s="82"/>
      <c r="H36" s="83" t="s">
        <v>66</v>
      </c>
      <c r="I36" s="90"/>
      <c r="J36" s="138"/>
      <c r="K36" s="217"/>
    </row>
    <row r="37" spans="1:11" x14ac:dyDescent="0.25">
      <c r="A37" s="91">
        <v>46133</v>
      </c>
      <c r="B37" s="82" t="s">
        <v>296</v>
      </c>
      <c r="C37" s="124" t="s">
        <v>9</v>
      </c>
      <c r="D37" s="82">
        <v>820</v>
      </c>
      <c r="E37" s="82"/>
      <c r="F37" s="82">
        <v>33.799999999999997</v>
      </c>
      <c r="G37" s="82"/>
      <c r="H37" s="90">
        <v>189791</v>
      </c>
      <c r="I37" s="90" t="s">
        <v>304</v>
      </c>
      <c r="J37" s="138"/>
      <c r="K37" s="217"/>
    </row>
    <row r="38" spans="1:11" x14ac:dyDescent="0.25">
      <c r="A38" s="91">
        <v>46135</v>
      </c>
      <c r="B38" s="227" t="s">
        <v>9</v>
      </c>
      <c r="C38" s="82" t="s">
        <v>300</v>
      </c>
      <c r="D38" s="82">
        <v>430</v>
      </c>
      <c r="E38" s="82"/>
      <c r="F38" s="82"/>
      <c r="G38" s="82"/>
      <c r="H38" s="90" t="s">
        <v>252</v>
      </c>
      <c r="I38" s="90" t="s">
        <v>15</v>
      </c>
      <c r="J38" s="138"/>
      <c r="K38" s="217"/>
    </row>
    <row r="39" spans="1:11" x14ac:dyDescent="0.25">
      <c r="A39" s="91">
        <v>46136</v>
      </c>
      <c r="B39" s="82" t="s">
        <v>300</v>
      </c>
      <c r="C39" s="124" t="s">
        <v>118</v>
      </c>
      <c r="D39" s="82">
        <v>100</v>
      </c>
      <c r="E39" s="82"/>
      <c r="F39" s="82"/>
      <c r="G39" s="82"/>
      <c r="H39" s="128" t="s">
        <v>66</v>
      </c>
      <c r="I39" s="90"/>
      <c r="J39" s="138"/>
      <c r="K39" s="217"/>
    </row>
    <row r="40" spans="1:11" x14ac:dyDescent="0.25">
      <c r="A40" s="91">
        <v>46136</v>
      </c>
      <c r="B40" s="82" t="s">
        <v>118</v>
      </c>
      <c r="C40" s="124" t="s">
        <v>385</v>
      </c>
      <c r="D40" s="82">
        <v>1470</v>
      </c>
      <c r="E40" s="82"/>
      <c r="F40" s="82"/>
      <c r="G40" s="82"/>
      <c r="H40" s="90">
        <v>122776</v>
      </c>
      <c r="I40" s="215" t="s">
        <v>399</v>
      </c>
      <c r="J40" s="138"/>
      <c r="K40" s="217"/>
    </row>
    <row r="41" spans="1:11" x14ac:dyDescent="0.25">
      <c r="A41" s="91">
        <v>46141</v>
      </c>
      <c r="B41" s="124" t="s">
        <v>385</v>
      </c>
      <c r="C41" s="124" t="s">
        <v>9</v>
      </c>
      <c r="D41" s="82">
        <v>1070</v>
      </c>
      <c r="E41" s="82"/>
      <c r="F41" s="82"/>
      <c r="G41" s="82"/>
      <c r="H41" s="83" t="s">
        <v>66</v>
      </c>
      <c r="I41" s="90"/>
      <c r="J41" s="138"/>
      <c r="K41" s="217"/>
    </row>
    <row r="42" spans="1:11" x14ac:dyDescent="0.25">
      <c r="A42" s="91"/>
      <c r="B42" s="82"/>
      <c r="C42" s="124"/>
      <c r="D42" s="151" t="s">
        <v>456</v>
      </c>
      <c r="E42" s="82"/>
      <c r="F42" s="82"/>
      <c r="G42" s="82"/>
      <c r="H42" s="83"/>
      <c r="I42" s="90"/>
      <c r="J42" s="138"/>
      <c r="K42" s="217"/>
    </row>
    <row r="43" spans="1:11" x14ac:dyDescent="0.25">
      <c r="A43" s="5"/>
      <c r="B43" s="6"/>
      <c r="C43" s="6"/>
      <c r="D43" s="6"/>
      <c r="E43" s="6"/>
      <c r="F43" s="6"/>
      <c r="G43" s="6"/>
      <c r="H43" s="7"/>
      <c r="I43" s="7"/>
      <c r="J43" s="140"/>
      <c r="K43" s="218"/>
    </row>
    <row r="44" spans="1:11" x14ac:dyDescent="0.25">
      <c r="D44" s="17">
        <f>SUM(D3:D43)</f>
        <v>11750</v>
      </c>
      <c r="E44" s="13"/>
      <c r="F44" s="228">
        <f>AVERAGE(F3:F42)</f>
        <v>34.123750000000001</v>
      </c>
      <c r="G44" s="13"/>
      <c r="J44" s="139">
        <f>SUM(J3:J43)</f>
        <v>0</v>
      </c>
      <c r="K44" s="219">
        <f>SUM(K3:K43)</f>
        <v>3819123.3800000004</v>
      </c>
    </row>
    <row r="46" spans="1:11" x14ac:dyDescent="0.25">
      <c r="B46">
        <v>-2130</v>
      </c>
      <c r="D46" s="11"/>
      <c r="E46" s="11"/>
      <c r="F46" s="11"/>
      <c r="G46" s="11"/>
      <c r="K46" s="4"/>
    </row>
    <row r="47" spans="1:11" x14ac:dyDescent="0.25">
      <c r="B47">
        <v>200</v>
      </c>
      <c r="C47" t="s">
        <v>12</v>
      </c>
      <c r="D47" s="11"/>
      <c r="E47" s="11"/>
      <c r="F47" s="11"/>
      <c r="G47" s="11"/>
      <c r="K47" s="4"/>
    </row>
    <row r="48" spans="1:11" x14ac:dyDescent="0.25">
      <c r="B48">
        <v>-200</v>
      </c>
      <c r="C48" t="s">
        <v>13</v>
      </c>
      <c r="D48" s="11"/>
      <c r="E48" s="11"/>
      <c r="F48" s="11"/>
      <c r="G48" s="11"/>
      <c r="K48" s="4"/>
    </row>
    <row r="49" spans="2:11" x14ac:dyDescent="0.25">
      <c r="B49">
        <v>200</v>
      </c>
      <c r="C49" t="s">
        <v>12</v>
      </c>
      <c r="D49" s="11"/>
      <c r="E49" s="11"/>
      <c r="F49" s="11"/>
      <c r="G49" s="11"/>
      <c r="K49" s="4"/>
    </row>
    <row r="50" spans="2:11" x14ac:dyDescent="0.25">
      <c r="B50">
        <v>-200</v>
      </c>
      <c r="C50" t="s">
        <v>13</v>
      </c>
      <c r="D50" s="11"/>
      <c r="E50" s="11"/>
      <c r="F50" s="11"/>
      <c r="G50" s="11"/>
      <c r="K50" s="4"/>
    </row>
    <row r="51" spans="2:11" x14ac:dyDescent="0.25">
      <c r="B51">
        <v>215</v>
      </c>
      <c r="C51" t="s">
        <v>12</v>
      </c>
      <c r="D51" s="11">
        <v>44105</v>
      </c>
      <c r="E51" s="11"/>
      <c r="F51" s="11"/>
      <c r="G51" s="11"/>
      <c r="I51">
        <v>10000</v>
      </c>
      <c r="K51" s="4"/>
    </row>
    <row r="52" spans="2:11" x14ac:dyDescent="0.25">
      <c r="B52">
        <v>-200</v>
      </c>
      <c r="C52" t="s">
        <v>13</v>
      </c>
      <c r="D52" s="11"/>
      <c r="E52" s="11"/>
      <c r="F52" s="11"/>
      <c r="G52" s="11"/>
      <c r="I52">
        <v>7000</v>
      </c>
      <c r="K52" s="4"/>
    </row>
    <row r="53" spans="2:11" x14ac:dyDescent="0.25">
      <c r="B53">
        <v>130</v>
      </c>
      <c r="C53" t="s">
        <v>12</v>
      </c>
      <c r="D53" s="11"/>
      <c r="E53" s="11"/>
      <c r="F53" s="11"/>
      <c r="G53" s="11"/>
      <c r="I53">
        <v>10000</v>
      </c>
      <c r="K53" s="4"/>
    </row>
    <row r="54" spans="2:11" x14ac:dyDescent="0.25">
      <c r="B54">
        <v>200</v>
      </c>
      <c r="C54" t="s">
        <v>12</v>
      </c>
      <c r="D54" s="11"/>
      <c r="E54" s="11"/>
      <c r="F54" s="11"/>
      <c r="G54" s="11"/>
      <c r="I54">
        <v>10000</v>
      </c>
      <c r="K54" s="4"/>
    </row>
    <row r="55" spans="2:11" x14ac:dyDescent="0.25">
      <c r="B55">
        <v>-300</v>
      </c>
      <c r="C55" t="s">
        <v>13</v>
      </c>
      <c r="D55" s="11"/>
      <c r="E55" s="11"/>
      <c r="F55" s="11"/>
      <c r="G55" s="11"/>
      <c r="I55">
        <v>10000</v>
      </c>
      <c r="K55" s="4"/>
    </row>
    <row r="56" spans="2:11" x14ac:dyDescent="0.25">
      <c r="B56">
        <v>480</v>
      </c>
      <c r="C56" t="s">
        <v>12</v>
      </c>
      <c r="D56" s="11"/>
      <c r="E56" s="11"/>
      <c r="F56" s="11"/>
      <c r="G56" s="11"/>
      <c r="I56">
        <v>7000</v>
      </c>
      <c r="K56" s="4"/>
    </row>
    <row r="57" spans="2:11" x14ac:dyDescent="0.25">
      <c r="B57">
        <v>-400</v>
      </c>
      <c r="C57" t="s">
        <v>13</v>
      </c>
      <c r="D57" s="11">
        <v>44123</v>
      </c>
      <c r="E57" s="11"/>
      <c r="F57" s="11"/>
      <c r="G57" s="11"/>
      <c r="I57">
        <v>10000</v>
      </c>
      <c r="K57" s="4"/>
    </row>
    <row r="58" spans="2:11" x14ac:dyDescent="0.25">
      <c r="B58">
        <v>1000</v>
      </c>
      <c r="C58" t="s">
        <v>135</v>
      </c>
      <c r="D58" s="11">
        <v>44127</v>
      </c>
      <c r="E58" s="11"/>
      <c r="F58" s="11"/>
      <c r="G58" s="11"/>
      <c r="I58">
        <v>10000</v>
      </c>
      <c r="K58" s="4"/>
    </row>
    <row r="59" spans="2:11" x14ac:dyDescent="0.25">
      <c r="B59">
        <v>-1000</v>
      </c>
      <c r="C59" t="s">
        <v>13</v>
      </c>
      <c r="D59" s="11"/>
      <c r="E59" s="11"/>
      <c r="F59" s="11"/>
      <c r="G59" s="11"/>
      <c r="I59">
        <v>7000</v>
      </c>
      <c r="K59" s="4"/>
    </row>
    <row r="60" spans="2:11" x14ac:dyDescent="0.25">
      <c r="B60">
        <v>630</v>
      </c>
      <c r="C60" t="s">
        <v>12</v>
      </c>
      <c r="D60" s="11">
        <v>44127</v>
      </c>
      <c r="E60" s="11"/>
      <c r="F60" s="11"/>
      <c r="G60" s="11"/>
      <c r="I60">
        <v>10000</v>
      </c>
      <c r="K60" s="4"/>
    </row>
    <row r="61" spans="2:11" x14ac:dyDescent="0.25">
      <c r="B61">
        <v>-700</v>
      </c>
      <c r="C61" t="s">
        <v>13</v>
      </c>
      <c r="D61" s="11"/>
      <c r="E61" s="11"/>
      <c r="F61" s="11"/>
      <c r="G61" s="11"/>
      <c r="I61">
        <v>10000</v>
      </c>
      <c r="K61" s="4"/>
    </row>
    <row r="62" spans="2:11" x14ac:dyDescent="0.25">
      <c r="B62">
        <v>400</v>
      </c>
      <c r="C62" t="s">
        <v>12</v>
      </c>
      <c r="D62" s="11">
        <v>44140</v>
      </c>
      <c r="E62" s="11"/>
      <c r="F62" s="11"/>
      <c r="G62" s="11"/>
      <c r="I62">
        <v>10000</v>
      </c>
      <c r="K62" s="4"/>
    </row>
    <row r="63" spans="2:11" x14ac:dyDescent="0.25">
      <c r="B63">
        <v>400</v>
      </c>
      <c r="C63" t="s">
        <v>12</v>
      </c>
      <c r="D63" s="11">
        <v>44140</v>
      </c>
      <c r="E63" s="11"/>
      <c r="F63" s="11"/>
      <c r="G63" s="11"/>
      <c r="I63">
        <v>10000</v>
      </c>
      <c r="K63" s="4"/>
    </row>
    <row r="64" spans="2:11" x14ac:dyDescent="0.25">
      <c r="B64">
        <v>-800</v>
      </c>
      <c r="C64" t="s">
        <v>13</v>
      </c>
      <c r="D64" s="11">
        <v>44144</v>
      </c>
      <c r="E64" s="11"/>
      <c r="F64" s="11"/>
      <c r="G64" s="11"/>
      <c r="I64">
        <v>10000</v>
      </c>
      <c r="K64" s="4"/>
    </row>
    <row r="65" spans="2:11" x14ac:dyDescent="0.25">
      <c r="B65">
        <v>960</v>
      </c>
      <c r="C65" t="s">
        <v>12</v>
      </c>
      <c r="D65" s="11">
        <v>44161</v>
      </c>
      <c r="E65" s="11"/>
      <c r="F65" s="11"/>
      <c r="G65" s="11"/>
      <c r="K65" s="4"/>
    </row>
    <row r="66" spans="2:11" x14ac:dyDescent="0.25">
      <c r="B66">
        <v>1500</v>
      </c>
      <c r="C66" t="s">
        <v>139</v>
      </c>
      <c r="D66" s="11"/>
      <c r="E66" s="11"/>
      <c r="F66" s="11"/>
      <c r="G66" s="11"/>
      <c r="K66" s="4"/>
    </row>
    <row r="67" spans="2:11" ht="14.25" customHeight="1" x14ac:dyDescent="0.25">
      <c r="B67">
        <v>-2500</v>
      </c>
      <c r="C67" t="s">
        <v>13</v>
      </c>
      <c r="D67" s="11"/>
      <c r="E67" s="11"/>
      <c r="F67" s="11"/>
      <c r="G67" s="11"/>
      <c r="K67" s="4"/>
    </row>
    <row r="68" spans="2:11" ht="14.25" customHeight="1" x14ac:dyDescent="0.25">
      <c r="B68">
        <v>680</v>
      </c>
      <c r="C68" t="s">
        <v>12</v>
      </c>
      <c r="D68" s="11">
        <v>44165</v>
      </c>
      <c r="E68" s="11"/>
      <c r="F68" s="11"/>
      <c r="G68" s="11"/>
      <c r="K68" s="4"/>
    </row>
    <row r="69" spans="2:11" ht="14.25" customHeight="1" x14ac:dyDescent="0.25">
      <c r="B69">
        <v>-600</v>
      </c>
      <c r="C69" t="s">
        <v>13</v>
      </c>
      <c r="D69" s="11">
        <v>44165</v>
      </c>
      <c r="E69" s="11"/>
      <c r="F69" s="11"/>
      <c r="G69" s="11"/>
      <c r="K69" s="4"/>
    </row>
    <row r="70" spans="2:11" ht="14.25" customHeight="1" x14ac:dyDescent="0.25">
      <c r="B70">
        <v>480</v>
      </c>
      <c r="C70" t="s">
        <v>12</v>
      </c>
      <c r="D70" s="11">
        <v>44169</v>
      </c>
      <c r="E70" s="11"/>
      <c r="F70" s="11"/>
      <c r="G70" s="11"/>
      <c r="K70" s="4"/>
    </row>
    <row r="71" spans="2:11" ht="14.25" customHeight="1" x14ac:dyDescent="0.25">
      <c r="B71">
        <v>-500</v>
      </c>
      <c r="C71" t="s">
        <v>13</v>
      </c>
      <c r="D71" s="11">
        <v>44169</v>
      </c>
      <c r="E71" s="11"/>
      <c r="F71" s="11"/>
      <c r="G71" s="11"/>
      <c r="I71" t="s">
        <v>281</v>
      </c>
      <c r="J71" s="89">
        <v>1374657.69</v>
      </c>
      <c r="K71" s="4"/>
    </row>
    <row r="72" spans="2:11" ht="14.25" customHeight="1" x14ac:dyDescent="0.25">
      <c r="B72">
        <v>200</v>
      </c>
      <c r="C72" t="s">
        <v>12</v>
      </c>
      <c r="D72" s="11">
        <v>44182</v>
      </c>
      <c r="E72" s="11"/>
      <c r="F72" s="11"/>
      <c r="G72" s="11"/>
      <c r="I72" t="s">
        <v>282</v>
      </c>
      <c r="J72" s="89">
        <v>359963.1</v>
      </c>
      <c r="K72" s="4"/>
    </row>
    <row r="73" spans="2:11" ht="14.25" customHeight="1" x14ac:dyDescent="0.25">
      <c r="B73">
        <v>-200</v>
      </c>
      <c r="C73" t="s">
        <v>13</v>
      </c>
      <c r="D73" s="11"/>
      <c r="E73" s="11"/>
      <c r="F73" s="11"/>
      <c r="G73" s="11"/>
      <c r="I73" t="s">
        <v>283</v>
      </c>
      <c r="J73" s="89">
        <v>45738</v>
      </c>
      <c r="K73" s="4"/>
    </row>
    <row r="74" spans="2:11" ht="14.25" customHeight="1" x14ac:dyDescent="0.25">
      <c r="B74">
        <v>200</v>
      </c>
      <c r="C74" t="s">
        <v>12</v>
      </c>
      <c r="D74" s="11">
        <v>44188</v>
      </c>
      <c r="E74" s="11"/>
      <c r="F74" s="11"/>
      <c r="G74" s="11"/>
      <c r="I74" t="s">
        <v>284</v>
      </c>
      <c r="J74" s="89">
        <v>298125</v>
      </c>
      <c r="K74" s="4"/>
    </row>
    <row r="75" spans="2:11" ht="14.25" customHeight="1" x14ac:dyDescent="0.25">
      <c r="B75">
        <v>-200</v>
      </c>
      <c r="C75" t="s">
        <v>13</v>
      </c>
      <c r="D75" s="11"/>
      <c r="E75" s="11"/>
      <c r="F75" s="11"/>
      <c r="G75" s="11"/>
      <c r="I75" t="s">
        <v>285</v>
      </c>
      <c r="J75" s="89">
        <v>100000</v>
      </c>
      <c r="K75" s="4"/>
    </row>
    <row r="76" spans="2:11" ht="14.25" customHeight="1" x14ac:dyDescent="0.25">
      <c r="B76">
        <v>200</v>
      </c>
      <c r="C76" t="s">
        <v>12</v>
      </c>
      <c r="D76" s="11"/>
      <c r="E76" s="11"/>
      <c r="F76" s="11"/>
      <c r="G76" s="11"/>
      <c r="J76" s="89">
        <f>SUM(J71:J75)</f>
        <v>2178483.79</v>
      </c>
      <c r="K76" s="4"/>
    </row>
    <row r="77" spans="2:11" ht="14.25" customHeight="1" x14ac:dyDescent="0.25">
      <c r="B77">
        <v>-200</v>
      </c>
      <c r="C77" t="s">
        <v>13</v>
      </c>
      <c r="D77" s="11"/>
      <c r="E77" s="11"/>
      <c r="F77" s="11"/>
      <c r="G77" s="11"/>
      <c r="K77" s="4"/>
    </row>
    <row r="78" spans="2:11" ht="14.25" customHeight="1" x14ac:dyDescent="0.25">
      <c r="B78">
        <v>480</v>
      </c>
      <c r="C78" t="s">
        <v>12</v>
      </c>
      <c r="D78" s="11"/>
      <c r="E78" s="11"/>
      <c r="F78" s="11"/>
      <c r="G78" s="11"/>
      <c r="K78" s="4"/>
    </row>
    <row r="79" spans="2:11" ht="14.25" customHeight="1" x14ac:dyDescent="0.25">
      <c r="B79">
        <v>-500</v>
      </c>
      <c r="C79" t="s">
        <v>13</v>
      </c>
      <c r="D79" s="11"/>
      <c r="E79" s="11"/>
      <c r="F79" s="11"/>
      <c r="G79" s="11"/>
      <c r="K79" s="4"/>
    </row>
    <row r="80" spans="2:11" ht="14.25" customHeight="1" x14ac:dyDescent="0.25">
      <c r="B80">
        <v>480</v>
      </c>
      <c r="C80" t="s">
        <v>12</v>
      </c>
      <c r="D80" s="11"/>
      <c r="E80" s="11"/>
      <c r="F80" s="11"/>
      <c r="G80" s="11"/>
      <c r="K80" s="4"/>
    </row>
    <row r="81" spans="2:11 16384:16384" ht="14.25" customHeight="1" x14ac:dyDescent="0.25">
      <c r="B81">
        <v>-500</v>
      </c>
      <c r="C81" t="s">
        <v>13</v>
      </c>
      <c r="D81" s="11"/>
      <c r="E81" s="11"/>
      <c r="F81" s="11"/>
      <c r="G81" s="11"/>
      <c r="K81" s="4"/>
    </row>
    <row r="82" spans="2:11 16384:16384" ht="14.25" customHeight="1" x14ac:dyDescent="0.25">
      <c r="B82">
        <v>500</v>
      </c>
      <c r="C82" t="s">
        <v>141</v>
      </c>
      <c r="D82" s="11"/>
      <c r="E82" s="11"/>
      <c r="F82" s="11"/>
      <c r="G82" s="11"/>
      <c r="K82" s="4"/>
    </row>
    <row r="83" spans="2:11 16384:16384" ht="14.25" customHeight="1" x14ac:dyDescent="0.25">
      <c r="B83">
        <v>-500</v>
      </c>
      <c r="C83" t="s">
        <v>13</v>
      </c>
      <c r="D83" s="11">
        <v>44217</v>
      </c>
      <c r="E83" s="11"/>
      <c r="F83" s="11"/>
      <c r="G83" s="11"/>
      <c r="K83" s="4"/>
    </row>
    <row r="84" spans="2:11 16384:16384" ht="14.25" customHeight="1" x14ac:dyDescent="0.25">
      <c r="B84">
        <v>1200</v>
      </c>
      <c r="C84" t="s">
        <v>12</v>
      </c>
      <c r="D84" s="11"/>
      <c r="E84" s="11"/>
      <c r="F84" s="11"/>
      <c r="G84" s="11"/>
      <c r="K84" s="4"/>
    </row>
    <row r="85" spans="2:11 16384:16384" ht="14.25" customHeight="1" x14ac:dyDescent="0.25">
      <c r="B85">
        <v>-1200</v>
      </c>
      <c r="C85" t="s">
        <v>13</v>
      </c>
      <c r="D85" s="11">
        <v>44223</v>
      </c>
      <c r="E85" s="11"/>
      <c r="F85" s="11"/>
      <c r="G85" s="11"/>
      <c r="K85" s="4"/>
    </row>
    <row r="86" spans="2:11 16384:16384" ht="14.25" customHeight="1" x14ac:dyDescent="0.25">
      <c r="B86">
        <v>200</v>
      </c>
      <c r="C86" t="s">
        <v>12</v>
      </c>
      <c r="D86" s="11">
        <v>44230</v>
      </c>
      <c r="E86" s="11"/>
      <c r="F86" s="11"/>
      <c r="G86" s="11"/>
      <c r="K86" s="4"/>
    </row>
    <row r="87" spans="2:11 16384:16384" ht="14.25" customHeight="1" x14ac:dyDescent="0.25">
      <c r="B87">
        <v>-200</v>
      </c>
      <c r="C87" t="s">
        <v>13</v>
      </c>
      <c r="D87" s="11"/>
      <c r="E87" s="11"/>
      <c r="F87" s="11"/>
      <c r="G87" s="11"/>
      <c r="K87" s="4"/>
    </row>
    <row r="88" spans="2:11 16384:16384" ht="14.25" customHeight="1" x14ac:dyDescent="0.25">
      <c r="B88">
        <v>200</v>
      </c>
      <c r="C88" t="s">
        <v>12</v>
      </c>
      <c r="D88" s="11">
        <v>44238</v>
      </c>
      <c r="E88" s="11"/>
      <c r="F88" s="11"/>
      <c r="G88" s="11"/>
      <c r="K88" s="4"/>
    </row>
    <row r="89" spans="2:11 16384:16384" ht="14.25" customHeight="1" x14ac:dyDescent="0.25">
      <c r="B89">
        <v>200</v>
      </c>
      <c r="C89" t="s">
        <v>12</v>
      </c>
      <c r="D89" s="11">
        <v>44252</v>
      </c>
      <c r="E89" s="11"/>
      <c r="F89" s="11"/>
      <c r="G89" s="11"/>
      <c r="K89" s="4"/>
    </row>
    <row r="90" spans="2:11 16384:16384" ht="14.25" customHeight="1" x14ac:dyDescent="0.25">
      <c r="B90">
        <v>-200</v>
      </c>
      <c r="C90" t="s">
        <v>13</v>
      </c>
      <c r="D90" s="11">
        <v>44252</v>
      </c>
      <c r="E90" s="11"/>
      <c r="F90" s="11"/>
      <c r="G90" s="11"/>
      <c r="K90" s="4"/>
    </row>
    <row r="91" spans="2:11 16384:16384" ht="14.25" customHeight="1" x14ac:dyDescent="0.25">
      <c r="B91">
        <v>3300</v>
      </c>
      <c r="C91" t="s">
        <v>149</v>
      </c>
      <c r="D91" s="11">
        <v>44258</v>
      </c>
      <c r="E91" s="11"/>
      <c r="F91" s="11"/>
      <c r="G91" s="11"/>
      <c r="K91" s="4"/>
    </row>
    <row r="92" spans="2:11 16384:16384" ht="14.25" customHeight="1" x14ac:dyDescent="0.25">
      <c r="B92">
        <v>800</v>
      </c>
      <c r="C92" t="s">
        <v>12</v>
      </c>
      <c r="D92" s="11"/>
      <c r="E92" s="11"/>
      <c r="F92" s="11"/>
      <c r="G92" s="11"/>
      <c r="K92" s="4"/>
    </row>
    <row r="93" spans="2:11 16384:16384" x14ac:dyDescent="0.25">
      <c r="B93">
        <v>-4200</v>
      </c>
      <c r="C93" s="11" t="s">
        <v>13</v>
      </c>
      <c r="D93" s="11"/>
      <c r="E93" s="4"/>
      <c r="K93" s="4"/>
      <c r="XFD93">
        <f>SUM(A93:XFC93)</f>
        <v>-4200</v>
      </c>
    </row>
    <row r="94" spans="2:11 16384:16384" x14ac:dyDescent="0.25">
      <c r="B94">
        <v>600</v>
      </c>
      <c r="C94" s="11" t="s">
        <v>12</v>
      </c>
      <c r="D94" s="11"/>
      <c r="E94" s="4"/>
      <c r="K94" s="4"/>
    </row>
    <row r="95" spans="2:11 16384:16384" x14ac:dyDescent="0.25">
      <c r="B95">
        <v>-700</v>
      </c>
      <c r="C95" s="11" t="s">
        <v>13</v>
      </c>
      <c r="D95" s="11"/>
      <c r="E95" s="4"/>
      <c r="K95" s="4"/>
    </row>
    <row r="96" spans="2:11 16384:16384" x14ac:dyDescent="0.25">
      <c r="B96">
        <v>600</v>
      </c>
      <c r="C96" s="11" t="s">
        <v>12</v>
      </c>
      <c r="D96" s="11">
        <v>44279</v>
      </c>
      <c r="E96" s="4"/>
      <c r="K96" s="4"/>
    </row>
    <row r="97" spans="2:11" x14ac:dyDescent="0.25">
      <c r="B97">
        <v>300</v>
      </c>
      <c r="C97" s="11" t="s">
        <v>94</v>
      </c>
      <c r="D97" s="11"/>
      <c r="E97" s="4"/>
      <c r="K97" s="4"/>
    </row>
    <row r="98" spans="2:11" x14ac:dyDescent="0.25">
      <c r="B98">
        <v>-900</v>
      </c>
      <c r="C98" s="11" t="s">
        <v>13</v>
      </c>
      <c r="D98" s="11"/>
      <c r="E98" s="4"/>
      <c r="K98" s="4"/>
    </row>
    <row r="99" spans="2:11" x14ac:dyDescent="0.25">
      <c r="B99">
        <v>300</v>
      </c>
      <c r="C99" s="11" t="s">
        <v>12</v>
      </c>
      <c r="D99" s="11">
        <v>44282</v>
      </c>
      <c r="E99" s="4"/>
      <c r="K99" s="4"/>
    </row>
    <row r="100" spans="2:11" x14ac:dyDescent="0.25">
      <c r="B100">
        <v>200</v>
      </c>
      <c r="C100" s="11" t="s">
        <v>12</v>
      </c>
      <c r="D100" s="11">
        <v>44295</v>
      </c>
      <c r="E100" s="4"/>
      <c r="K100" s="4"/>
    </row>
    <row r="101" spans="2:11" x14ac:dyDescent="0.25">
      <c r="B101">
        <v>800</v>
      </c>
      <c r="C101" s="11" t="s">
        <v>149</v>
      </c>
      <c r="D101" s="11"/>
      <c r="E101" s="4"/>
      <c r="K101" s="4"/>
    </row>
    <row r="102" spans="2:11" x14ac:dyDescent="0.25">
      <c r="B102">
        <v>-1300</v>
      </c>
      <c r="C102" s="11" t="s">
        <v>13</v>
      </c>
      <c r="D102" s="11"/>
      <c r="E102" s="4"/>
      <c r="K102" s="4"/>
    </row>
    <row r="103" spans="2:11" x14ac:dyDescent="0.25">
      <c r="B103">
        <v>200</v>
      </c>
      <c r="C103" s="11" t="s">
        <v>12</v>
      </c>
      <c r="D103" s="11">
        <v>44299</v>
      </c>
      <c r="E103" s="4"/>
      <c r="K103" s="4"/>
    </row>
    <row r="104" spans="2:11" x14ac:dyDescent="0.25">
      <c r="B104">
        <v>-200</v>
      </c>
      <c r="C104" s="11" t="s">
        <v>13</v>
      </c>
      <c r="D104" s="11"/>
      <c r="E104" s="4"/>
      <c r="K104" s="4"/>
    </row>
    <row r="105" spans="2:11" x14ac:dyDescent="0.25">
      <c r="B105">
        <v>800</v>
      </c>
      <c r="C105" s="11" t="s">
        <v>12</v>
      </c>
      <c r="D105" s="11">
        <v>44313</v>
      </c>
      <c r="E105" s="4"/>
      <c r="K105" s="4"/>
    </row>
    <row r="106" spans="2:11" x14ac:dyDescent="0.25">
      <c r="B106">
        <v>-800</v>
      </c>
      <c r="C106" s="11" t="s">
        <v>13</v>
      </c>
      <c r="D106" s="11"/>
      <c r="E106" s="4"/>
      <c r="K106" s="4"/>
    </row>
    <row r="107" spans="2:11" x14ac:dyDescent="0.25">
      <c r="B107">
        <v>1200</v>
      </c>
      <c r="C107" s="11" t="s">
        <v>12</v>
      </c>
      <c r="D107" s="11">
        <v>44316</v>
      </c>
      <c r="E107" s="4"/>
      <c r="K107" s="4"/>
    </row>
    <row r="108" spans="2:11" x14ac:dyDescent="0.25">
      <c r="B108">
        <v>-1200</v>
      </c>
      <c r="C108" s="11" t="s">
        <v>13</v>
      </c>
      <c r="D108" s="11">
        <v>44316</v>
      </c>
      <c r="E108" s="4"/>
      <c r="K108" s="4"/>
    </row>
    <row r="109" spans="2:11" x14ac:dyDescent="0.25">
      <c r="B109">
        <v>400</v>
      </c>
      <c r="C109" s="11" t="s">
        <v>12</v>
      </c>
      <c r="D109" s="11">
        <v>44320</v>
      </c>
      <c r="E109" s="4"/>
      <c r="K109" s="4"/>
    </row>
    <row r="110" spans="2:11" x14ac:dyDescent="0.25">
      <c r="B110">
        <v>-400</v>
      </c>
      <c r="C110" s="11" t="s">
        <v>13</v>
      </c>
      <c r="D110" s="11"/>
      <c r="E110" s="4"/>
      <c r="K110" s="4"/>
    </row>
    <row r="111" spans="2:11" x14ac:dyDescent="0.25">
      <c r="B111">
        <v>600</v>
      </c>
      <c r="C111" s="11" t="s">
        <v>12</v>
      </c>
      <c r="D111" s="11"/>
      <c r="E111" s="4"/>
      <c r="K111" s="4"/>
    </row>
    <row r="112" spans="2:11" x14ac:dyDescent="0.25">
      <c r="B112">
        <v>-600</v>
      </c>
      <c r="C112" s="11" t="s">
        <v>13</v>
      </c>
      <c r="D112" s="11">
        <v>44330</v>
      </c>
      <c r="E112" s="4"/>
      <c r="K112" s="4"/>
    </row>
    <row r="113" spans="2:11" x14ac:dyDescent="0.25">
      <c r="B113">
        <v>300</v>
      </c>
      <c r="C113" s="11" t="s">
        <v>12</v>
      </c>
      <c r="D113" s="11"/>
      <c r="E113" s="4"/>
      <c r="K113" s="4"/>
    </row>
    <row r="114" spans="2:11" x14ac:dyDescent="0.25">
      <c r="B114">
        <v>-300</v>
      </c>
      <c r="C114" s="11" t="s">
        <v>13</v>
      </c>
      <c r="D114" s="11">
        <v>44370</v>
      </c>
      <c r="E114" s="4"/>
      <c r="K114" s="4"/>
    </row>
    <row r="115" spans="2:11" x14ac:dyDescent="0.25">
      <c r="B115">
        <v>1000</v>
      </c>
      <c r="C115" s="11" t="s">
        <v>12</v>
      </c>
      <c r="D115" s="11">
        <v>44378</v>
      </c>
      <c r="E115" s="4"/>
      <c r="K115" s="4"/>
    </row>
    <row r="116" spans="2:11" x14ac:dyDescent="0.25">
      <c r="B116">
        <v>-1000</v>
      </c>
      <c r="C116" s="11" t="s">
        <v>13</v>
      </c>
      <c r="D116" s="11">
        <v>44378</v>
      </c>
      <c r="E116" s="4"/>
      <c r="K116" s="4"/>
    </row>
    <row r="117" spans="2:11" x14ac:dyDescent="0.25">
      <c r="B117">
        <v>220</v>
      </c>
      <c r="C117" s="11" t="s">
        <v>12</v>
      </c>
      <c r="D117" s="11">
        <v>44383</v>
      </c>
      <c r="E117" s="4"/>
      <c r="K117" s="4"/>
    </row>
    <row r="118" spans="2:11" x14ac:dyDescent="0.25">
      <c r="B118">
        <v>-300</v>
      </c>
      <c r="C118" s="11" t="s">
        <v>13</v>
      </c>
      <c r="D118" s="11"/>
      <c r="E118" s="4"/>
      <c r="K118" s="4"/>
    </row>
    <row r="119" spans="2:11" x14ac:dyDescent="0.25">
      <c r="B119">
        <v>840</v>
      </c>
      <c r="C119" s="11" t="s">
        <v>12</v>
      </c>
      <c r="D119" s="11">
        <v>44396</v>
      </c>
      <c r="E119" s="4"/>
      <c r="K119" s="4"/>
    </row>
    <row r="120" spans="2:11" x14ac:dyDescent="0.25">
      <c r="B120">
        <v>-700</v>
      </c>
      <c r="C120" s="11" t="s">
        <v>13</v>
      </c>
      <c r="D120" s="11">
        <v>44396</v>
      </c>
      <c r="E120" s="4"/>
      <c r="K120" s="4"/>
    </row>
    <row r="121" spans="2:11" x14ac:dyDescent="0.25">
      <c r="B121">
        <v>280</v>
      </c>
      <c r="C121" s="11" t="s">
        <v>12</v>
      </c>
      <c r="D121" s="11">
        <v>44401</v>
      </c>
      <c r="E121" s="4"/>
      <c r="K121" s="4"/>
    </row>
    <row r="122" spans="2:11" x14ac:dyDescent="0.25">
      <c r="B122">
        <v>-300</v>
      </c>
      <c r="C122" s="11" t="s">
        <v>13</v>
      </c>
      <c r="D122" s="11"/>
      <c r="E122" s="4"/>
      <c r="K122" s="4"/>
    </row>
    <row r="123" spans="2:11" x14ac:dyDescent="0.25">
      <c r="B123">
        <v>620</v>
      </c>
      <c r="C123" s="11" t="s">
        <v>12</v>
      </c>
      <c r="D123" s="11">
        <v>44404</v>
      </c>
      <c r="E123" s="4"/>
      <c r="K123" s="4"/>
    </row>
    <row r="124" spans="2:11" x14ac:dyDescent="0.25">
      <c r="B124">
        <v>-600</v>
      </c>
      <c r="C124" s="11" t="s">
        <v>13</v>
      </c>
      <c r="D124" s="11">
        <v>44404</v>
      </c>
      <c r="E124" s="4"/>
      <c r="K124" s="4"/>
    </row>
    <row r="125" spans="2:11" x14ac:dyDescent="0.25">
      <c r="B125">
        <v>620</v>
      </c>
      <c r="C125" s="11" t="s">
        <v>12</v>
      </c>
      <c r="D125" s="11">
        <v>44406</v>
      </c>
      <c r="E125" s="4"/>
      <c r="K125" s="4"/>
    </row>
    <row r="126" spans="2:11" x14ac:dyDescent="0.25">
      <c r="B126">
        <v>-600</v>
      </c>
      <c r="C126" s="11" t="s">
        <v>13</v>
      </c>
      <c r="D126" s="11">
        <v>44406</v>
      </c>
      <c r="E126" s="4"/>
      <c r="K126" s="4"/>
    </row>
    <row r="127" spans="2:11" x14ac:dyDescent="0.25">
      <c r="B127">
        <v>220</v>
      </c>
      <c r="C127" s="11" t="s">
        <v>12</v>
      </c>
      <c r="D127" s="11">
        <v>44412</v>
      </c>
      <c r="E127" s="4"/>
      <c r="K127" s="4"/>
    </row>
    <row r="128" spans="2:11" x14ac:dyDescent="0.25">
      <c r="B128">
        <v>-300</v>
      </c>
      <c r="C128" s="11" t="s">
        <v>13</v>
      </c>
      <c r="D128" s="11">
        <v>44412</v>
      </c>
      <c r="E128" s="4"/>
      <c r="K128" s="4"/>
    </row>
    <row r="129" spans="2:11" x14ac:dyDescent="0.25">
      <c r="B129">
        <v>620</v>
      </c>
      <c r="C129" s="11" t="s">
        <v>74</v>
      </c>
      <c r="D129" s="11">
        <v>44427</v>
      </c>
      <c r="E129" s="4"/>
      <c r="K129" s="4"/>
    </row>
    <row r="130" spans="2:11" x14ac:dyDescent="0.25">
      <c r="B130">
        <v>-600</v>
      </c>
      <c r="C130" s="11" t="s">
        <v>13</v>
      </c>
      <c r="D130" s="11">
        <v>44427</v>
      </c>
      <c r="E130" s="4"/>
      <c r="K130" s="4"/>
    </row>
    <row r="131" spans="2:11" x14ac:dyDescent="0.25">
      <c r="B131">
        <v>220</v>
      </c>
      <c r="C131" s="11" t="s">
        <v>12</v>
      </c>
      <c r="D131" s="11"/>
      <c r="E131" s="4"/>
      <c r="K131" s="4"/>
    </row>
    <row r="132" spans="2:11" x14ac:dyDescent="0.25">
      <c r="B132">
        <v>-200</v>
      </c>
      <c r="C132" s="11" t="s">
        <v>13</v>
      </c>
      <c r="D132" s="11">
        <v>44429</v>
      </c>
      <c r="E132" s="4"/>
      <c r="K132" s="4"/>
    </row>
    <row r="133" spans="2:11" x14ac:dyDescent="0.25">
      <c r="B133">
        <v>220</v>
      </c>
      <c r="C133" s="11" t="s">
        <v>12</v>
      </c>
      <c r="D133" s="11">
        <v>44432</v>
      </c>
      <c r="E133" s="4"/>
      <c r="K133" s="4"/>
    </row>
    <row r="134" spans="2:11" x14ac:dyDescent="0.25">
      <c r="B134">
        <v>-200</v>
      </c>
      <c r="C134" s="11" t="s">
        <v>13</v>
      </c>
      <c r="D134" s="11">
        <v>44432</v>
      </c>
      <c r="E134" s="4"/>
      <c r="K134" s="4"/>
    </row>
    <row r="135" spans="2:11" x14ac:dyDescent="0.25">
      <c r="B135">
        <v>440</v>
      </c>
      <c r="C135" s="11" t="s">
        <v>12</v>
      </c>
      <c r="D135" s="11">
        <v>44434</v>
      </c>
      <c r="E135" s="4"/>
      <c r="K135" s="4"/>
    </row>
    <row r="136" spans="2:11" x14ac:dyDescent="0.25">
      <c r="B136">
        <v>-500</v>
      </c>
      <c r="C136" s="11" t="s">
        <v>13</v>
      </c>
      <c r="D136" s="11"/>
      <c r="E136" s="4"/>
      <c r="K136" s="4"/>
    </row>
    <row r="137" spans="2:11" x14ac:dyDescent="0.25">
      <c r="B137">
        <v>1220</v>
      </c>
      <c r="C137" s="11" t="s">
        <v>12</v>
      </c>
      <c r="D137" s="11">
        <v>44440</v>
      </c>
      <c r="E137" s="4"/>
      <c r="K137" s="4"/>
    </row>
    <row r="138" spans="2:11" x14ac:dyDescent="0.25">
      <c r="B138">
        <v>-1200</v>
      </c>
      <c r="C138" s="11" t="s">
        <v>13</v>
      </c>
      <c r="D138" s="11">
        <v>44440</v>
      </c>
      <c r="E138" s="4"/>
      <c r="K138" s="4"/>
    </row>
    <row r="139" spans="2:11" x14ac:dyDescent="0.25">
      <c r="B139">
        <v>220</v>
      </c>
      <c r="C139" s="11" t="s">
        <v>12</v>
      </c>
      <c r="D139" s="11">
        <v>44448</v>
      </c>
      <c r="E139" s="4"/>
      <c r="K139" s="4"/>
    </row>
    <row r="140" spans="2:11" x14ac:dyDescent="0.25">
      <c r="B140">
        <v>-200</v>
      </c>
      <c r="C140" s="11" t="s">
        <v>13</v>
      </c>
      <c r="D140" s="11"/>
      <c r="E140" s="4"/>
      <c r="K140" s="4"/>
    </row>
    <row r="141" spans="2:11" x14ac:dyDescent="0.25">
      <c r="B141">
        <v>620</v>
      </c>
      <c r="C141" s="11" t="s">
        <v>12</v>
      </c>
      <c r="D141" s="11">
        <v>44454</v>
      </c>
      <c r="E141" s="4"/>
      <c r="K141" s="4"/>
    </row>
    <row r="142" spans="2:11" x14ac:dyDescent="0.25">
      <c r="B142">
        <v>-600</v>
      </c>
      <c r="C142" s="11" t="s">
        <v>13</v>
      </c>
      <c r="D142" s="11"/>
      <c r="E142" s="4"/>
      <c r="K142" s="4"/>
    </row>
    <row r="143" spans="2:11" x14ac:dyDescent="0.25">
      <c r="B143">
        <v>200</v>
      </c>
      <c r="C143" s="11" t="s">
        <v>12</v>
      </c>
      <c r="D143" s="11">
        <v>44456</v>
      </c>
      <c r="E143" s="4"/>
      <c r="K143" s="4"/>
    </row>
    <row r="144" spans="2:11" x14ac:dyDescent="0.25">
      <c r="B144">
        <v>-200</v>
      </c>
      <c r="C144" s="11" t="s">
        <v>13</v>
      </c>
      <c r="D144" s="11"/>
      <c r="E144" s="4"/>
      <c r="K144" s="4"/>
    </row>
    <row r="145" spans="2:11" x14ac:dyDescent="0.25">
      <c r="B145">
        <v>280</v>
      </c>
      <c r="C145" s="11" t="s">
        <v>12</v>
      </c>
      <c r="D145" s="11">
        <v>44459</v>
      </c>
      <c r="E145" s="4"/>
      <c r="K145" s="4"/>
    </row>
    <row r="146" spans="2:11" x14ac:dyDescent="0.25">
      <c r="B146">
        <v>-300</v>
      </c>
      <c r="C146" s="11" t="s">
        <v>13</v>
      </c>
      <c r="D146" s="11">
        <v>44459</v>
      </c>
      <c r="E146" s="4"/>
      <c r="K146" s="4"/>
    </row>
    <row r="147" spans="2:11" x14ac:dyDescent="0.25">
      <c r="B147">
        <v>440</v>
      </c>
      <c r="C147" s="11" t="s">
        <v>12</v>
      </c>
      <c r="D147" s="11">
        <v>44461</v>
      </c>
      <c r="E147" s="4"/>
      <c r="K147" s="4"/>
    </row>
    <row r="148" spans="2:11" x14ac:dyDescent="0.25">
      <c r="B148">
        <v>-500</v>
      </c>
      <c r="C148" s="11" t="s">
        <v>13</v>
      </c>
      <c r="D148" s="11">
        <v>44461</v>
      </c>
      <c r="E148" s="4"/>
      <c r="K148" s="4"/>
    </row>
    <row r="149" spans="2:11" x14ac:dyDescent="0.25">
      <c r="B149">
        <v>220</v>
      </c>
      <c r="C149" s="11" t="s">
        <v>12</v>
      </c>
      <c r="D149" s="11">
        <v>44469</v>
      </c>
      <c r="E149" s="4"/>
      <c r="K149" s="4"/>
    </row>
    <row r="150" spans="2:11" x14ac:dyDescent="0.25">
      <c r="B150">
        <v>-200</v>
      </c>
      <c r="C150" s="11" t="s">
        <v>13</v>
      </c>
      <c r="D150" s="11">
        <v>44469</v>
      </c>
      <c r="E150" s="4"/>
      <c r="K150" s="4"/>
    </row>
    <row r="151" spans="2:11" x14ac:dyDescent="0.25">
      <c r="B151">
        <v>440</v>
      </c>
      <c r="C151" s="11" t="s">
        <v>12</v>
      </c>
      <c r="D151" s="11">
        <v>44473</v>
      </c>
      <c r="E151" s="4"/>
      <c r="K151" s="4"/>
    </row>
    <row r="152" spans="2:11" x14ac:dyDescent="0.25">
      <c r="B152">
        <v>-400</v>
      </c>
      <c r="C152" s="11" t="s">
        <v>13</v>
      </c>
      <c r="D152" s="11">
        <v>44473</v>
      </c>
      <c r="E152" s="4"/>
      <c r="K152" s="4"/>
    </row>
    <row r="153" spans="2:11" x14ac:dyDescent="0.25">
      <c r="B153">
        <v>620</v>
      </c>
      <c r="C153" s="11" t="s">
        <v>12</v>
      </c>
      <c r="D153" s="11">
        <v>44476</v>
      </c>
      <c r="E153" s="4"/>
      <c r="K153" s="4"/>
    </row>
    <row r="154" spans="2:11" x14ac:dyDescent="0.25">
      <c r="B154">
        <v>-600</v>
      </c>
      <c r="C154" s="11" t="s">
        <v>13</v>
      </c>
      <c r="D154" s="11">
        <v>44476</v>
      </c>
      <c r="E154" s="4"/>
      <c r="K154" s="4"/>
    </row>
    <row r="155" spans="2:11" x14ac:dyDescent="0.25">
      <c r="B155">
        <v>840</v>
      </c>
      <c r="C155" s="11" t="s">
        <v>12</v>
      </c>
      <c r="D155" s="11">
        <v>44487</v>
      </c>
      <c r="E155" s="4"/>
      <c r="K155" s="4"/>
    </row>
    <row r="156" spans="2:11" x14ac:dyDescent="0.25">
      <c r="B156">
        <v>-900</v>
      </c>
      <c r="C156" s="11" t="s">
        <v>13</v>
      </c>
      <c r="D156" s="11">
        <v>44487</v>
      </c>
      <c r="E156" s="4"/>
      <c r="K156" s="4"/>
    </row>
    <row r="157" spans="2:11" x14ac:dyDescent="0.25">
      <c r="B157">
        <v>440</v>
      </c>
      <c r="C157" s="11" t="s">
        <v>12</v>
      </c>
      <c r="D157" s="11">
        <v>44504</v>
      </c>
      <c r="E157" s="4"/>
      <c r="K157" s="4"/>
    </row>
    <row r="158" spans="2:11" x14ac:dyDescent="0.25">
      <c r="B158">
        <v>-500</v>
      </c>
      <c r="C158" s="11" t="s">
        <v>13</v>
      </c>
      <c r="D158" s="11">
        <v>44504</v>
      </c>
      <c r="E158" s="4"/>
      <c r="K158" s="4"/>
    </row>
    <row r="159" spans="2:11" x14ac:dyDescent="0.25">
      <c r="B159">
        <v>840</v>
      </c>
      <c r="C159" s="11" t="s">
        <v>12</v>
      </c>
      <c r="D159" s="11"/>
      <c r="E159" s="4"/>
      <c r="K159" s="4"/>
    </row>
    <row r="160" spans="2:11" x14ac:dyDescent="0.25">
      <c r="B160">
        <v>-800</v>
      </c>
      <c r="C160" s="11" t="s">
        <v>13</v>
      </c>
      <c r="D160" s="11"/>
      <c r="E160" s="4"/>
      <c r="K160" s="4"/>
    </row>
    <row r="161" spans="2:11" x14ac:dyDescent="0.25">
      <c r="B161">
        <v>630</v>
      </c>
      <c r="C161" s="11" t="s">
        <v>74</v>
      </c>
      <c r="D161" s="11">
        <v>44517</v>
      </c>
      <c r="E161" s="4"/>
      <c r="K161" s="4"/>
    </row>
    <row r="162" spans="2:11" x14ac:dyDescent="0.25">
      <c r="B162">
        <v>-600</v>
      </c>
      <c r="C162" s="11" t="s">
        <v>13</v>
      </c>
      <c r="D162" s="11">
        <v>44517</v>
      </c>
      <c r="E162" s="4"/>
      <c r="K162" s="4"/>
    </row>
    <row r="163" spans="2:11" x14ac:dyDescent="0.25">
      <c r="B163">
        <v>220</v>
      </c>
      <c r="C163" s="11" t="s">
        <v>12</v>
      </c>
      <c r="D163" s="11">
        <v>44523</v>
      </c>
      <c r="E163" s="4"/>
      <c r="K163" s="4"/>
    </row>
    <row r="164" spans="2:11" x14ac:dyDescent="0.25">
      <c r="B164">
        <v>-200</v>
      </c>
      <c r="C164" s="11" t="s">
        <v>13</v>
      </c>
      <c r="D164" s="11">
        <v>44523</v>
      </c>
      <c r="E164" s="4"/>
      <c r="K164" s="4"/>
    </row>
    <row r="165" spans="2:11" x14ac:dyDescent="0.25">
      <c r="B165">
        <v>620</v>
      </c>
      <c r="C165" s="11" t="s">
        <v>12</v>
      </c>
      <c r="D165" s="11"/>
      <c r="E165" s="4"/>
      <c r="K165" s="4"/>
    </row>
    <row r="166" spans="2:11" x14ac:dyDescent="0.25">
      <c r="B166">
        <v>-700</v>
      </c>
      <c r="C166" s="11" t="s">
        <v>13</v>
      </c>
      <c r="D166" s="11">
        <v>44527</v>
      </c>
      <c r="E166" s="4"/>
      <c r="K166" s="4"/>
    </row>
    <row r="167" spans="2:11" x14ac:dyDescent="0.25">
      <c r="B167">
        <v>840</v>
      </c>
      <c r="C167" s="11" t="s">
        <v>12</v>
      </c>
      <c r="D167" s="11">
        <v>44530</v>
      </c>
      <c r="E167" s="4"/>
      <c r="K167" s="4"/>
    </row>
    <row r="168" spans="2:11" x14ac:dyDescent="0.25">
      <c r="B168">
        <v>-800</v>
      </c>
      <c r="C168" s="11" t="s">
        <v>13</v>
      </c>
      <c r="D168" s="11"/>
      <c r="E168" s="4"/>
      <c r="K168" s="4"/>
    </row>
    <row r="169" spans="2:11" x14ac:dyDescent="0.25">
      <c r="B169">
        <v>440</v>
      </c>
      <c r="C169" s="11" t="s">
        <v>12</v>
      </c>
      <c r="D169" s="11"/>
      <c r="E169" s="4"/>
      <c r="K169" s="4"/>
    </row>
    <row r="170" spans="2:11" x14ac:dyDescent="0.25">
      <c r="B170">
        <v>-400</v>
      </c>
      <c r="C170" s="11" t="s">
        <v>13</v>
      </c>
      <c r="D170" s="11"/>
      <c r="E170" s="4"/>
      <c r="K170" s="4"/>
    </row>
    <row r="171" spans="2:11" x14ac:dyDescent="0.25">
      <c r="B171">
        <v>220</v>
      </c>
      <c r="C171" s="11" t="s">
        <v>74</v>
      </c>
      <c r="D171" s="11">
        <v>44544</v>
      </c>
      <c r="E171" s="4"/>
      <c r="K171" s="4"/>
    </row>
    <row r="172" spans="2:11" x14ac:dyDescent="0.25">
      <c r="B172">
        <v>-200</v>
      </c>
      <c r="C172" s="11" t="s">
        <v>13</v>
      </c>
      <c r="D172" s="11">
        <v>44544</v>
      </c>
      <c r="E172" s="4"/>
      <c r="K172" s="4"/>
    </row>
    <row r="173" spans="2:11" x14ac:dyDescent="0.25">
      <c r="B173">
        <v>200</v>
      </c>
      <c r="C173" s="11" t="s">
        <v>12</v>
      </c>
      <c r="D173" s="11">
        <v>44551</v>
      </c>
      <c r="E173" s="4"/>
      <c r="K173" s="4"/>
    </row>
    <row r="174" spans="2:11" x14ac:dyDescent="0.25">
      <c r="B174">
        <v>-200</v>
      </c>
      <c r="C174" s="11" t="s">
        <v>13</v>
      </c>
      <c r="D174" s="11">
        <v>44551</v>
      </c>
      <c r="E174" s="4"/>
      <c r="K174" s="4"/>
    </row>
    <row r="175" spans="2:11" x14ac:dyDescent="0.25">
      <c r="B175">
        <v>280</v>
      </c>
      <c r="C175" s="11" t="s">
        <v>12</v>
      </c>
      <c r="D175" s="11">
        <v>44552</v>
      </c>
      <c r="E175" s="4"/>
      <c r="K175" s="4"/>
    </row>
    <row r="176" spans="2:11" x14ac:dyDescent="0.25">
      <c r="B176">
        <v>-300</v>
      </c>
      <c r="C176" s="11" t="s">
        <v>13</v>
      </c>
      <c r="D176" s="11">
        <v>44552</v>
      </c>
      <c r="E176" s="4"/>
      <c r="K176" s="4"/>
    </row>
    <row r="177" spans="2:11" x14ac:dyDescent="0.25">
      <c r="B177">
        <v>440</v>
      </c>
      <c r="C177" s="11" t="s">
        <v>12</v>
      </c>
      <c r="D177" s="11">
        <v>44557</v>
      </c>
      <c r="E177" s="4"/>
      <c r="K177" s="4"/>
    </row>
    <row r="178" spans="2:11" x14ac:dyDescent="0.25">
      <c r="B178">
        <v>-400</v>
      </c>
      <c r="C178" s="11" t="s">
        <v>13</v>
      </c>
      <c r="D178" s="11"/>
      <c r="E178" s="4"/>
      <c r="K178" s="4"/>
    </row>
    <row r="179" spans="2:11" x14ac:dyDescent="0.25">
      <c r="B179">
        <v>220</v>
      </c>
      <c r="C179" s="11" t="s">
        <v>74</v>
      </c>
      <c r="D179" s="11">
        <v>44565</v>
      </c>
      <c r="E179" s="4"/>
      <c r="K179" s="4"/>
    </row>
    <row r="180" spans="2:11" x14ac:dyDescent="0.25">
      <c r="B180">
        <v>-200</v>
      </c>
      <c r="C180" s="11" t="s">
        <v>13</v>
      </c>
      <c r="D180" s="11"/>
      <c r="E180" s="4"/>
      <c r="K180" s="4"/>
    </row>
    <row r="181" spans="2:11" x14ac:dyDescent="0.25">
      <c r="B181">
        <v>440</v>
      </c>
      <c r="C181" s="11" t="s">
        <v>12</v>
      </c>
      <c r="D181" s="11">
        <v>44569</v>
      </c>
      <c r="E181" s="4"/>
      <c r="K181" s="4"/>
    </row>
    <row r="182" spans="2:11" x14ac:dyDescent="0.25">
      <c r="B182">
        <v>-500</v>
      </c>
      <c r="C182" s="11" t="s">
        <v>93</v>
      </c>
      <c r="D182" s="11"/>
      <c r="E182" s="4"/>
      <c r="K182" s="4"/>
    </row>
    <row r="183" spans="2:11" x14ac:dyDescent="0.25">
      <c r="B183">
        <v>1420</v>
      </c>
      <c r="C183" s="11" t="s">
        <v>133</v>
      </c>
      <c r="D183" s="11"/>
      <c r="E183" s="4">
        <v>17</v>
      </c>
      <c r="K183" s="4"/>
    </row>
    <row r="184" spans="2:11" x14ac:dyDescent="0.25">
      <c r="B184">
        <v>-1400</v>
      </c>
      <c r="C184" s="11" t="s">
        <v>13</v>
      </c>
      <c r="D184" s="11">
        <v>44578</v>
      </c>
      <c r="E184" s="4"/>
      <c r="K184" s="4"/>
    </row>
    <row r="185" spans="2:11" x14ac:dyDescent="0.25">
      <c r="B185">
        <v>440</v>
      </c>
      <c r="C185" s="11" t="s">
        <v>12</v>
      </c>
      <c r="D185" s="11"/>
      <c r="E185" s="4"/>
      <c r="K185" s="4"/>
    </row>
    <row r="186" spans="2:11" x14ac:dyDescent="0.25">
      <c r="B186">
        <v>-400</v>
      </c>
      <c r="C186" s="11" t="s">
        <v>13</v>
      </c>
      <c r="D186" s="11"/>
      <c r="E186" s="4"/>
      <c r="K186" s="4"/>
    </row>
    <row r="187" spans="2:11" x14ac:dyDescent="0.25">
      <c r="B187">
        <v>280</v>
      </c>
      <c r="C187" s="11" t="s">
        <v>12</v>
      </c>
      <c r="D187" s="11">
        <v>44589</v>
      </c>
      <c r="E187" s="4"/>
      <c r="K187" s="4"/>
    </row>
    <row r="188" spans="2:11" x14ac:dyDescent="0.25">
      <c r="B188">
        <v>-300</v>
      </c>
      <c r="C188" s="11" t="s">
        <v>13</v>
      </c>
      <c r="D188" s="11">
        <v>44589</v>
      </c>
      <c r="E188" s="4"/>
      <c r="K188" s="4"/>
    </row>
    <row r="189" spans="2:11" x14ac:dyDescent="0.25">
      <c r="B189">
        <v>220</v>
      </c>
      <c r="C189" s="11" t="s">
        <v>12</v>
      </c>
      <c r="D189" s="11">
        <v>44595</v>
      </c>
      <c r="E189" s="4"/>
      <c r="K189" s="4"/>
    </row>
    <row r="190" spans="2:11" x14ac:dyDescent="0.25">
      <c r="B190">
        <v>-200</v>
      </c>
      <c r="C190" s="11" t="s">
        <v>13</v>
      </c>
      <c r="D190" s="11">
        <v>44595</v>
      </c>
      <c r="E190" s="4"/>
      <c r="K190" s="4"/>
    </row>
    <row r="191" spans="2:11" x14ac:dyDescent="0.25">
      <c r="B191">
        <v>400</v>
      </c>
      <c r="C191" s="11" t="s">
        <v>12</v>
      </c>
      <c r="D191" s="11"/>
      <c r="E191" s="4"/>
      <c r="K191" s="4"/>
    </row>
    <row r="192" spans="2:11" x14ac:dyDescent="0.25">
      <c r="B192">
        <v>-400</v>
      </c>
      <c r="C192" s="11" t="s">
        <v>13</v>
      </c>
      <c r="D192" s="11">
        <v>44639</v>
      </c>
      <c r="E192" s="4"/>
      <c r="K192" s="4"/>
    </row>
    <row r="193" spans="2:11" x14ac:dyDescent="0.25">
      <c r="B193">
        <v>560</v>
      </c>
      <c r="C193" s="11" t="s">
        <v>12</v>
      </c>
      <c r="D193" s="11">
        <v>44615</v>
      </c>
      <c r="E193" s="4"/>
      <c r="K193" s="4"/>
    </row>
    <row r="194" spans="2:11" x14ac:dyDescent="0.25">
      <c r="B194">
        <v>-600</v>
      </c>
      <c r="C194" s="11" t="s">
        <v>13</v>
      </c>
      <c r="D194" s="11">
        <v>44615</v>
      </c>
      <c r="E194" s="4"/>
      <c r="K194" s="4"/>
    </row>
    <row r="195" spans="2:11" x14ac:dyDescent="0.25">
      <c r="B195">
        <v>1080</v>
      </c>
      <c r="C195" s="11" t="s">
        <v>12</v>
      </c>
      <c r="D195" s="11">
        <v>44617</v>
      </c>
      <c r="E195" s="4"/>
      <c r="K195" s="4"/>
    </row>
    <row r="196" spans="2:11" x14ac:dyDescent="0.25">
      <c r="B196">
        <v>-1100</v>
      </c>
      <c r="C196" s="11" t="s">
        <v>189</v>
      </c>
      <c r="D196" s="11"/>
      <c r="E196" s="4"/>
      <c r="K196" s="4"/>
    </row>
    <row r="197" spans="2:11" x14ac:dyDescent="0.25">
      <c r="B197">
        <v>840</v>
      </c>
      <c r="C197" s="11" t="s">
        <v>191</v>
      </c>
      <c r="D197" s="11"/>
      <c r="E197" s="4"/>
      <c r="K197" s="4"/>
    </row>
    <row r="198" spans="2:11" x14ac:dyDescent="0.25">
      <c r="B198">
        <v>-800</v>
      </c>
      <c r="C198" s="11" t="s">
        <v>13</v>
      </c>
      <c r="D198" s="11"/>
      <c r="E198" s="4"/>
      <c r="K198" s="4"/>
    </row>
    <row r="199" spans="2:11" x14ac:dyDescent="0.25">
      <c r="B199">
        <v>3600</v>
      </c>
      <c r="C199" s="11" t="s">
        <v>133</v>
      </c>
      <c r="D199" s="11"/>
      <c r="E199" s="4"/>
      <c r="K199" s="4"/>
    </row>
    <row r="200" spans="2:11" x14ac:dyDescent="0.25">
      <c r="B200">
        <v>-3600</v>
      </c>
      <c r="C200" s="11" t="s">
        <v>13</v>
      </c>
      <c r="D200" s="11">
        <v>44642</v>
      </c>
      <c r="E200" s="4"/>
      <c r="K200" s="4"/>
    </row>
    <row r="201" spans="2:11" x14ac:dyDescent="0.25">
      <c r="B201">
        <v>560</v>
      </c>
      <c r="C201" s="11" t="s">
        <v>12</v>
      </c>
      <c r="D201" s="11">
        <v>44658</v>
      </c>
      <c r="E201" s="4"/>
      <c r="K201" s="4"/>
    </row>
    <row r="202" spans="2:11" x14ac:dyDescent="0.25">
      <c r="B202">
        <v>-600</v>
      </c>
      <c r="C202" s="11" t="s">
        <v>13</v>
      </c>
      <c r="D202" s="11"/>
      <c r="E202" s="4"/>
      <c r="K202" s="4"/>
    </row>
    <row r="203" spans="2:11" x14ac:dyDescent="0.25">
      <c r="B203">
        <v>1440</v>
      </c>
      <c r="C203" s="11" t="s">
        <v>12</v>
      </c>
      <c r="D203" s="11">
        <v>44662</v>
      </c>
      <c r="E203" s="4"/>
      <c r="K203" s="4"/>
    </row>
    <row r="204" spans="2:11" x14ac:dyDescent="0.25">
      <c r="B204">
        <v>-1400</v>
      </c>
      <c r="C204" s="11" t="s">
        <v>13</v>
      </c>
      <c r="D204" s="11"/>
      <c r="E204" s="4"/>
      <c r="K204" s="4"/>
    </row>
    <row r="205" spans="2:11" x14ac:dyDescent="0.25">
      <c r="B205">
        <v>280</v>
      </c>
      <c r="C205" s="11" t="s">
        <v>74</v>
      </c>
      <c r="D205" s="11">
        <v>44669</v>
      </c>
      <c r="E205" s="4"/>
      <c r="K205" s="4"/>
    </row>
    <row r="206" spans="2:11" x14ac:dyDescent="0.25">
      <c r="B206">
        <v>-300</v>
      </c>
      <c r="C206" s="11" t="s">
        <v>13</v>
      </c>
      <c r="D206" s="11"/>
      <c r="E206" s="4"/>
      <c r="K206" s="4"/>
    </row>
    <row r="207" spans="2:11" x14ac:dyDescent="0.25">
      <c r="B207">
        <v>360</v>
      </c>
      <c r="C207" s="11" t="s">
        <v>12</v>
      </c>
      <c r="D207" s="11">
        <v>44671</v>
      </c>
      <c r="E207" s="4"/>
      <c r="K207" s="4"/>
    </row>
    <row r="208" spans="2:11" x14ac:dyDescent="0.25">
      <c r="B208">
        <v>-400</v>
      </c>
      <c r="C208" s="11" t="s">
        <v>13</v>
      </c>
      <c r="D208" s="11"/>
      <c r="E208" s="4"/>
      <c r="K208" s="4"/>
    </row>
    <row r="209" spans="2:11" x14ac:dyDescent="0.25">
      <c r="B209">
        <v>560</v>
      </c>
      <c r="C209" s="11" t="s">
        <v>12</v>
      </c>
      <c r="D209" s="11">
        <v>44673</v>
      </c>
      <c r="E209" s="4"/>
      <c r="K209" s="4"/>
    </row>
    <row r="210" spans="2:11" x14ac:dyDescent="0.25">
      <c r="B210">
        <v>-500</v>
      </c>
      <c r="C210" s="11" t="s">
        <v>13</v>
      </c>
      <c r="D210" s="11">
        <v>44673</v>
      </c>
      <c r="E210" s="4"/>
      <c r="K210" s="4"/>
    </row>
    <row r="211" spans="2:11" x14ac:dyDescent="0.25">
      <c r="B211">
        <v>560</v>
      </c>
      <c r="C211" s="11" t="s">
        <v>12</v>
      </c>
      <c r="D211" s="11">
        <v>44680</v>
      </c>
      <c r="E211" s="4"/>
      <c r="K211" s="4"/>
    </row>
    <row r="212" spans="2:11" x14ac:dyDescent="0.25">
      <c r="B212">
        <v>-600</v>
      </c>
      <c r="C212" s="11" t="s">
        <v>13</v>
      </c>
      <c r="D212" s="11">
        <v>44680</v>
      </c>
      <c r="E212" s="4"/>
      <c r="K212" s="4"/>
    </row>
    <row r="213" spans="2:11" x14ac:dyDescent="0.25">
      <c r="B213">
        <v>280</v>
      </c>
      <c r="C213" s="11" t="s">
        <v>12</v>
      </c>
      <c r="D213" s="11">
        <v>44688</v>
      </c>
      <c r="E213" s="4"/>
      <c r="K213" s="4"/>
    </row>
    <row r="214" spans="2:11" x14ac:dyDescent="0.25">
      <c r="B214">
        <v>-300</v>
      </c>
      <c r="C214" s="11" t="s">
        <v>13</v>
      </c>
      <c r="D214" s="11"/>
      <c r="E214" s="4"/>
      <c r="K214" s="4"/>
    </row>
    <row r="215" spans="2:11" x14ac:dyDescent="0.25">
      <c r="B215">
        <v>560</v>
      </c>
      <c r="C215" s="11" t="s">
        <v>12</v>
      </c>
      <c r="D215" s="11"/>
      <c r="E215" s="4"/>
      <c r="K215" s="4"/>
    </row>
    <row r="216" spans="2:11" x14ac:dyDescent="0.25">
      <c r="B216">
        <v>-600</v>
      </c>
      <c r="C216" s="11" t="s">
        <v>13</v>
      </c>
      <c r="D216" s="11">
        <v>44695</v>
      </c>
      <c r="E216" s="4"/>
      <c r="K216" s="4"/>
    </row>
    <row r="217" spans="2:11" x14ac:dyDescent="0.25">
      <c r="B217">
        <v>880</v>
      </c>
      <c r="C217" s="11" t="s">
        <v>12</v>
      </c>
      <c r="D217" s="11">
        <v>44698</v>
      </c>
      <c r="E217" s="4"/>
      <c r="K217" s="4"/>
    </row>
    <row r="218" spans="2:11" x14ac:dyDescent="0.25">
      <c r="B218">
        <v>-800</v>
      </c>
      <c r="C218" s="11" t="s">
        <v>13</v>
      </c>
      <c r="D218" s="11"/>
      <c r="E218" s="4"/>
      <c r="K218" s="4"/>
    </row>
    <row r="219" spans="2:11" x14ac:dyDescent="0.25">
      <c r="B219">
        <v>560</v>
      </c>
      <c r="C219" s="11" t="s">
        <v>12</v>
      </c>
      <c r="D219" s="11"/>
      <c r="E219" s="4"/>
      <c r="K219" s="4"/>
    </row>
    <row r="220" spans="2:11" x14ac:dyDescent="0.25">
      <c r="B220">
        <v>-600</v>
      </c>
      <c r="C220" s="11" t="s">
        <v>13</v>
      </c>
      <c r="D220" s="11"/>
      <c r="E220" s="4"/>
      <c r="K220" s="4"/>
    </row>
    <row r="221" spans="2:11" x14ac:dyDescent="0.25">
      <c r="B221">
        <v>560</v>
      </c>
      <c r="C221" s="11" t="s">
        <v>74</v>
      </c>
      <c r="D221" s="11"/>
      <c r="E221" s="4"/>
      <c r="K221" s="4"/>
    </row>
    <row r="222" spans="2:11" x14ac:dyDescent="0.25">
      <c r="B222">
        <v>-500</v>
      </c>
      <c r="C222" s="11" t="s">
        <v>13</v>
      </c>
      <c r="D222" s="11">
        <v>44704</v>
      </c>
      <c r="E222" s="4"/>
      <c r="K222" s="4"/>
    </row>
    <row r="223" spans="2:11" x14ac:dyDescent="0.25">
      <c r="B223">
        <v>560</v>
      </c>
      <c r="C223" s="11" t="s">
        <v>12</v>
      </c>
      <c r="D223" s="11">
        <v>44707</v>
      </c>
      <c r="E223" s="4"/>
      <c r="K223" s="4"/>
    </row>
    <row r="224" spans="2:11" x14ac:dyDescent="0.25">
      <c r="B224">
        <v>-600</v>
      </c>
      <c r="C224" s="11" t="s">
        <v>13</v>
      </c>
      <c r="D224" s="11"/>
      <c r="E224" s="4"/>
      <c r="K224" s="4"/>
    </row>
    <row r="225" spans="2:11" x14ac:dyDescent="0.25">
      <c r="B225">
        <v>560</v>
      </c>
      <c r="C225" s="11" t="s">
        <v>12</v>
      </c>
      <c r="D225" s="11">
        <v>44713</v>
      </c>
      <c r="E225" s="4"/>
      <c r="K225" s="4"/>
    </row>
    <row r="226" spans="2:11" x14ac:dyDescent="0.25">
      <c r="B226">
        <v>-600</v>
      </c>
      <c r="C226" s="11" t="s">
        <v>13</v>
      </c>
      <c r="D226" s="11">
        <v>44713</v>
      </c>
      <c r="E226" s="4"/>
      <c r="K226" s="4"/>
    </row>
    <row r="227" spans="2:11" x14ac:dyDescent="0.25">
      <c r="B227">
        <v>280</v>
      </c>
      <c r="C227" s="11" t="s">
        <v>12</v>
      </c>
      <c r="D227" s="11">
        <v>44719</v>
      </c>
      <c r="E227" s="4"/>
      <c r="K227" s="4"/>
    </row>
    <row r="228" spans="2:11" x14ac:dyDescent="0.25">
      <c r="B228">
        <v>-300</v>
      </c>
      <c r="C228" s="11" t="s">
        <v>13</v>
      </c>
      <c r="D228" s="11">
        <v>44719</v>
      </c>
      <c r="E228" s="4"/>
      <c r="K228" s="4"/>
    </row>
    <row r="229" spans="2:11" x14ac:dyDescent="0.25">
      <c r="B229">
        <v>560</v>
      </c>
      <c r="C229" s="11" t="s">
        <v>12</v>
      </c>
      <c r="D229" s="11">
        <v>44723</v>
      </c>
      <c r="E229" s="4"/>
      <c r="K229" s="4"/>
    </row>
    <row r="230" spans="2:11" x14ac:dyDescent="0.25">
      <c r="B230">
        <v>-600</v>
      </c>
      <c r="C230" s="11" t="s">
        <v>13</v>
      </c>
      <c r="D230" s="11"/>
      <c r="E230" s="4"/>
      <c r="K230" s="4"/>
    </row>
    <row r="231" spans="2:11" x14ac:dyDescent="0.25">
      <c r="B231">
        <v>1160</v>
      </c>
      <c r="C231" s="11" t="s">
        <v>74</v>
      </c>
      <c r="D231" s="11"/>
      <c r="E231" s="4"/>
      <c r="K231" s="4"/>
    </row>
    <row r="232" spans="2:11" x14ac:dyDescent="0.25">
      <c r="B232">
        <v>-1000</v>
      </c>
      <c r="C232" s="11" t="s">
        <v>13</v>
      </c>
      <c r="D232" s="11">
        <v>44727</v>
      </c>
      <c r="E232" s="4"/>
      <c r="K232" s="4"/>
    </row>
    <row r="233" spans="2:11" x14ac:dyDescent="0.25">
      <c r="B233">
        <v>560</v>
      </c>
      <c r="C233" s="11" t="s">
        <v>12</v>
      </c>
      <c r="D233" s="11">
        <v>44730</v>
      </c>
      <c r="E233" s="4"/>
      <c r="K233" s="4"/>
    </row>
    <row r="234" spans="2:11" x14ac:dyDescent="0.25">
      <c r="B234">
        <v>-600</v>
      </c>
      <c r="C234" s="11" t="s">
        <v>13</v>
      </c>
      <c r="D234" s="11">
        <v>44730</v>
      </c>
      <c r="E234" s="4"/>
      <c r="K234" s="4"/>
    </row>
    <row r="235" spans="2:11" x14ac:dyDescent="0.25">
      <c r="B235">
        <v>560</v>
      </c>
      <c r="C235" s="11" t="s">
        <v>12</v>
      </c>
      <c r="D235" s="11">
        <v>44734</v>
      </c>
      <c r="E235" s="4"/>
      <c r="K235" s="4"/>
    </row>
    <row r="236" spans="2:11" x14ac:dyDescent="0.25">
      <c r="B236">
        <v>-600</v>
      </c>
      <c r="C236" s="11" t="s">
        <v>13</v>
      </c>
      <c r="D236" s="11">
        <v>44734</v>
      </c>
      <c r="E236" s="4"/>
      <c r="K236" s="4"/>
    </row>
    <row r="237" spans="2:11" x14ac:dyDescent="0.25">
      <c r="B237">
        <v>280</v>
      </c>
      <c r="C237" s="11" t="s">
        <v>12</v>
      </c>
      <c r="D237" s="11">
        <v>44736</v>
      </c>
      <c r="E237" s="4"/>
      <c r="K237" s="4"/>
    </row>
    <row r="238" spans="2:11" x14ac:dyDescent="0.25">
      <c r="B238">
        <v>-300</v>
      </c>
      <c r="C238" s="11" t="s">
        <v>13</v>
      </c>
      <c r="D238" s="11">
        <v>44736</v>
      </c>
      <c r="E238" s="4"/>
      <c r="K238" s="4"/>
    </row>
    <row r="239" spans="2:11" x14ac:dyDescent="0.25">
      <c r="B239">
        <v>280</v>
      </c>
      <c r="C239" s="11" t="s">
        <v>12</v>
      </c>
      <c r="D239" s="11">
        <v>44744</v>
      </c>
      <c r="E239" s="4"/>
      <c r="K239" s="4"/>
    </row>
    <row r="240" spans="2:11" x14ac:dyDescent="0.25">
      <c r="B240">
        <v>-300</v>
      </c>
      <c r="C240" s="11" t="s">
        <v>13</v>
      </c>
      <c r="D240" s="11">
        <v>44744</v>
      </c>
      <c r="E240" s="4"/>
      <c r="K240" s="4"/>
    </row>
    <row r="241" spans="2:11" x14ac:dyDescent="0.25">
      <c r="B241">
        <v>880</v>
      </c>
      <c r="C241" s="11" t="s">
        <v>12</v>
      </c>
      <c r="D241" s="11">
        <v>44747</v>
      </c>
      <c r="E241" s="4"/>
      <c r="K241" s="4"/>
    </row>
    <row r="242" spans="2:11" x14ac:dyDescent="0.25">
      <c r="B242">
        <v>-800</v>
      </c>
      <c r="C242" s="11" t="s">
        <v>13</v>
      </c>
      <c r="D242" s="11">
        <v>44747</v>
      </c>
      <c r="E242" s="4"/>
      <c r="K242" s="4"/>
    </row>
    <row r="243" spans="2:11" x14ac:dyDescent="0.25">
      <c r="B243">
        <v>560</v>
      </c>
      <c r="C243" s="11" t="s">
        <v>12</v>
      </c>
      <c r="D243" s="11">
        <v>44749</v>
      </c>
      <c r="E243" s="4"/>
      <c r="K243" s="4"/>
    </row>
    <row r="244" spans="2:11" x14ac:dyDescent="0.25">
      <c r="B244">
        <v>-600</v>
      </c>
      <c r="C244" s="11" t="s">
        <v>13</v>
      </c>
      <c r="D244" s="11"/>
      <c r="E244" s="4"/>
      <c r="K244" s="4"/>
    </row>
    <row r="245" spans="2:11" x14ac:dyDescent="0.25">
      <c r="B245">
        <v>1160</v>
      </c>
      <c r="C245" s="11" t="s">
        <v>12</v>
      </c>
      <c r="D245" s="11">
        <v>44753</v>
      </c>
      <c r="E245" s="4"/>
      <c r="K245" s="4"/>
    </row>
    <row r="246" spans="2:11" x14ac:dyDescent="0.25">
      <c r="B246">
        <v>-1100</v>
      </c>
      <c r="C246" s="11" t="s">
        <v>13</v>
      </c>
      <c r="D246" s="11">
        <v>44753</v>
      </c>
      <c r="E246" s="4"/>
      <c r="K246" s="4"/>
    </row>
    <row r="247" spans="2:11" x14ac:dyDescent="0.25">
      <c r="B247">
        <v>1160</v>
      </c>
      <c r="C247" s="11" t="s">
        <v>12</v>
      </c>
      <c r="D247" s="11">
        <v>44762</v>
      </c>
      <c r="E247" s="4"/>
      <c r="K247" s="4"/>
    </row>
    <row r="248" spans="2:11" x14ac:dyDescent="0.25">
      <c r="B248">
        <v>-1200</v>
      </c>
      <c r="C248" s="11" t="s">
        <v>13</v>
      </c>
      <c r="D248" s="11"/>
      <c r="E248" s="4"/>
      <c r="K248" s="4"/>
    </row>
    <row r="249" spans="2:11" x14ac:dyDescent="0.25">
      <c r="B249">
        <v>560</v>
      </c>
      <c r="C249" s="11" t="s">
        <v>12</v>
      </c>
      <c r="D249" s="11"/>
      <c r="E249" s="4"/>
      <c r="K249" s="4"/>
    </row>
    <row r="250" spans="2:11" x14ac:dyDescent="0.25">
      <c r="B250">
        <v>-560</v>
      </c>
      <c r="C250" s="11" t="s">
        <v>13</v>
      </c>
      <c r="D250" s="11"/>
      <c r="E250" s="4"/>
      <c r="K250" s="4"/>
    </row>
    <row r="251" spans="2:11" x14ac:dyDescent="0.25">
      <c r="B251">
        <v>560</v>
      </c>
      <c r="C251" s="11" t="s">
        <v>12</v>
      </c>
      <c r="D251" s="11">
        <v>44772</v>
      </c>
      <c r="E251" s="4"/>
      <c r="K251" s="4"/>
    </row>
    <row r="252" spans="2:11" x14ac:dyDescent="0.25">
      <c r="B252">
        <v>-550</v>
      </c>
      <c r="C252" s="11" t="s">
        <v>13</v>
      </c>
      <c r="D252" s="11"/>
      <c r="E252" s="4"/>
      <c r="K252" s="4"/>
    </row>
    <row r="253" spans="2:11" x14ac:dyDescent="0.25">
      <c r="B253">
        <v>900</v>
      </c>
      <c r="C253" s="11" t="s">
        <v>13</v>
      </c>
      <c r="D253" s="11"/>
      <c r="E253" s="4"/>
      <c r="K253" s="4"/>
    </row>
    <row r="254" spans="2:11" x14ac:dyDescent="0.25">
      <c r="B254">
        <v>-880</v>
      </c>
      <c r="C254" s="11" t="s">
        <v>12</v>
      </c>
      <c r="D254" s="11">
        <v>44775</v>
      </c>
      <c r="E254" s="4"/>
      <c r="K254" s="4"/>
    </row>
    <row r="255" spans="2:11" x14ac:dyDescent="0.25">
      <c r="B255">
        <v>1160</v>
      </c>
      <c r="C255" s="11" t="s">
        <v>74</v>
      </c>
      <c r="D255" s="11">
        <v>44779</v>
      </c>
      <c r="E255" s="4"/>
      <c r="K255" s="4"/>
    </row>
    <row r="256" spans="2:11" x14ac:dyDescent="0.25">
      <c r="B256">
        <v>-2200</v>
      </c>
      <c r="C256" s="11" t="s">
        <v>93</v>
      </c>
      <c r="D256" s="11">
        <v>44779</v>
      </c>
      <c r="E256" s="4"/>
      <c r="K256" s="4"/>
    </row>
    <row r="257" spans="2:11" x14ac:dyDescent="0.25">
      <c r="B257">
        <v>2080</v>
      </c>
      <c r="C257" s="11" t="s">
        <v>74</v>
      </c>
      <c r="D257" s="11">
        <v>44784</v>
      </c>
      <c r="E257" s="4"/>
      <c r="K257" s="4"/>
    </row>
    <row r="258" spans="2:11" x14ac:dyDescent="0.25">
      <c r="B258">
        <v>-1900</v>
      </c>
      <c r="C258" s="11" t="s">
        <v>13</v>
      </c>
      <c r="D258" s="11">
        <v>44784</v>
      </c>
      <c r="E258" s="4"/>
      <c r="K258" s="4"/>
    </row>
    <row r="259" spans="2:11" x14ac:dyDescent="0.25">
      <c r="B259">
        <v>280</v>
      </c>
      <c r="C259" s="11" t="s">
        <v>12</v>
      </c>
      <c r="D259" s="11">
        <v>44789</v>
      </c>
      <c r="E259" s="4"/>
      <c r="K259" s="4"/>
    </row>
    <row r="260" spans="2:11" x14ac:dyDescent="0.25">
      <c r="B260">
        <v>2000</v>
      </c>
      <c r="C260" s="11" t="s">
        <v>12</v>
      </c>
      <c r="D260" s="11">
        <v>44797</v>
      </c>
      <c r="E260" s="4"/>
      <c r="K260" s="4"/>
    </row>
    <row r="261" spans="2:11" x14ac:dyDescent="0.25">
      <c r="B261">
        <v>-2400</v>
      </c>
      <c r="C261" s="11" t="s">
        <v>13</v>
      </c>
      <c r="D261" s="11">
        <v>44797</v>
      </c>
      <c r="E261" s="4"/>
      <c r="K261" s="4"/>
    </row>
    <row r="262" spans="2:11" x14ac:dyDescent="0.25">
      <c r="B262">
        <v>1760</v>
      </c>
      <c r="C262" s="11" t="s">
        <v>12</v>
      </c>
      <c r="D262" s="11">
        <v>44800</v>
      </c>
      <c r="E262" s="4"/>
      <c r="K262" s="4"/>
    </row>
    <row r="263" spans="2:11" x14ac:dyDescent="0.25">
      <c r="B263">
        <v>-1800</v>
      </c>
      <c r="C263" s="11" t="s">
        <v>13</v>
      </c>
      <c r="D263" s="11">
        <v>44800</v>
      </c>
      <c r="E263" s="4"/>
      <c r="K263" s="4"/>
    </row>
    <row r="264" spans="2:11" x14ac:dyDescent="0.25">
      <c r="B264">
        <v>280</v>
      </c>
      <c r="C264" s="11" t="s">
        <v>74</v>
      </c>
      <c r="D264" s="11">
        <v>44804</v>
      </c>
      <c r="E264" s="4"/>
      <c r="K264" s="4"/>
    </row>
    <row r="265" spans="2:11" x14ac:dyDescent="0.25">
      <c r="B265">
        <v>280</v>
      </c>
      <c r="C265" s="11" t="s">
        <v>12</v>
      </c>
      <c r="D265" s="11">
        <v>44809</v>
      </c>
      <c r="E265" s="4"/>
      <c r="K265" s="4"/>
    </row>
    <row r="266" spans="2:11" x14ac:dyDescent="0.25">
      <c r="B266">
        <v>360</v>
      </c>
      <c r="C266" s="11" t="s">
        <v>12</v>
      </c>
      <c r="D266" s="11">
        <v>44812</v>
      </c>
      <c r="E266" s="4"/>
      <c r="K266" s="4"/>
    </row>
    <row r="267" spans="2:11" x14ac:dyDescent="0.25">
      <c r="B267">
        <v>560</v>
      </c>
      <c r="C267" s="11" t="s">
        <v>12</v>
      </c>
      <c r="D267" s="11">
        <v>44816</v>
      </c>
      <c r="E267" s="4"/>
      <c r="K267" s="4"/>
    </row>
    <row r="268" spans="2:11" x14ac:dyDescent="0.25">
      <c r="B268">
        <v>-560</v>
      </c>
      <c r="C268" s="11" t="s">
        <v>13</v>
      </c>
      <c r="D268" s="11"/>
      <c r="E268" s="4"/>
      <c r="K268" s="4"/>
    </row>
    <row r="269" spans="2:11" x14ac:dyDescent="0.25">
      <c r="B269">
        <v>560</v>
      </c>
      <c r="C269" s="11" t="s">
        <v>74</v>
      </c>
      <c r="D269" s="11">
        <v>44818</v>
      </c>
      <c r="E269" s="4"/>
      <c r="K269" s="4"/>
    </row>
    <row r="270" spans="2:11" x14ac:dyDescent="0.25">
      <c r="B270">
        <v>-500</v>
      </c>
      <c r="C270" s="11" t="s">
        <v>13</v>
      </c>
      <c r="D270" s="11">
        <v>44818</v>
      </c>
      <c r="E270" s="4"/>
      <c r="K270" s="4"/>
    </row>
    <row r="271" spans="2:11" x14ac:dyDescent="0.25">
      <c r="B271">
        <v>600</v>
      </c>
      <c r="C271" s="11" t="s">
        <v>74</v>
      </c>
      <c r="D271" s="11">
        <v>44825</v>
      </c>
      <c r="E271" s="4"/>
      <c r="K271" s="4"/>
    </row>
    <row r="272" spans="2:11" x14ac:dyDescent="0.25">
      <c r="B272">
        <v>-600</v>
      </c>
      <c r="C272" s="11" t="s">
        <v>13</v>
      </c>
      <c r="D272" s="11"/>
      <c r="E272" s="4"/>
      <c r="K272" s="4"/>
    </row>
    <row r="273" spans="2:11" x14ac:dyDescent="0.25">
      <c r="B273">
        <v>560</v>
      </c>
      <c r="C273" s="11" t="s">
        <v>74</v>
      </c>
      <c r="D273" s="11">
        <v>44827</v>
      </c>
      <c r="E273" s="4"/>
      <c r="K273" s="4"/>
    </row>
    <row r="274" spans="2:11" x14ac:dyDescent="0.25">
      <c r="B274">
        <v>-500</v>
      </c>
      <c r="C274" s="11" t="s">
        <v>13</v>
      </c>
      <c r="D274" s="11">
        <v>44827</v>
      </c>
      <c r="E274" s="4"/>
      <c r="K274" s="4"/>
    </row>
    <row r="275" spans="2:11" x14ac:dyDescent="0.25">
      <c r="B275">
        <v>560</v>
      </c>
      <c r="C275" s="11" t="s">
        <v>74</v>
      </c>
      <c r="D275" s="11">
        <v>44837</v>
      </c>
      <c r="E275" s="4"/>
      <c r="K275" s="4"/>
    </row>
    <row r="276" spans="2:11" x14ac:dyDescent="0.25">
      <c r="B276">
        <v>-600</v>
      </c>
      <c r="C276" s="11" t="s">
        <v>13</v>
      </c>
      <c r="D276" s="11">
        <v>44837</v>
      </c>
      <c r="E276" s="4"/>
      <c r="K276" s="4"/>
    </row>
    <row r="277" spans="2:11" x14ac:dyDescent="0.25">
      <c r="C277" s="11" t="s">
        <v>74</v>
      </c>
      <c r="D277" s="11"/>
      <c r="E277" s="4"/>
      <c r="K277" s="4"/>
    </row>
    <row r="278" spans="2:11" x14ac:dyDescent="0.25">
      <c r="B278">
        <v>560</v>
      </c>
      <c r="C278" s="11" t="s">
        <v>12</v>
      </c>
      <c r="D278" s="11">
        <v>44839</v>
      </c>
      <c r="E278" s="4"/>
      <c r="K278" s="4"/>
    </row>
    <row r="279" spans="2:11" x14ac:dyDescent="0.25">
      <c r="B279">
        <v>-600</v>
      </c>
      <c r="C279" s="11" t="s">
        <v>13</v>
      </c>
      <c r="D279" s="11">
        <v>44839</v>
      </c>
      <c r="E279" s="4"/>
      <c r="K279" s="4"/>
    </row>
    <row r="280" spans="2:11" x14ac:dyDescent="0.25">
      <c r="B280">
        <v>840</v>
      </c>
      <c r="C280" s="11" t="s">
        <v>74</v>
      </c>
      <c r="D280" s="11">
        <v>44846</v>
      </c>
      <c r="E280" s="4"/>
      <c r="K280" s="4"/>
    </row>
    <row r="281" spans="2:11" x14ac:dyDescent="0.25">
      <c r="B281">
        <v>-800</v>
      </c>
      <c r="C281" s="11" t="s">
        <v>93</v>
      </c>
      <c r="D281" s="11">
        <v>44846</v>
      </c>
      <c r="E281" s="4"/>
      <c r="K281" s="4"/>
    </row>
    <row r="282" spans="2:11" x14ac:dyDescent="0.25">
      <c r="B282">
        <v>560</v>
      </c>
      <c r="C282" s="11" t="s">
        <v>12</v>
      </c>
      <c r="D282" s="11">
        <v>44848</v>
      </c>
      <c r="E282" s="4"/>
      <c r="K282" s="4"/>
    </row>
    <row r="283" spans="2:11" x14ac:dyDescent="0.25">
      <c r="B283">
        <v>-600</v>
      </c>
      <c r="C283" s="11" t="s">
        <v>13</v>
      </c>
      <c r="D283" s="11"/>
      <c r="E283" s="4"/>
      <c r="K283" s="4"/>
    </row>
    <row r="284" spans="2:11" x14ac:dyDescent="0.25">
      <c r="B284">
        <v>580</v>
      </c>
      <c r="C284" s="11" t="s">
        <v>12</v>
      </c>
      <c r="D284" s="11"/>
      <c r="E284" s="4"/>
      <c r="K284" s="4"/>
    </row>
    <row r="285" spans="2:11" x14ac:dyDescent="0.25">
      <c r="B285">
        <v>-500</v>
      </c>
      <c r="C285" s="11" t="s">
        <v>13</v>
      </c>
      <c r="D285" s="11"/>
      <c r="E285" s="4"/>
      <c r="K285" s="4"/>
    </row>
    <row r="286" spans="2:11" x14ac:dyDescent="0.25">
      <c r="B286">
        <v>1680</v>
      </c>
      <c r="C286" s="11" t="s">
        <v>12</v>
      </c>
      <c r="D286" s="11">
        <v>44868</v>
      </c>
      <c r="E286" s="4"/>
      <c r="K286" s="4"/>
    </row>
    <row r="287" spans="2:11" x14ac:dyDescent="0.25">
      <c r="B287">
        <v>-1700</v>
      </c>
      <c r="C287" s="11" t="s">
        <v>13</v>
      </c>
      <c r="D287" s="11">
        <v>44868</v>
      </c>
      <c r="E287" s="4"/>
      <c r="K287" s="4"/>
    </row>
    <row r="288" spans="2:11" x14ac:dyDescent="0.25">
      <c r="B288">
        <v>400</v>
      </c>
      <c r="C288" s="11" t="s">
        <v>12</v>
      </c>
      <c r="D288" s="11">
        <v>44873</v>
      </c>
      <c r="E288" s="4"/>
      <c r="K288" s="4"/>
    </row>
    <row r="289" spans="2:11" x14ac:dyDescent="0.25">
      <c r="B289">
        <v>-400</v>
      </c>
      <c r="C289" s="11" t="s">
        <v>13</v>
      </c>
      <c r="D289" s="11"/>
      <c r="E289" s="4"/>
      <c r="K289" s="4"/>
    </row>
    <row r="290" spans="2:11" x14ac:dyDescent="0.25">
      <c r="B290">
        <v>1200</v>
      </c>
      <c r="C290" s="11" t="s">
        <v>12</v>
      </c>
      <c r="D290" s="11"/>
      <c r="E290" s="4"/>
      <c r="K290" s="4"/>
    </row>
    <row r="291" spans="2:11" x14ac:dyDescent="0.25">
      <c r="B291">
        <v>-1200</v>
      </c>
      <c r="C291" s="11" t="s">
        <v>13</v>
      </c>
      <c r="D291" s="11"/>
      <c r="E291" s="4"/>
      <c r="K291" s="4"/>
    </row>
    <row r="292" spans="2:11" x14ac:dyDescent="0.25">
      <c r="B292">
        <v>400</v>
      </c>
      <c r="C292" s="11" t="s">
        <v>12</v>
      </c>
      <c r="D292" s="11"/>
      <c r="E292" s="4"/>
      <c r="K292" s="4"/>
    </row>
    <row r="293" spans="2:11" x14ac:dyDescent="0.25">
      <c r="B293">
        <v>-400</v>
      </c>
      <c r="C293" s="11" t="s">
        <v>13</v>
      </c>
      <c r="D293" s="11"/>
      <c r="E293" s="4"/>
      <c r="K293" s="4"/>
    </row>
    <row r="294" spans="2:11" x14ac:dyDescent="0.25">
      <c r="B294">
        <v>1200</v>
      </c>
      <c r="C294" s="11" t="s">
        <v>12</v>
      </c>
      <c r="D294" s="11"/>
      <c r="E294" s="4"/>
      <c r="K294" s="4"/>
    </row>
    <row r="295" spans="2:11" x14ac:dyDescent="0.25">
      <c r="B295">
        <v>-1200</v>
      </c>
      <c r="C295" s="11" t="s">
        <v>13</v>
      </c>
      <c r="D295" s="11"/>
      <c r="E295" s="4"/>
      <c r="K295" s="4"/>
    </row>
    <row r="296" spans="2:11" x14ac:dyDescent="0.25">
      <c r="B296">
        <v>400</v>
      </c>
      <c r="C296" s="11" t="s">
        <v>221</v>
      </c>
      <c r="D296" s="11">
        <v>44902</v>
      </c>
      <c r="E296" s="4"/>
      <c r="K296" s="4"/>
    </row>
    <row r="297" spans="2:11" x14ac:dyDescent="0.25">
      <c r="B297">
        <v>-500</v>
      </c>
      <c r="C297" s="11" t="s">
        <v>13</v>
      </c>
      <c r="D297" s="11">
        <v>44902</v>
      </c>
      <c r="E297" s="4"/>
      <c r="K297" s="4"/>
    </row>
    <row r="298" spans="2:11" x14ac:dyDescent="0.25">
      <c r="B298">
        <v>400</v>
      </c>
      <c r="C298" s="11" t="s">
        <v>12</v>
      </c>
      <c r="D298" s="11">
        <v>44905</v>
      </c>
      <c r="E298" s="4"/>
      <c r="K298" s="4"/>
    </row>
    <row r="299" spans="2:11" x14ac:dyDescent="0.25">
      <c r="B299">
        <v>-400</v>
      </c>
      <c r="C299" s="11" t="s">
        <v>13</v>
      </c>
      <c r="D299" s="11"/>
      <c r="E299" s="4"/>
      <c r="K299" s="4"/>
    </row>
    <row r="300" spans="2:11" x14ac:dyDescent="0.25">
      <c r="B300">
        <v>400</v>
      </c>
      <c r="C300" s="11" t="s">
        <v>12</v>
      </c>
      <c r="D300" s="11">
        <v>44911</v>
      </c>
      <c r="E300" s="4"/>
      <c r="K300" s="4"/>
    </row>
    <row r="301" spans="2:11" x14ac:dyDescent="0.25">
      <c r="B301">
        <v>-400</v>
      </c>
      <c r="C301" s="11" t="s">
        <v>13</v>
      </c>
      <c r="D301" s="11"/>
      <c r="E301" s="4"/>
      <c r="K301" s="4"/>
    </row>
    <row r="302" spans="2:11" x14ac:dyDescent="0.25">
      <c r="B302">
        <v>800</v>
      </c>
      <c r="C302" s="11" t="s">
        <v>12</v>
      </c>
      <c r="D302" s="11"/>
      <c r="E302" s="4"/>
      <c r="K302" s="4"/>
    </row>
    <row r="303" spans="2:11" x14ac:dyDescent="0.25">
      <c r="B303">
        <v>-800</v>
      </c>
      <c r="C303" s="11" t="s">
        <v>13</v>
      </c>
      <c r="D303" s="11"/>
      <c r="E303" s="4"/>
      <c r="K303" s="4"/>
    </row>
    <row r="304" spans="2:11" x14ac:dyDescent="0.25">
      <c r="B304">
        <v>400</v>
      </c>
      <c r="C304" s="11" t="s">
        <v>74</v>
      </c>
      <c r="D304" s="11">
        <v>44921</v>
      </c>
      <c r="E304" s="4"/>
      <c r="K304" s="4"/>
    </row>
    <row r="305" spans="2:11" x14ac:dyDescent="0.25">
      <c r="B305">
        <v>-400</v>
      </c>
      <c r="C305" s="11" t="s">
        <v>13</v>
      </c>
      <c r="D305" s="11">
        <v>44921</v>
      </c>
      <c r="E305" s="4"/>
      <c r="K305" s="4"/>
    </row>
    <row r="306" spans="2:11" x14ac:dyDescent="0.25">
      <c r="B306">
        <v>1200</v>
      </c>
      <c r="C306" s="11" t="s">
        <v>12</v>
      </c>
      <c r="D306" s="11">
        <v>44930</v>
      </c>
      <c r="E306" s="4"/>
      <c r="K306" s="4"/>
    </row>
    <row r="307" spans="2:11" x14ac:dyDescent="0.25">
      <c r="B307">
        <v>-1200</v>
      </c>
      <c r="C307" s="11" t="s">
        <v>13</v>
      </c>
      <c r="D307" s="11">
        <v>44930</v>
      </c>
      <c r="E307" s="4"/>
      <c r="K307" s="4"/>
    </row>
    <row r="308" spans="2:11" x14ac:dyDescent="0.25">
      <c r="B308">
        <v>1600</v>
      </c>
      <c r="C308" s="11" t="s">
        <v>12</v>
      </c>
      <c r="D308" s="11">
        <v>44938</v>
      </c>
      <c r="E308" s="4"/>
      <c r="K308" s="4"/>
    </row>
    <row r="309" spans="2:11" x14ac:dyDescent="0.25">
      <c r="B309">
        <v>-1600</v>
      </c>
      <c r="C309" s="11" t="s">
        <v>13</v>
      </c>
      <c r="D309" s="11"/>
      <c r="E309" s="4"/>
      <c r="K309" s="4"/>
    </row>
    <row r="310" spans="2:11" x14ac:dyDescent="0.25">
      <c r="B310">
        <v>400</v>
      </c>
      <c r="C310" s="11" t="s">
        <v>12</v>
      </c>
      <c r="D310" s="11"/>
      <c r="E310" s="4"/>
      <c r="K310" s="4"/>
    </row>
    <row r="311" spans="2:11" x14ac:dyDescent="0.25">
      <c r="B311">
        <v>400</v>
      </c>
      <c r="C311" s="11" t="s">
        <v>12</v>
      </c>
      <c r="D311" s="11">
        <v>44949</v>
      </c>
      <c r="E311" s="4"/>
      <c r="K311" s="4"/>
    </row>
    <row r="312" spans="2:11" x14ac:dyDescent="0.25">
      <c r="B312">
        <v>-700</v>
      </c>
      <c r="C312" s="11" t="s">
        <v>13</v>
      </c>
      <c r="D312" s="11"/>
      <c r="E312" s="4"/>
      <c r="K312" s="4"/>
    </row>
    <row r="313" spans="2:11" x14ac:dyDescent="0.25">
      <c r="B313">
        <v>400</v>
      </c>
      <c r="C313" s="11" t="s">
        <v>74</v>
      </c>
      <c r="D313" s="11">
        <v>44953</v>
      </c>
      <c r="E313" s="4"/>
      <c r="K313" s="4"/>
    </row>
    <row r="314" spans="2:11" x14ac:dyDescent="0.25">
      <c r="B314">
        <v>-500</v>
      </c>
      <c r="C314" s="11" t="s">
        <v>13</v>
      </c>
      <c r="D314" s="11">
        <v>44953</v>
      </c>
      <c r="E314" s="4"/>
      <c r="K314" s="4"/>
    </row>
    <row r="315" spans="2:11" x14ac:dyDescent="0.25">
      <c r="B315">
        <v>800</v>
      </c>
      <c r="C315" s="11" t="s">
        <v>12</v>
      </c>
      <c r="D315" s="11">
        <v>44958</v>
      </c>
      <c r="E315" s="4"/>
      <c r="K315" s="4"/>
    </row>
    <row r="316" spans="2:11" x14ac:dyDescent="0.25">
      <c r="B316">
        <v>-700</v>
      </c>
      <c r="C316" s="11" t="s">
        <v>13</v>
      </c>
      <c r="D316" s="11" t="s">
        <v>228</v>
      </c>
      <c r="E316" s="4"/>
      <c r="K316" s="4"/>
    </row>
    <row r="317" spans="2:11" x14ac:dyDescent="0.25">
      <c r="B317">
        <v>2400</v>
      </c>
      <c r="C317" s="11" t="s">
        <v>12</v>
      </c>
      <c r="D317" s="11">
        <v>44967</v>
      </c>
      <c r="E317" s="4"/>
      <c r="K317" s="4"/>
    </row>
    <row r="318" spans="2:11" x14ac:dyDescent="0.25">
      <c r="B318">
        <v>-2400</v>
      </c>
      <c r="C318" s="11" t="s">
        <v>13</v>
      </c>
      <c r="D318" s="11"/>
      <c r="E318" s="4"/>
      <c r="K318" s="4"/>
    </row>
    <row r="319" spans="2:11" x14ac:dyDescent="0.25">
      <c r="B319">
        <v>-300</v>
      </c>
      <c r="C319" s="11" t="s">
        <v>190</v>
      </c>
      <c r="D319" s="11">
        <v>44988</v>
      </c>
      <c r="E319" s="4"/>
      <c r="K319" s="4"/>
    </row>
    <row r="320" spans="2:11" x14ac:dyDescent="0.25">
      <c r="B320">
        <v>800</v>
      </c>
      <c r="C320" s="11" t="s">
        <v>12</v>
      </c>
      <c r="D320" s="11">
        <v>44989</v>
      </c>
      <c r="E320" s="4"/>
      <c r="K320" s="4"/>
    </row>
    <row r="321" spans="2:11" x14ac:dyDescent="0.25">
      <c r="B321">
        <v>-800</v>
      </c>
      <c r="C321" s="11" t="s">
        <v>13</v>
      </c>
      <c r="D321" s="11"/>
      <c r="E321" s="4"/>
      <c r="K321" s="4"/>
    </row>
    <row r="322" spans="2:11" x14ac:dyDescent="0.25">
      <c r="B322">
        <v>800</v>
      </c>
      <c r="C322" s="11" t="s">
        <v>12</v>
      </c>
      <c r="D322" s="11"/>
      <c r="E322" s="4"/>
      <c r="K322" s="4"/>
    </row>
    <row r="323" spans="2:11" x14ac:dyDescent="0.25">
      <c r="B323">
        <v>-800</v>
      </c>
      <c r="C323" s="11" t="s">
        <v>13</v>
      </c>
      <c r="D323" s="11"/>
      <c r="E323" s="4"/>
      <c r="K323" s="4"/>
    </row>
    <row r="324" spans="2:11" x14ac:dyDescent="0.25">
      <c r="B324">
        <v>1600</v>
      </c>
      <c r="C324" s="11" t="s">
        <v>74</v>
      </c>
      <c r="D324" s="11">
        <v>45005</v>
      </c>
      <c r="E324" s="4"/>
      <c r="K324" s="4"/>
    </row>
    <row r="325" spans="2:11" x14ac:dyDescent="0.25">
      <c r="B325">
        <v>-1300</v>
      </c>
      <c r="C325" s="11" t="s">
        <v>13</v>
      </c>
      <c r="D325" s="11">
        <v>45005</v>
      </c>
      <c r="E325" s="4"/>
      <c r="K325" s="4"/>
    </row>
    <row r="326" spans="2:11" x14ac:dyDescent="0.25">
      <c r="B326">
        <v>400</v>
      </c>
      <c r="C326" s="11" t="s">
        <v>74</v>
      </c>
      <c r="D326" s="11">
        <v>45024</v>
      </c>
      <c r="E326" s="4"/>
      <c r="K326" s="4"/>
    </row>
    <row r="327" spans="2:11" x14ac:dyDescent="0.25">
      <c r="B327">
        <v>-400</v>
      </c>
      <c r="C327" s="11" t="s">
        <v>13</v>
      </c>
      <c r="D327" s="11">
        <v>45024</v>
      </c>
      <c r="E327" s="4"/>
      <c r="K327" s="4"/>
    </row>
    <row r="328" spans="2:11" x14ac:dyDescent="0.25">
      <c r="B328">
        <v>400</v>
      </c>
      <c r="C328" s="11" t="s">
        <v>12</v>
      </c>
      <c r="D328" s="11"/>
      <c r="E328" s="4"/>
      <c r="K328" s="4"/>
    </row>
    <row r="329" spans="2:11" x14ac:dyDescent="0.25">
      <c r="B329">
        <v>-400</v>
      </c>
      <c r="C329" s="11" t="s">
        <v>13</v>
      </c>
      <c r="D329" s="11"/>
      <c r="E329" s="4"/>
      <c r="K329" s="4"/>
    </row>
    <row r="330" spans="2:11" x14ac:dyDescent="0.25">
      <c r="B330">
        <v>800</v>
      </c>
      <c r="C330" s="11" t="s">
        <v>12</v>
      </c>
      <c r="D330" s="11">
        <v>45042</v>
      </c>
      <c r="E330" s="4"/>
      <c r="K330" s="4"/>
    </row>
    <row r="331" spans="2:11" x14ac:dyDescent="0.25">
      <c r="B331">
        <v>-800</v>
      </c>
      <c r="C331" s="11" t="s">
        <v>13</v>
      </c>
      <c r="D331" s="11">
        <v>45042</v>
      </c>
      <c r="E331" s="4"/>
      <c r="K331" s="4"/>
    </row>
    <row r="332" spans="2:11" x14ac:dyDescent="0.25">
      <c r="B332">
        <v>1200</v>
      </c>
      <c r="C332" s="11" t="s">
        <v>12</v>
      </c>
      <c r="D332" s="11">
        <v>45051</v>
      </c>
      <c r="E332" s="4"/>
      <c r="K332" s="4"/>
    </row>
    <row r="333" spans="2:11" x14ac:dyDescent="0.25">
      <c r="B333">
        <v>-1200</v>
      </c>
      <c r="C333" s="11" t="s">
        <v>13</v>
      </c>
      <c r="D333" s="11">
        <v>45051</v>
      </c>
      <c r="E333" s="4"/>
      <c r="K333" s="4"/>
    </row>
    <row r="334" spans="2:11" x14ac:dyDescent="0.25">
      <c r="B334">
        <v>400</v>
      </c>
      <c r="C334" s="11" t="s">
        <v>12</v>
      </c>
      <c r="D334" s="11">
        <v>45056</v>
      </c>
      <c r="E334" s="4"/>
      <c r="K334" s="4"/>
    </row>
    <row r="335" spans="2:11" x14ac:dyDescent="0.25">
      <c r="B335">
        <v>-400</v>
      </c>
      <c r="C335" s="11" t="s">
        <v>13</v>
      </c>
      <c r="D335" s="11">
        <v>45056</v>
      </c>
      <c r="E335" s="4"/>
      <c r="K335" s="4"/>
    </row>
    <row r="336" spans="2:11" x14ac:dyDescent="0.25">
      <c r="B336">
        <v>1800</v>
      </c>
      <c r="C336" s="11" t="s">
        <v>74</v>
      </c>
      <c r="D336" s="11">
        <v>45064</v>
      </c>
      <c r="E336" s="4"/>
      <c r="K336" s="4"/>
    </row>
    <row r="337" spans="2:11" x14ac:dyDescent="0.25">
      <c r="B337">
        <v>-1800</v>
      </c>
      <c r="C337" s="11" t="s">
        <v>13</v>
      </c>
      <c r="D337" s="11">
        <v>45064</v>
      </c>
      <c r="E337" s="4"/>
      <c r="K337" s="4"/>
    </row>
    <row r="338" spans="2:11" x14ac:dyDescent="0.25">
      <c r="B338">
        <v>1600</v>
      </c>
      <c r="C338" s="11" t="s">
        <v>12</v>
      </c>
      <c r="D338" s="11">
        <v>45075</v>
      </c>
      <c r="E338" s="4"/>
      <c r="K338" s="4"/>
    </row>
    <row r="339" spans="2:11" x14ac:dyDescent="0.25">
      <c r="B339">
        <v>-1600</v>
      </c>
      <c r="C339" s="11" t="s">
        <v>13</v>
      </c>
      <c r="D339" s="11">
        <v>45075</v>
      </c>
      <c r="E339" s="4"/>
      <c r="K339" s="4"/>
    </row>
    <row r="340" spans="2:11" x14ac:dyDescent="0.25">
      <c r="B340">
        <v>600</v>
      </c>
      <c r="C340" s="11" t="s">
        <v>74</v>
      </c>
      <c r="D340" s="11">
        <v>45084</v>
      </c>
      <c r="E340" s="4"/>
      <c r="K340" s="4"/>
    </row>
    <row r="341" spans="2:11" x14ac:dyDescent="0.25">
      <c r="B341">
        <v>-600</v>
      </c>
      <c r="C341" s="11" t="s">
        <v>13</v>
      </c>
      <c r="D341" s="11">
        <v>45084</v>
      </c>
      <c r="E341" s="4"/>
      <c r="K341" s="4"/>
    </row>
    <row r="342" spans="2:11" x14ac:dyDescent="0.25">
      <c r="B342">
        <v>1800</v>
      </c>
      <c r="C342" s="11" t="s">
        <v>12</v>
      </c>
      <c r="D342" s="11">
        <v>45090</v>
      </c>
      <c r="E342" s="4"/>
      <c r="K342" s="4"/>
    </row>
    <row r="343" spans="2:11" x14ac:dyDescent="0.25">
      <c r="B343">
        <v>-1800</v>
      </c>
      <c r="C343" s="11" t="s">
        <v>13</v>
      </c>
      <c r="D343" s="11">
        <v>45090</v>
      </c>
      <c r="E343" s="4"/>
      <c r="K343" s="4"/>
    </row>
    <row r="344" spans="2:11" x14ac:dyDescent="0.25">
      <c r="B344">
        <v>600</v>
      </c>
      <c r="C344" s="11" t="s">
        <v>12</v>
      </c>
      <c r="D344" s="11">
        <v>45105</v>
      </c>
      <c r="E344" s="4"/>
      <c r="K344" s="4"/>
    </row>
    <row r="345" spans="2:11" x14ac:dyDescent="0.25">
      <c r="B345">
        <v>-600</v>
      </c>
      <c r="C345" s="11" t="s">
        <v>13</v>
      </c>
      <c r="D345" s="11">
        <v>45105</v>
      </c>
      <c r="E345" s="4"/>
      <c r="K345" s="4"/>
    </row>
    <row r="346" spans="2:11" x14ac:dyDescent="0.25">
      <c r="B346">
        <v>1800</v>
      </c>
      <c r="C346" s="11" t="s">
        <v>12</v>
      </c>
      <c r="D346" s="11">
        <v>45110</v>
      </c>
      <c r="E346" s="4"/>
      <c r="K346" s="4"/>
    </row>
    <row r="347" spans="2:11" x14ac:dyDescent="0.25">
      <c r="B347">
        <v>-1800</v>
      </c>
      <c r="C347" s="11" t="s">
        <v>13</v>
      </c>
      <c r="D347" s="11">
        <v>45110</v>
      </c>
      <c r="E347" s="4"/>
      <c r="K347" s="4"/>
    </row>
    <row r="348" spans="2:11" x14ac:dyDescent="0.25">
      <c r="B348">
        <v>600</v>
      </c>
      <c r="C348" s="11" t="s">
        <v>12</v>
      </c>
      <c r="D348" s="11">
        <v>45117</v>
      </c>
      <c r="E348" s="4"/>
      <c r="K348" s="4"/>
    </row>
    <row r="349" spans="2:11" x14ac:dyDescent="0.25">
      <c r="B349">
        <v>-600</v>
      </c>
      <c r="C349" s="11" t="s">
        <v>13</v>
      </c>
      <c r="D349" s="11">
        <v>45117</v>
      </c>
      <c r="E349" s="4"/>
      <c r="K349" s="4"/>
    </row>
    <row r="350" spans="2:11" x14ac:dyDescent="0.25">
      <c r="B350">
        <v>2400</v>
      </c>
      <c r="C350" s="11" t="s">
        <v>12</v>
      </c>
      <c r="D350" s="11"/>
      <c r="E350" s="4"/>
      <c r="K350" s="4"/>
    </row>
    <row r="351" spans="2:11" x14ac:dyDescent="0.25">
      <c r="B351">
        <v>-2400</v>
      </c>
      <c r="C351" s="11" t="s">
        <v>13</v>
      </c>
      <c r="D351" s="11"/>
      <c r="E351" s="4"/>
      <c r="K351" s="4"/>
    </row>
    <row r="352" spans="2:11" x14ac:dyDescent="0.25">
      <c r="B352">
        <v>1200</v>
      </c>
      <c r="C352" s="11" t="s">
        <v>12</v>
      </c>
      <c r="D352" s="11">
        <v>45140</v>
      </c>
      <c r="E352" s="4"/>
      <c r="K352" s="4"/>
    </row>
    <row r="353" spans="2:11" x14ac:dyDescent="0.25">
      <c r="B353">
        <v>-1200</v>
      </c>
      <c r="C353" s="11" t="s">
        <v>13</v>
      </c>
      <c r="D353" s="11"/>
      <c r="E353" s="4"/>
      <c r="K353" s="4"/>
    </row>
    <row r="354" spans="2:11" x14ac:dyDescent="0.25">
      <c r="B354">
        <v>1600</v>
      </c>
      <c r="C354" s="11" t="s">
        <v>12</v>
      </c>
      <c r="D354" s="11">
        <v>45156</v>
      </c>
      <c r="E354" s="4"/>
      <c r="K354" s="4"/>
    </row>
    <row r="355" spans="2:11" x14ac:dyDescent="0.25">
      <c r="B355">
        <v>-1600</v>
      </c>
      <c r="C355" s="11" t="s">
        <v>13</v>
      </c>
      <c r="D355" s="11"/>
      <c r="E355" s="4"/>
      <c r="K355" s="4"/>
    </row>
    <row r="356" spans="2:11" x14ac:dyDescent="0.25">
      <c r="B356">
        <v>2400</v>
      </c>
      <c r="C356" s="11" t="s">
        <v>12</v>
      </c>
      <c r="D356" s="11">
        <v>45162</v>
      </c>
      <c r="E356" s="4"/>
      <c r="K356" s="4"/>
    </row>
    <row r="357" spans="2:11" x14ac:dyDescent="0.25">
      <c r="B357">
        <v>-2400</v>
      </c>
      <c r="C357" s="11" t="s">
        <v>13</v>
      </c>
      <c r="D357" s="11"/>
      <c r="E357" s="4"/>
      <c r="K357" s="4"/>
    </row>
    <row r="358" spans="2:11" x14ac:dyDescent="0.25">
      <c r="B358">
        <v>3900</v>
      </c>
      <c r="C358" s="11" t="s">
        <v>12</v>
      </c>
      <c r="D358" s="11">
        <v>45168</v>
      </c>
      <c r="E358" s="4"/>
      <c r="K358" s="4"/>
    </row>
    <row r="359" spans="2:11" x14ac:dyDescent="0.25">
      <c r="B359">
        <v>-3900</v>
      </c>
      <c r="C359" s="11" t="s">
        <v>13</v>
      </c>
      <c r="D359" s="11"/>
      <c r="E359" s="4"/>
      <c r="K359" s="4"/>
    </row>
    <row r="360" spans="2:11" x14ac:dyDescent="0.25">
      <c r="B360">
        <v>2400</v>
      </c>
      <c r="C360" s="11" t="s">
        <v>12</v>
      </c>
      <c r="D360" s="11">
        <v>45176</v>
      </c>
      <c r="E360" s="4"/>
      <c r="K360" s="4"/>
    </row>
    <row r="361" spans="2:11" x14ac:dyDescent="0.25">
      <c r="B361">
        <v>-2400</v>
      </c>
      <c r="C361" s="11" t="s">
        <v>13</v>
      </c>
      <c r="D361" s="11"/>
      <c r="E361" s="4"/>
      <c r="K361" s="4"/>
    </row>
    <row r="362" spans="2:11" x14ac:dyDescent="0.25">
      <c r="B362">
        <v>1600</v>
      </c>
      <c r="C362" s="11" t="s">
        <v>12</v>
      </c>
      <c r="D362" s="11">
        <v>45209</v>
      </c>
      <c r="E362" s="4"/>
      <c r="K362" s="4"/>
    </row>
    <row r="363" spans="2:11" x14ac:dyDescent="0.25">
      <c r="B363">
        <v>-1600</v>
      </c>
      <c r="C363" s="11" t="s">
        <v>13</v>
      </c>
      <c r="D363" s="11"/>
      <c r="E363" s="4"/>
      <c r="K363" s="4"/>
    </row>
    <row r="364" spans="2:11" x14ac:dyDescent="0.25">
      <c r="B364">
        <v>2400</v>
      </c>
      <c r="C364" s="11" t="s">
        <v>12</v>
      </c>
      <c r="D364" s="11">
        <v>45227</v>
      </c>
      <c r="E364" s="4"/>
      <c r="K364" s="4"/>
    </row>
    <row r="365" spans="2:11" x14ac:dyDescent="0.25">
      <c r="B365">
        <v>-2400</v>
      </c>
      <c r="C365" s="11" t="s">
        <v>13</v>
      </c>
      <c r="D365" s="11"/>
      <c r="E365" s="4"/>
      <c r="K365" s="4"/>
    </row>
    <row r="366" spans="2:11" x14ac:dyDescent="0.25">
      <c r="B366">
        <v>2100</v>
      </c>
      <c r="C366" s="11" t="s">
        <v>12</v>
      </c>
      <c r="D366" s="11"/>
      <c r="E366" s="4"/>
      <c r="K366" s="4"/>
    </row>
    <row r="367" spans="2:11" x14ac:dyDescent="0.25">
      <c r="B367">
        <v>-2100</v>
      </c>
      <c r="C367" s="11" t="s">
        <v>13</v>
      </c>
      <c r="D367" s="11"/>
      <c r="E367" s="4"/>
      <c r="K367" s="4"/>
    </row>
    <row r="368" spans="2:11" x14ac:dyDescent="0.25">
      <c r="B368">
        <v>800</v>
      </c>
      <c r="C368" s="11" t="s">
        <v>12</v>
      </c>
      <c r="D368" s="11">
        <v>45236</v>
      </c>
      <c r="E368" s="4"/>
      <c r="K368" s="4"/>
    </row>
    <row r="369" spans="2:11" x14ac:dyDescent="0.25">
      <c r="B369">
        <v>-800</v>
      </c>
      <c r="C369" s="11" t="s">
        <v>13</v>
      </c>
      <c r="D369" s="11"/>
      <c r="E369" s="4"/>
      <c r="K369" s="4"/>
    </row>
    <row r="370" spans="2:11" x14ac:dyDescent="0.25">
      <c r="B370">
        <v>2400</v>
      </c>
      <c r="C370" s="11" t="s">
        <v>12</v>
      </c>
      <c r="D370" s="11"/>
      <c r="E370" s="4"/>
      <c r="K370" s="4"/>
    </row>
    <row r="371" spans="2:11" x14ac:dyDescent="0.25">
      <c r="B371">
        <v>-2400</v>
      </c>
      <c r="C371" s="11" t="s">
        <v>13</v>
      </c>
      <c r="D371" s="11"/>
      <c r="E371" s="4"/>
      <c r="K371" s="4"/>
    </row>
    <row r="372" spans="2:11" x14ac:dyDescent="0.25">
      <c r="B372">
        <v>16650</v>
      </c>
      <c r="C372" s="11" t="s">
        <v>241</v>
      </c>
      <c r="D372" s="11"/>
      <c r="E372" s="4"/>
      <c r="K372" s="4"/>
    </row>
    <row r="373" spans="2:11" x14ac:dyDescent="0.25">
      <c r="B373">
        <v>-16650</v>
      </c>
      <c r="C373" s="11" t="s">
        <v>13</v>
      </c>
      <c r="D373" s="11"/>
      <c r="E373" s="4"/>
      <c r="K373" s="4"/>
    </row>
    <row r="374" spans="2:11" x14ac:dyDescent="0.25">
      <c r="B374">
        <v>4800</v>
      </c>
      <c r="C374" s="11" t="s">
        <v>12</v>
      </c>
      <c r="D374" s="11">
        <v>45271</v>
      </c>
      <c r="E374" s="4"/>
      <c r="K374" s="4"/>
    </row>
    <row r="375" spans="2:11" x14ac:dyDescent="0.25">
      <c r="B375">
        <v>-4800</v>
      </c>
      <c r="C375" s="11" t="s">
        <v>13</v>
      </c>
      <c r="D375" s="11"/>
      <c r="E375" s="4"/>
      <c r="K375" s="4"/>
    </row>
    <row r="376" spans="2:11" x14ac:dyDescent="0.25">
      <c r="B376">
        <v>2000</v>
      </c>
      <c r="C376" s="11" t="s">
        <v>13</v>
      </c>
      <c r="D376" s="11">
        <v>45290</v>
      </c>
      <c r="E376" s="4"/>
      <c r="K376" s="4"/>
    </row>
    <row r="377" spans="2:11" x14ac:dyDescent="0.25">
      <c r="B377">
        <v>-2000</v>
      </c>
      <c r="C377" s="11" t="s">
        <v>12</v>
      </c>
      <c r="D377" s="11"/>
      <c r="E377" s="4"/>
      <c r="K377" s="4"/>
    </row>
    <row r="378" spans="2:11" x14ac:dyDescent="0.25">
      <c r="B378">
        <v>1200</v>
      </c>
      <c r="C378" s="11" t="s">
        <v>13</v>
      </c>
      <c r="D378" s="11">
        <v>45300</v>
      </c>
      <c r="E378" s="4"/>
      <c r="K378" s="4"/>
    </row>
    <row r="379" spans="2:11" x14ac:dyDescent="0.25">
      <c r="B379">
        <v>-1200</v>
      </c>
      <c r="C379" s="11" t="s">
        <v>12</v>
      </c>
      <c r="D379" s="11"/>
      <c r="E379" s="4"/>
      <c r="K379" s="4"/>
    </row>
    <row r="380" spans="2:11" x14ac:dyDescent="0.25">
      <c r="B380">
        <v>2400</v>
      </c>
      <c r="C380" s="11" t="s">
        <v>12</v>
      </c>
      <c r="D380" s="11">
        <v>45372</v>
      </c>
      <c r="E380" s="4"/>
      <c r="K380" s="4"/>
    </row>
    <row r="381" spans="2:11" x14ac:dyDescent="0.25">
      <c r="B381">
        <v>-2400</v>
      </c>
      <c r="C381" s="11" t="s">
        <v>93</v>
      </c>
      <c r="D381" s="11">
        <v>45372</v>
      </c>
      <c r="E381" s="4"/>
      <c r="K381" s="4"/>
    </row>
    <row r="382" spans="2:11" x14ac:dyDescent="0.25">
      <c r="B382">
        <v>3600</v>
      </c>
      <c r="C382" s="11" t="s">
        <v>12</v>
      </c>
      <c r="D382" s="11">
        <v>45407</v>
      </c>
      <c r="E382" s="4"/>
      <c r="K382" s="4"/>
    </row>
    <row r="383" spans="2:11" x14ac:dyDescent="0.25">
      <c r="B383">
        <v>-11000</v>
      </c>
      <c r="C383" s="11" t="s">
        <v>13</v>
      </c>
      <c r="D383" s="11">
        <v>45407</v>
      </c>
      <c r="E383" s="4"/>
      <c r="K383" s="4"/>
    </row>
    <row r="384" spans="2:11" x14ac:dyDescent="0.25">
      <c r="B384">
        <v>3600</v>
      </c>
      <c r="C384" s="11" t="s">
        <v>12</v>
      </c>
      <c r="D384" s="11">
        <v>45418</v>
      </c>
      <c r="E384" s="4"/>
      <c r="K384" s="4"/>
    </row>
    <row r="385" spans="2:11" x14ac:dyDescent="0.25">
      <c r="B385">
        <v>3600</v>
      </c>
      <c r="C385" s="11" t="s">
        <v>12</v>
      </c>
      <c r="D385" s="11">
        <v>45441</v>
      </c>
      <c r="E385" s="4"/>
      <c r="K385" s="4"/>
    </row>
    <row r="386" spans="2:11" x14ac:dyDescent="0.25">
      <c r="B386">
        <v>-3600</v>
      </c>
      <c r="C386" s="11" t="s">
        <v>13</v>
      </c>
      <c r="D386" s="11"/>
      <c r="E386" s="4"/>
      <c r="K386" s="4"/>
    </row>
    <row r="387" spans="2:11" x14ac:dyDescent="0.25">
      <c r="B387">
        <v>3800</v>
      </c>
      <c r="C387" s="11" t="s">
        <v>138</v>
      </c>
      <c r="D387" s="11">
        <v>45504</v>
      </c>
      <c r="E387" s="4"/>
      <c r="K387" s="4"/>
    </row>
    <row r="388" spans="2:11" x14ac:dyDescent="0.25">
      <c r="B388">
        <v>-8000</v>
      </c>
      <c r="C388" s="11" t="s">
        <v>13</v>
      </c>
      <c r="D388" s="11">
        <v>45504</v>
      </c>
      <c r="E388" s="4"/>
      <c r="K388" s="4"/>
    </row>
    <row r="389" spans="2:11" x14ac:dyDescent="0.25">
      <c r="B389">
        <v>47300</v>
      </c>
      <c r="C389" s="11" t="s">
        <v>12</v>
      </c>
      <c r="D389" s="11">
        <v>45523</v>
      </c>
      <c r="E389" s="4"/>
      <c r="K389" s="4"/>
    </row>
    <row r="390" spans="2:11" x14ac:dyDescent="0.25">
      <c r="B390">
        <v>-47300</v>
      </c>
      <c r="C390" s="11" t="s">
        <v>13</v>
      </c>
      <c r="D390" s="11">
        <v>45523</v>
      </c>
      <c r="E390" s="4"/>
      <c r="K390" s="4"/>
    </row>
    <row r="391" spans="2:11" x14ac:dyDescent="0.25">
      <c r="B391">
        <v>14400</v>
      </c>
      <c r="C391" s="11" t="s">
        <v>12</v>
      </c>
      <c r="D391" s="11">
        <v>45526</v>
      </c>
      <c r="E391" s="4"/>
      <c r="K391" s="4"/>
    </row>
    <row r="392" spans="2:11" x14ac:dyDescent="0.25">
      <c r="B392">
        <v>-14400</v>
      </c>
      <c r="C392" s="11" t="s">
        <v>13</v>
      </c>
      <c r="D392" s="11">
        <v>45526</v>
      </c>
      <c r="E392" s="4"/>
      <c r="K392" s="4"/>
    </row>
    <row r="393" spans="2:11" x14ac:dyDescent="0.25">
      <c r="B393">
        <v>36000</v>
      </c>
      <c r="C393" s="11" t="s">
        <v>12</v>
      </c>
      <c r="D393" s="11">
        <v>45559</v>
      </c>
      <c r="E393" s="4"/>
      <c r="K393" s="4"/>
    </row>
    <row r="394" spans="2:11" x14ac:dyDescent="0.25">
      <c r="B394">
        <v>-36000</v>
      </c>
      <c r="C394" s="11" t="s">
        <v>13</v>
      </c>
      <c r="D394" s="11"/>
      <c r="E394" s="4"/>
      <c r="K394" s="4"/>
    </row>
    <row r="395" spans="2:11" x14ac:dyDescent="0.25">
      <c r="B395">
        <v>14400</v>
      </c>
      <c r="C395" s="11" t="s">
        <v>12</v>
      </c>
      <c r="D395" s="11">
        <v>45618</v>
      </c>
      <c r="E395" s="4"/>
      <c r="K395" s="4"/>
    </row>
    <row r="396" spans="2:11" x14ac:dyDescent="0.25">
      <c r="B396">
        <v>-15000</v>
      </c>
      <c r="C396" s="11" t="s">
        <v>13</v>
      </c>
      <c r="D396" s="11">
        <v>45618</v>
      </c>
      <c r="E396" s="4"/>
      <c r="K396" s="4"/>
    </row>
    <row r="397" spans="2:11" x14ac:dyDescent="0.25">
      <c r="B397">
        <v>17300</v>
      </c>
      <c r="C397" s="11" t="s">
        <v>12</v>
      </c>
      <c r="D397" s="11"/>
      <c r="E397" s="4"/>
      <c r="K397" s="4"/>
    </row>
    <row r="398" spans="2:11" x14ac:dyDescent="0.25">
      <c r="B398">
        <v>-17500</v>
      </c>
      <c r="C398" s="11" t="s">
        <v>13</v>
      </c>
      <c r="D398" s="11">
        <v>45659</v>
      </c>
      <c r="E398" s="4"/>
      <c r="K398" s="4"/>
    </row>
    <row r="399" spans="2:11" x14ac:dyDescent="0.25">
      <c r="B399">
        <v>10200</v>
      </c>
      <c r="C399" s="11" t="s">
        <v>12</v>
      </c>
      <c r="D399" s="11">
        <v>45679</v>
      </c>
      <c r="E399" s="4"/>
      <c r="K399" s="4"/>
    </row>
    <row r="400" spans="2:11" x14ac:dyDescent="0.25">
      <c r="B400">
        <v>-20000</v>
      </c>
      <c r="C400" s="11" t="s">
        <v>13</v>
      </c>
      <c r="D400" s="11"/>
      <c r="E400" s="4"/>
      <c r="K400" s="4"/>
    </row>
    <row r="401" spans="2:11" x14ac:dyDescent="0.25">
      <c r="B401">
        <v>53400</v>
      </c>
      <c r="C401" s="11" t="s">
        <v>74</v>
      </c>
      <c r="D401" s="11">
        <v>45710</v>
      </c>
      <c r="E401" s="4"/>
      <c r="K401" s="4"/>
    </row>
    <row r="402" spans="2:11" x14ac:dyDescent="0.25">
      <c r="B402">
        <v>-53000</v>
      </c>
      <c r="C402" s="11" t="s">
        <v>13</v>
      </c>
      <c r="D402" s="11">
        <v>45710</v>
      </c>
      <c r="E402" s="4"/>
      <c r="K402" s="4"/>
    </row>
    <row r="403" spans="2:11" x14ac:dyDescent="0.25">
      <c r="B403">
        <v>15300</v>
      </c>
      <c r="C403" s="11" t="s">
        <v>12</v>
      </c>
      <c r="D403" s="11"/>
      <c r="E403" s="4"/>
      <c r="K403" s="4"/>
    </row>
    <row r="404" spans="2:11" x14ac:dyDescent="0.25">
      <c r="B404">
        <v>-15300</v>
      </c>
      <c r="C404" s="11" t="s">
        <v>13</v>
      </c>
      <c r="D404" s="11">
        <v>45840</v>
      </c>
      <c r="E404" s="4"/>
      <c r="K404" s="4"/>
    </row>
    <row r="405" spans="2:11" x14ac:dyDescent="0.25">
      <c r="B405">
        <v>46500</v>
      </c>
      <c r="C405" s="11" t="s">
        <v>12</v>
      </c>
      <c r="D405" s="11">
        <v>45911</v>
      </c>
      <c r="E405" s="4"/>
      <c r="K405" s="4"/>
    </row>
    <row r="406" spans="2:11" x14ac:dyDescent="0.25">
      <c r="B406">
        <v>-46500</v>
      </c>
      <c r="C406" s="11" t="s">
        <v>13</v>
      </c>
      <c r="D406" s="11"/>
      <c r="E406" s="4"/>
      <c r="K406" s="4"/>
    </row>
    <row r="407" spans="2:11" x14ac:dyDescent="0.25">
      <c r="B407">
        <v>9200</v>
      </c>
      <c r="C407" s="11" t="s">
        <v>138</v>
      </c>
      <c r="D407" s="11">
        <v>45987</v>
      </c>
      <c r="E407" s="4"/>
      <c r="K407" s="4"/>
    </row>
    <row r="408" spans="2:11" x14ac:dyDescent="0.25">
      <c r="B408">
        <v>-9200</v>
      </c>
      <c r="C408" s="11" t="s">
        <v>13</v>
      </c>
      <c r="D408" s="11"/>
      <c r="E408" s="4"/>
      <c r="K408" s="4"/>
    </row>
    <row r="409" spans="2:11" x14ac:dyDescent="0.25">
      <c r="B409">
        <v>24000</v>
      </c>
      <c r="C409" s="11" t="s">
        <v>138</v>
      </c>
      <c r="D409" s="11">
        <v>46099</v>
      </c>
      <c r="E409" s="4"/>
      <c r="K409" s="4"/>
    </row>
    <row r="410" spans="2:11" x14ac:dyDescent="0.25">
      <c r="B410">
        <v>-24000</v>
      </c>
      <c r="C410" s="11" t="s">
        <v>13</v>
      </c>
      <c r="D410" s="11"/>
      <c r="E410" s="4"/>
      <c r="K410" s="4"/>
    </row>
    <row r="411" spans="2:11" x14ac:dyDescent="0.25">
      <c r="B411" s="135">
        <f>SUM(B46:B410)</f>
        <v>-20235</v>
      </c>
      <c r="C411" s="11">
        <v>46099</v>
      </c>
      <c r="D411" s="11" t="s">
        <v>209</v>
      </c>
      <c r="F411" s="11"/>
      <c r="G411" s="11"/>
      <c r="I411" s="173"/>
      <c r="K411" s="4"/>
    </row>
    <row r="412" spans="2:11" x14ac:dyDescent="0.25">
      <c r="B412" s="11"/>
      <c r="C412" s="11"/>
      <c r="E412" s="11"/>
      <c r="F412" s="11"/>
      <c r="G412" s="11"/>
      <c r="K412" s="4"/>
    </row>
    <row r="413" spans="2:11" x14ac:dyDescent="0.25">
      <c r="B413" s="11"/>
      <c r="K413" s="4"/>
    </row>
    <row r="414" spans="2:11" x14ac:dyDescent="0.25">
      <c r="B414" s="11"/>
      <c r="E414" s="11"/>
      <c r="F414" s="11"/>
      <c r="G414" s="11"/>
      <c r="K414" s="4"/>
    </row>
    <row r="415" spans="2:11" x14ac:dyDescent="0.25">
      <c r="B415" s="11"/>
      <c r="C415" s="11"/>
      <c r="I415" s="4"/>
    </row>
    <row r="416" spans="2:11" x14ac:dyDescent="0.25">
      <c r="B416" s="11"/>
      <c r="E416" s="11"/>
      <c r="F416" s="11"/>
      <c r="G416" s="11"/>
      <c r="K416" s="4"/>
    </row>
    <row r="417" spans="2:11" x14ac:dyDescent="0.25">
      <c r="B417" s="11"/>
      <c r="E417" s="11"/>
      <c r="F417" s="11"/>
      <c r="G417" s="11"/>
      <c r="K417" s="4"/>
    </row>
    <row r="418" spans="2:11" x14ac:dyDescent="0.25">
      <c r="B418" s="11"/>
      <c r="E418" s="11"/>
      <c r="F418" s="11"/>
      <c r="G418" s="11"/>
      <c r="K418" s="4"/>
    </row>
    <row r="419" spans="2:11" x14ac:dyDescent="0.25">
      <c r="B419" s="11"/>
      <c r="E419" s="11"/>
      <c r="F419" s="11"/>
      <c r="G419" s="11"/>
      <c r="K419" s="4"/>
    </row>
    <row r="420" spans="2:11" x14ac:dyDescent="0.25">
      <c r="B420" s="11"/>
      <c r="E420" s="11"/>
      <c r="F420" s="11"/>
      <c r="G420" s="11"/>
      <c r="K420" s="4"/>
    </row>
    <row r="421" spans="2:11" x14ac:dyDescent="0.25">
      <c r="B421" s="11"/>
      <c r="E421" s="11"/>
      <c r="F421" s="11"/>
      <c r="G421" s="11"/>
      <c r="K421" s="4"/>
    </row>
    <row r="422" spans="2:11" x14ac:dyDescent="0.25">
      <c r="B422" s="11"/>
      <c r="E422" s="11"/>
      <c r="F422" s="11"/>
      <c r="G422" s="11"/>
      <c r="K422" s="4"/>
    </row>
    <row r="423" spans="2:11" x14ac:dyDescent="0.25">
      <c r="B423" s="11"/>
      <c r="E423" s="11"/>
      <c r="F423" s="11"/>
      <c r="G423" s="11"/>
      <c r="K423" s="4"/>
    </row>
    <row r="424" spans="2:11" x14ac:dyDescent="0.25">
      <c r="B424" s="11"/>
      <c r="E424" s="11"/>
      <c r="F424" s="11"/>
      <c r="G424" s="11"/>
      <c r="K424" s="4"/>
    </row>
    <row r="425" spans="2:11" x14ac:dyDescent="0.25">
      <c r="B425" s="11"/>
      <c r="E425" s="11"/>
      <c r="F425" s="11"/>
      <c r="G425" s="11"/>
      <c r="K425" s="4"/>
    </row>
    <row r="426" spans="2:11" x14ac:dyDescent="0.25">
      <c r="B426" s="11"/>
      <c r="E426" s="11"/>
      <c r="F426" s="11"/>
      <c r="G426" s="11"/>
      <c r="K426" s="4"/>
    </row>
    <row r="427" spans="2:11" x14ac:dyDescent="0.25">
      <c r="B427" s="11"/>
      <c r="D427" s="11"/>
      <c r="E427" s="11"/>
      <c r="F427" s="11"/>
      <c r="G427" s="11"/>
      <c r="K427" s="4"/>
    </row>
    <row r="428" spans="2:11" x14ac:dyDescent="0.25">
      <c r="B428" s="11"/>
      <c r="E428" s="11"/>
      <c r="F428" s="11"/>
      <c r="G428" s="11"/>
    </row>
    <row r="429" spans="2:11" x14ac:dyDescent="0.25">
      <c r="B429" s="11"/>
      <c r="E429" s="11"/>
      <c r="F429" s="11"/>
      <c r="G429" s="11"/>
    </row>
    <row r="430" spans="2:11" x14ac:dyDescent="0.25">
      <c r="B430" s="11"/>
      <c r="E430" s="11"/>
      <c r="F430" s="11"/>
      <c r="G430" s="11"/>
    </row>
    <row r="431" spans="2:11" x14ac:dyDescent="0.25">
      <c r="B431" s="11"/>
      <c r="E431" s="11"/>
      <c r="F431" s="11"/>
      <c r="G431" s="11"/>
    </row>
    <row r="432" spans="2:11" x14ac:dyDescent="0.25">
      <c r="B432" s="11"/>
      <c r="E432" s="11"/>
      <c r="F432" s="11"/>
      <c r="G432" s="11"/>
    </row>
    <row r="433" spans="2:7" x14ac:dyDescent="0.25">
      <c r="B433" s="11"/>
      <c r="E433" s="11"/>
      <c r="F433" s="11"/>
      <c r="G433" s="11"/>
    </row>
    <row r="434" spans="2:7" x14ac:dyDescent="0.25">
      <c r="B434" s="11"/>
      <c r="E434" s="11"/>
      <c r="F434" s="11"/>
      <c r="G434" s="11"/>
    </row>
    <row r="435" spans="2:7" x14ac:dyDescent="0.25">
      <c r="B435" s="11"/>
      <c r="E435" s="11"/>
      <c r="F435" s="11"/>
      <c r="G435" s="11"/>
    </row>
    <row r="436" spans="2:7" x14ac:dyDescent="0.25">
      <c r="B436" s="11"/>
      <c r="E436" s="11"/>
      <c r="F436" s="11"/>
      <c r="G436" s="11"/>
    </row>
    <row r="437" spans="2:7" x14ac:dyDescent="0.25">
      <c r="B437" s="11"/>
      <c r="E437" s="11"/>
      <c r="F437" s="11"/>
      <c r="G437" s="11"/>
    </row>
    <row r="438" spans="2:7" x14ac:dyDescent="0.25">
      <c r="B438" s="11"/>
      <c r="E438" s="11"/>
      <c r="F438" s="11"/>
      <c r="G438" s="11"/>
    </row>
    <row r="439" spans="2:7" x14ac:dyDescent="0.25">
      <c r="B439" s="11"/>
      <c r="E439" s="11"/>
      <c r="F439" s="11"/>
      <c r="G439" s="11"/>
    </row>
    <row r="440" spans="2:7" x14ac:dyDescent="0.25">
      <c r="B440" s="11"/>
      <c r="E440" s="11"/>
      <c r="F440" s="11"/>
      <c r="G440" s="11"/>
    </row>
    <row r="441" spans="2:7" x14ac:dyDescent="0.25">
      <c r="B441" s="11"/>
      <c r="E441" s="11"/>
      <c r="F441" s="11"/>
      <c r="G441" s="11"/>
    </row>
    <row r="442" spans="2:7" x14ac:dyDescent="0.25">
      <c r="B442" s="11"/>
      <c r="E442" s="11"/>
      <c r="F442" s="11"/>
      <c r="G442" s="11"/>
    </row>
    <row r="443" spans="2:7" x14ac:dyDescent="0.25">
      <c r="B443" s="11"/>
      <c r="E443" s="11"/>
      <c r="F443" s="11"/>
      <c r="G443" s="11"/>
    </row>
    <row r="444" spans="2:7" x14ac:dyDescent="0.25">
      <c r="B444" s="11"/>
      <c r="E444" s="11"/>
      <c r="F444" s="11"/>
      <c r="G444" s="11"/>
    </row>
    <row r="445" spans="2:7" x14ac:dyDescent="0.25">
      <c r="B445" s="11"/>
      <c r="E445" s="11"/>
      <c r="F445" s="11"/>
      <c r="G445" s="11"/>
    </row>
    <row r="446" spans="2:7" x14ac:dyDescent="0.25">
      <c r="B446" s="11"/>
      <c r="E446" s="11"/>
      <c r="F446" s="11"/>
      <c r="G446" s="11"/>
    </row>
    <row r="447" spans="2:7" x14ac:dyDescent="0.25">
      <c r="B447" s="11"/>
      <c r="E447" s="11"/>
      <c r="F447" s="11"/>
      <c r="G447" s="11"/>
    </row>
    <row r="448" spans="2:7" x14ac:dyDescent="0.25">
      <c r="B448" s="11"/>
      <c r="E448" s="11"/>
      <c r="F448" s="11"/>
      <c r="G448" s="11"/>
    </row>
    <row r="449" spans="2:7" x14ac:dyDescent="0.25">
      <c r="B449" s="11"/>
      <c r="E449" s="11"/>
      <c r="F449" s="11"/>
      <c r="G449" s="11"/>
    </row>
    <row r="450" spans="2:7" x14ac:dyDescent="0.25">
      <c r="B450" s="11"/>
      <c r="E450" s="11"/>
      <c r="F450" s="11"/>
      <c r="G450" s="11"/>
    </row>
    <row r="451" spans="2:7" x14ac:dyDescent="0.25">
      <c r="B451" s="11"/>
    </row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51"/>
  <sheetViews>
    <sheetView topLeftCell="A34" zoomScale="110" zoomScaleNormal="110" workbookViewId="0">
      <selection activeCell="N23" sqref="N23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9" max="9" width="13.28515625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82"/>
      <c r="C3" s="124"/>
      <c r="D3" s="82"/>
      <c r="E3" s="82"/>
      <c r="F3" s="82"/>
      <c r="G3" s="82"/>
      <c r="H3" s="90"/>
      <c r="I3" s="90"/>
      <c r="J3" s="138"/>
      <c r="K3" s="218"/>
    </row>
    <row r="4" spans="1:11" x14ac:dyDescent="0.25">
      <c r="A4" s="91"/>
      <c r="B4" s="82"/>
      <c r="C4" s="124"/>
      <c r="D4" s="82"/>
      <c r="E4" s="82"/>
      <c r="F4" s="82"/>
      <c r="G4" s="82"/>
      <c r="H4" s="128"/>
      <c r="I4" s="90"/>
      <c r="J4" s="138"/>
      <c r="K4" s="218"/>
    </row>
    <row r="5" spans="1:11" x14ac:dyDescent="0.25">
      <c r="A5" s="91"/>
      <c r="B5" s="82"/>
      <c r="C5" s="124"/>
      <c r="D5" s="82"/>
      <c r="E5" s="82"/>
      <c r="F5" s="82"/>
      <c r="G5" s="82"/>
      <c r="H5" s="128"/>
      <c r="I5" s="90"/>
      <c r="J5" s="138"/>
      <c r="K5" s="218"/>
    </row>
    <row r="6" spans="1:11" x14ac:dyDescent="0.25">
      <c r="A6" s="91"/>
      <c r="B6" s="82"/>
      <c r="C6" s="124"/>
      <c r="D6" s="82"/>
      <c r="E6" s="82"/>
      <c r="F6" s="82"/>
      <c r="G6" s="82"/>
      <c r="H6" s="128"/>
      <c r="I6" s="90"/>
      <c r="J6" s="138"/>
      <c r="K6" s="218"/>
    </row>
    <row r="7" spans="1:11" x14ac:dyDescent="0.25">
      <c r="A7" s="91"/>
      <c r="B7" s="82"/>
      <c r="C7" s="124"/>
      <c r="D7" s="82"/>
      <c r="E7" s="82"/>
      <c r="F7" s="82"/>
      <c r="G7" s="82"/>
      <c r="H7" s="128"/>
      <c r="I7" s="90"/>
      <c r="J7" s="138"/>
      <c r="K7" s="218"/>
    </row>
    <row r="8" spans="1:11" x14ac:dyDescent="0.25">
      <c r="A8" s="91"/>
      <c r="B8" s="82"/>
      <c r="C8" s="124"/>
      <c r="D8" s="82"/>
      <c r="E8" s="82"/>
      <c r="F8" s="82"/>
      <c r="G8" s="82"/>
      <c r="H8" s="128"/>
      <c r="I8" s="90"/>
      <c r="J8" s="138"/>
      <c r="K8" s="218"/>
    </row>
    <row r="9" spans="1:11" x14ac:dyDescent="0.25">
      <c r="A9" s="91"/>
      <c r="B9" s="82"/>
      <c r="C9" s="124"/>
      <c r="D9" s="82"/>
      <c r="E9" s="82"/>
      <c r="F9" s="82"/>
      <c r="G9" s="82"/>
      <c r="H9" s="128"/>
      <c r="I9" s="90"/>
      <c r="J9" s="138"/>
      <c r="K9" s="218"/>
    </row>
    <row r="10" spans="1:11" x14ac:dyDescent="0.25">
      <c r="A10" s="91"/>
      <c r="B10" s="82"/>
      <c r="C10" s="124"/>
      <c r="D10" s="82"/>
      <c r="E10" s="82"/>
      <c r="F10" s="82"/>
      <c r="G10" s="82"/>
      <c r="H10" s="128"/>
      <c r="I10" s="90"/>
      <c r="J10" s="138"/>
      <c r="K10" s="218"/>
    </row>
    <row r="11" spans="1:11" x14ac:dyDescent="0.25">
      <c r="A11" s="91"/>
      <c r="B11" s="82"/>
      <c r="C11" s="124"/>
      <c r="D11" s="82"/>
      <c r="E11" s="82"/>
      <c r="F11" s="82"/>
      <c r="G11" s="82"/>
      <c r="H11" s="128"/>
      <c r="I11" s="90"/>
      <c r="J11" s="138"/>
      <c r="K11" s="218"/>
    </row>
    <row r="12" spans="1:11" x14ac:dyDescent="0.25">
      <c r="A12" s="91"/>
      <c r="B12" s="82"/>
      <c r="C12" s="124"/>
      <c r="D12" s="82"/>
      <c r="E12" s="82"/>
      <c r="F12" s="82"/>
      <c r="G12" s="82"/>
      <c r="H12" s="128"/>
      <c r="I12" s="90"/>
      <c r="J12" s="138"/>
      <c r="K12" s="218"/>
    </row>
    <row r="13" spans="1:11" x14ac:dyDescent="0.25">
      <c r="A13" s="91"/>
      <c r="B13" s="82"/>
      <c r="C13" s="124"/>
      <c r="D13" s="82"/>
      <c r="E13" s="82"/>
      <c r="F13" s="82"/>
      <c r="G13" s="82"/>
      <c r="H13" s="128"/>
      <c r="I13" s="90"/>
      <c r="J13" s="138"/>
      <c r="K13" s="218"/>
    </row>
    <row r="14" spans="1:11" x14ac:dyDescent="0.25">
      <c r="A14" s="91"/>
      <c r="B14" s="82"/>
      <c r="C14" s="124"/>
      <c r="D14" s="82"/>
      <c r="E14" s="82"/>
      <c r="F14" s="82"/>
      <c r="G14" s="82"/>
      <c r="H14" s="128"/>
      <c r="I14" s="90"/>
      <c r="J14" s="138"/>
      <c r="K14" s="218"/>
    </row>
    <row r="15" spans="1:11" x14ac:dyDescent="0.25">
      <c r="A15" s="91"/>
      <c r="B15" s="82"/>
      <c r="C15" s="124"/>
      <c r="D15" s="82"/>
      <c r="E15" s="82"/>
      <c r="F15" s="82"/>
      <c r="G15" s="82"/>
      <c r="H15" s="128"/>
      <c r="I15" s="90"/>
      <c r="J15" s="138"/>
      <c r="K15" s="218"/>
    </row>
    <row r="16" spans="1:11" x14ac:dyDescent="0.25">
      <c r="A16" s="91"/>
      <c r="B16" s="82"/>
      <c r="C16" s="124"/>
      <c r="D16" s="82"/>
      <c r="E16" s="82"/>
      <c r="F16" s="82"/>
      <c r="G16" s="82"/>
      <c r="H16" s="128"/>
      <c r="I16" s="90"/>
      <c r="J16" s="138"/>
      <c r="K16" s="218"/>
    </row>
    <row r="17" spans="1:11" x14ac:dyDescent="0.25">
      <c r="A17" s="91"/>
      <c r="B17" s="82"/>
      <c r="C17" s="124"/>
      <c r="D17" s="82"/>
      <c r="E17" s="82"/>
      <c r="F17" s="82"/>
      <c r="G17" s="82"/>
      <c r="H17" s="128"/>
      <c r="I17" s="90"/>
      <c r="J17" s="138"/>
      <c r="K17" s="218"/>
    </row>
    <row r="18" spans="1:11" x14ac:dyDescent="0.25">
      <c r="A18" s="91"/>
      <c r="B18" s="82"/>
      <c r="C18" s="124"/>
      <c r="D18" s="82"/>
      <c r="E18" s="82"/>
      <c r="F18" s="82"/>
      <c r="G18" s="82"/>
      <c r="H18" s="128"/>
      <c r="I18" s="90"/>
      <c r="J18" s="138"/>
      <c r="K18" s="218"/>
    </row>
    <row r="19" spans="1:11" x14ac:dyDescent="0.25">
      <c r="A19" s="91"/>
      <c r="B19" s="82"/>
      <c r="C19" s="124"/>
      <c r="D19" s="82"/>
      <c r="E19" s="82"/>
      <c r="F19" s="82"/>
      <c r="G19" s="82"/>
      <c r="H19" s="128"/>
      <c r="I19" s="90"/>
      <c r="J19" s="138"/>
      <c r="K19" s="218"/>
    </row>
    <row r="20" spans="1:11" x14ac:dyDescent="0.25">
      <c r="A20" s="91"/>
      <c r="B20" s="82"/>
      <c r="C20" s="124"/>
      <c r="D20" s="82"/>
      <c r="E20" s="82"/>
      <c r="F20" s="82"/>
      <c r="G20" s="82"/>
      <c r="H20" s="128"/>
      <c r="I20" s="90"/>
      <c r="J20" s="138"/>
      <c r="K20" s="218"/>
    </row>
    <row r="21" spans="1:11" x14ac:dyDescent="0.25">
      <c r="A21" s="91"/>
      <c r="B21" s="82"/>
      <c r="C21" s="124"/>
      <c r="D21" s="82"/>
      <c r="E21" s="82"/>
      <c r="F21" s="82"/>
      <c r="G21" s="82"/>
      <c r="H21" s="128"/>
      <c r="I21" s="90"/>
      <c r="J21" s="138"/>
      <c r="K21" s="218"/>
    </row>
    <row r="22" spans="1:11" x14ac:dyDescent="0.25">
      <c r="A22" s="91"/>
      <c r="B22" s="82"/>
      <c r="C22" s="124"/>
      <c r="D22" s="82"/>
      <c r="E22" s="82"/>
      <c r="F22" s="82"/>
      <c r="G22" s="82"/>
      <c r="H22" s="128"/>
      <c r="I22" s="90"/>
      <c r="J22" s="138"/>
      <c r="K22" s="218"/>
    </row>
    <row r="23" spans="1:11" x14ac:dyDescent="0.25">
      <c r="A23" s="91"/>
      <c r="B23" s="82"/>
      <c r="C23" s="124"/>
      <c r="D23" s="82"/>
      <c r="E23" s="82"/>
      <c r="F23" s="82"/>
      <c r="G23" s="82"/>
      <c r="H23" s="128"/>
      <c r="I23" s="90"/>
      <c r="J23" s="138"/>
      <c r="K23" s="218"/>
    </row>
    <row r="24" spans="1:11" x14ac:dyDescent="0.25">
      <c r="A24" s="91"/>
      <c r="B24" s="82"/>
      <c r="C24" s="124"/>
      <c r="D24" s="82"/>
      <c r="E24" s="82"/>
      <c r="F24" s="82"/>
      <c r="G24" s="82"/>
      <c r="H24" s="128"/>
      <c r="I24" s="90"/>
      <c r="J24" s="138"/>
      <c r="K24" s="218"/>
    </row>
    <row r="25" spans="1:11" x14ac:dyDescent="0.25">
      <c r="A25" s="91"/>
      <c r="B25" s="82"/>
      <c r="C25" s="124"/>
      <c r="D25" s="82"/>
      <c r="E25" s="82"/>
      <c r="F25" s="82"/>
      <c r="G25" s="82"/>
      <c r="H25" s="128"/>
      <c r="I25" s="90"/>
      <c r="J25" s="138"/>
      <c r="K25" s="218"/>
    </row>
    <row r="26" spans="1:11" x14ac:dyDescent="0.25">
      <c r="A26" s="91"/>
      <c r="B26" s="82"/>
      <c r="C26" s="124"/>
      <c r="D26" s="82"/>
      <c r="E26" s="82"/>
      <c r="F26" s="82"/>
      <c r="G26" s="82"/>
      <c r="H26" s="128"/>
      <c r="I26" s="90"/>
      <c r="J26" s="138"/>
      <c r="K26" s="218"/>
    </row>
    <row r="27" spans="1:11" x14ac:dyDescent="0.25">
      <c r="A27" s="91"/>
      <c r="B27" s="82"/>
      <c r="C27" s="124"/>
      <c r="D27" s="82"/>
      <c r="E27" s="82"/>
      <c r="F27" s="82"/>
      <c r="G27" s="82"/>
      <c r="H27" s="128"/>
      <c r="I27" s="90"/>
      <c r="J27" s="138"/>
      <c r="K27" s="218"/>
    </row>
    <row r="28" spans="1:11" x14ac:dyDescent="0.25">
      <c r="A28" s="91"/>
      <c r="B28" s="82"/>
      <c r="C28" s="124"/>
      <c r="D28" s="82"/>
      <c r="E28" s="82"/>
      <c r="F28" s="82"/>
      <c r="G28" s="82"/>
      <c r="H28" s="128"/>
      <c r="I28" s="90"/>
      <c r="J28" s="138"/>
      <c r="K28" s="218"/>
    </row>
    <row r="29" spans="1:11" x14ac:dyDescent="0.25">
      <c r="A29" s="91">
        <v>46112</v>
      </c>
      <c r="B29" s="82" t="s">
        <v>9</v>
      </c>
      <c r="C29" s="124" t="s">
        <v>10</v>
      </c>
      <c r="D29" s="82">
        <v>500</v>
      </c>
      <c r="E29" s="82"/>
      <c r="F29" s="82"/>
      <c r="G29" s="82"/>
      <c r="H29" s="90">
        <v>618865</v>
      </c>
      <c r="I29" s="90"/>
      <c r="J29" s="138"/>
      <c r="K29" s="218"/>
    </row>
    <row r="30" spans="1:11" x14ac:dyDescent="0.25">
      <c r="A30" s="91">
        <v>46113</v>
      </c>
      <c r="B30" s="82" t="s">
        <v>10</v>
      </c>
      <c r="C30" s="124" t="s">
        <v>229</v>
      </c>
      <c r="D30" s="82">
        <v>10</v>
      </c>
      <c r="E30" s="82"/>
      <c r="F30" s="82"/>
      <c r="G30" s="82"/>
      <c r="H30" s="128" t="s">
        <v>66</v>
      </c>
      <c r="I30" s="90"/>
      <c r="J30" s="138"/>
      <c r="K30" s="218"/>
    </row>
    <row r="31" spans="1:11" x14ac:dyDescent="0.25">
      <c r="A31" s="91">
        <v>46113</v>
      </c>
      <c r="B31" s="82" t="s">
        <v>229</v>
      </c>
      <c r="C31" s="124" t="s">
        <v>10</v>
      </c>
      <c r="D31" s="82">
        <v>10</v>
      </c>
      <c r="E31" s="82"/>
      <c r="F31" s="82"/>
      <c r="G31" s="82"/>
      <c r="H31" s="123">
        <v>1062968</v>
      </c>
      <c r="I31" s="90" t="s">
        <v>360</v>
      </c>
      <c r="J31" s="138"/>
      <c r="K31" s="218"/>
    </row>
    <row r="32" spans="1:11" x14ac:dyDescent="0.25">
      <c r="A32" s="91">
        <v>46113</v>
      </c>
      <c r="B32" s="82" t="s">
        <v>10</v>
      </c>
      <c r="C32" s="124" t="s">
        <v>9</v>
      </c>
      <c r="D32" s="82">
        <v>500</v>
      </c>
      <c r="E32" s="82"/>
      <c r="F32" s="82">
        <v>34.450000000000003</v>
      </c>
      <c r="G32" s="82"/>
      <c r="H32" s="90">
        <v>1063032</v>
      </c>
      <c r="I32" s="90" t="s">
        <v>176</v>
      </c>
      <c r="J32" s="138"/>
      <c r="K32" s="218"/>
    </row>
    <row r="33" spans="1:11" x14ac:dyDescent="0.25">
      <c r="A33" s="91">
        <v>46118</v>
      </c>
      <c r="B33" s="82" t="s">
        <v>9</v>
      </c>
      <c r="C33" s="124" t="s">
        <v>104</v>
      </c>
      <c r="D33" s="82">
        <v>320</v>
      </c>
      <c r="E33" s="82"/>
      <c r="F33" s="82"/>
      <c r="G33" s="82"/>
      <c r="H33" s="123">
        <v>764963</v>
      </c>
      <c r="I33" s="90"/>
      <c r="J33" s="138"/>
      <c r="K33" s="218">
        <v>857189.3</v>
      </c>
    </row>
    <row r="34" spans="1:11" x14ac:dyDescent="0.25">
      <c r="A34" s="91">
        <v>46119</v>
      </c>
      <c r="B34" s="82" t="s">
        <v>104</v>
      </c>
      <c r="C34" s="124" t="s">
        <v>9</v>
      </c>
      <c r="D34" s="82">
        <v>320</v>
      </c>
      <c r="E34" s="82"/>
      <c r="F34" s="82"/>
      <c r="G34" s="82"/>
      <c r="H34" s="128" t="s">
        <v>66</v>
      </c>
      <c r="I34" s="90"/>
      <c r="J34" s="138"/>
      <c r="K34" s="218"/>
    </row>
    <row r="35" spans="1:11" x14ac:dyDescent="0.25">
      <c r="A35" s="91">
        <v>46120</v>
      </c>
      <c r="B35" s="82" t="s">
        <v>9</v>
      </c>
      <c r="C35" s="124" t="s">
        <v>103</v>
      </c>
      <c r="D35" s="82">
        <v>180</v>
      </c>
      <c r="E35" s="82"/>
      <c r="F35" s="82"/>
      <c r="G35" s="82"/>
      <c r="H35" s="123">
        <v>765168</v>
      </c>
      <c r="I35" s="90"/>
      <c r="J35" s="138"/>
      <c r="K35" s="218"/>
    </row>
    <row r="36" spans="1:11" x14ac:dyDescent="0.25">
      <c r="A36" s="91">
        <v>46120</v>
      </c>
      <c r="B36" s="82" t="s">
        <v>103</v>
      </c>
      <c r="C36" s="124" t="s">
        <v>9</v>
      </c>
      <c r="D36" s="82">
        <v>220</v>
      </c>
      <c r="E36" s="82"/>
      <c r="F36" s="82"/>
      <c r="G36" s="82"/>
      <c r="H36" s="123">
        <v>33294</v>
      </c>
      <c r="I36" s="90" t="s">
        <v>395</v>
      </c>
      <c r="J36" s="138"/>
      <c r="K36" s="218"/>
    </row>
    <row r="37" spans="1:11" x14ac:dyDescent="0.25">
      <c r="A37" s="91">
        <v>46120</v>
      </c>
      <c r="B37" s="82" t="s">
        <v>9</v>
      </c>
      <c r="C37" s="124" t="s">
        <v>396</v>
      </c>
      <c r="D37" s="82">
        <v>325</v>
      </c>
      <c r="E37" s="82"/>
      <c r="F37" s="82"/>
      <c r="G37" s="82"/>
      <c r="H37" s="90">
        <v>619282</v>
      </c>
      <c r="I37" s="90"/>
      <c r="J37" s="138"/>
      <c r="K37" s="218">
        <v>1017282.16</v>
      </c>
    </row>
    <row r="38" spans="1:11" x14ac:dyDescent="0.25">
      <c r="A38" s="91">
        <v>46121</v>
      </c>
      <c r="B38" s="82" t="s">
        <v>396</v>
      </c>
      <c r="C38" s="124" t="s">
        <v>9</v>
      </c>
      <c r="D38" s="82">
        <v>325</v>
      </c>
      <c r="E38" s="82"/>
      <c r="F38" s="82"/>
      <c r="G38" s="82"/>
      <c r="H38" s="83" t="s">
        <v>66</v>
      </c>
      <c r="I38" s="90"/>
      <c r="J38" s="138"/>
      <c r="K38" s="218"/>
    </row>
    <row r="39" spans="1:11" x14ac:dyDescent="0.25">
      <c r="A39" s="91">
        <v>46121</v>
      </c>
      <c r="B39" s="82" t="s">
        <v>9</v>
      </c>
      <c r="C39" s="124" t="s">
        <v>103</v>
      </c>
      <c r="D39" s="82">
        <v>180</v>
      </c>
      <c r="E39" s="82"/>
      <c r="F39" s="82"/>
      <c r="G39" s="82"/>
      <c r="H39" s="123">
        <v>765468</v>
      </c>
      <c r="I39" s="90"/>
      <c r="J39" s="138"/>
      <c r="K39" s="218"/>
    </row>
    <row r="40" spans="1:11" x14ac:dyDescent="0.25">
      <c r="A40" s="91">
        <v>46122</v>
      </c>
      <c r="B40" s="82" t="s">
        <v>103</v>
      </c>
      <c r="C40" s="124" t="s">
        <v>9</v>
      </c>
      <c r="D40" s="82">
        <v>200</v>
      </c>
      <c r="E40" s="82"/>
      <c r="F40" s="82"/>
      <c r="G40" s="82"/>
      <c r="H40" s="123">
        <v>182565</v>
      </c>
      <c r="I40" s="90" t="s">
        <v>259</v>
      </c>
      <c r="J40" s="138"/>
      <c r="K40" s="218"/>
    </row>
    <row r="41" spans="1:11" x14ac:dyDescent="0.25">
      <c r="A41" s="91">
        <v>46123</v>
      </c>
      <c r="B41" s="82" t="s">
        <v>9</v>
      </c>
      <c r="C41" s="124" t="s">
        <v>351</v>
      </c>
      <c r="D41" s="82">
        <v>1010</v>
      </c>
      <c r="E41" s="82"/>
      <c r="F41" s="82">
        <v>35.21</v>
      </c>
      <c r="G41" s="82"/>
      <c r="H41" s="90">
        <v>619507</v>
      </c>
      <c r="I41" s="90" t="s">
        <v>257</v>
      </c>
      <c r="J41" s="138"/>
      <c r="K41" s="218">
        <v>2312449.14</v>
      </c>
    </row>
    <row r="42" spans="1:11" x14ac:dyDescent="0.25">
      <c r="A42" s="91">
        <v>46125</v>
      </c>
      <c r="B42" s="82" t="s">
        <v>351</v>
      </c>
      <c r="C42" s="124" t="s">
        <v>227</v>
      </c>
      <c r="D42" s="82">
        <v>240</v>
      </c>
      <c r="E42" s="82"/>
      <c r="F42" s="82"/>
      <c r="G42" s="82"/>
      <c r="H42" s="83" t="s">
        <v>66</v>
      </c>
      <c r="I42" s="90"/>
      <c r="J42" s="138"/>
      <c r="K42" s="218"/>
    </row>
    <row r="43" spans="1:11" x14ac:dyDescent="0.25">
      <c r="A43" s="91">
        <v>46125</v>
      </c>
      <c r="B43" s="82" t="s">
        <v>296</v>
      </c>
      <c r="C43" s="124" t="s">
        <v>9</v>
      </c>
      <c r="D43" s="82">
        <v>820</v>
      </c>
      <c r="E43" s="82"/>
      <c r="F43" s="82">
        <v>35</v>
      </c>
      <c r="G43" s="82"/>
      <c r="H43" s="90">
        <v>189456</v>
      </c>
      <c r="I43" s="90" t="s">
        <v>304</v>
      </c>
      <c r="J43" s="138"/>
      <c r="K43" s="218">
        <v>970476.83</v>
      </c>
    </row>
    <row r="44" spans="1:11" x14ac:dyDescent="0.25">
      <c r="A44" s="91">
        <v>46126</v>
      </c>
      <c r="B44" s="227" t="s">
        <v>9</v>
      </c>
      <c r="C44" s="124" t="s">
        <v>300</v>
      </c>
      <c r="D44" s="82">
        <v>430</v>
      </c>
      <c r="E44" s="82"/>
      <c r="F44" s="82"/>
      <c r="G44" s="82"/>
      <c r="H44" s="123">
        <v>293868</v>
      </c>
      <c r="I44" s="90" t="s">
        <v>15</v>
      </c>
      <c r="J44" s="138"/>
      <c r="K44" s="218"/>
    </row>
    <row r="45" spans="1:11" x14ac:dyDescent="0.25">
      <c r="A45" s="91">
        <v>46127</v>
      </c>
      <c r="B45" s="227" t="s">
        <v>300</v>
      </c>
      <c r="C45" s="82" t="s">
        <v>357</v>
      </c>
      <c r="D45" s="82">
        <v>10</v>
      </c>
      <c r="E45" s="82"/>
      <c r="F45" s="82"/>
      <c r="G45" s="82"/>
      <c r="H45" s="128" t="s">
        <v>66</v>
      </c>
      <c r="I45" s="90"/>
      <c r="J45" s="138"/>
      <c r="K45" s="218"/>
    </row>
    <row r="46" spans="1:11" x14ac:dyDescent="0.25">
      <c r="A46" s="91">
        <v>46127</v>
      </c>
      <c r="B46" s="82" t="s">
        <v>357</v>
      </c>
      <c r="C46" s="124" t="s">
        <v>356</v>
      </c>
      <c r="D46" s="82">
        <v>990</v>
      </c>
      <c r="E46" s="82"/>
      <c r="F46" s="82">
        <v>34.44</v>
      </c>
      <c r="G46" s="82"/>
      <c r="H46" s="90">
        <v>153207</v>
      </c>
      <c r="I46" s="90" t="s">
        <v>357</v>
      </c>
      <c r="J46" s="138"/>
      <c r="K46" s="218"/>
    </row>
    <row r="47" spans="1:11" x14ac:dyDescent="0.25">
      <c r="A47" s="91">
        <v>46128</v>
      </c>
      <c r="B47" s="82" t="s">
        <v>356</v>
      </c>
      <c r="C47" s="124" t="s">
        <v>432</v>
      </c>
      <c r="D47" s="82">
        <v>430</v>
      </c>
      <c r="E47" s="82"/>
      <c r="F47" s="82"/>
      <c r="G47" s="82"/>
      <c r="H47" s="90">
        <v>504060</v>
      </c>
      <c r="I47" s="90"/>
      <c r="J47" s="138"/>
      <c r="K47" s="218"/>
    </row>
    <row r="48" spans="1:11" x14ac:dyDescent="0.25">
      <c r="A48" s="91">
        <v>46129</v>
      </c>
      <c r="B48" s="82" t="s">
        <v>432</v>
      </c>
      <c r="C48" s="124" t="s">
        <v>347</v>
      </c>
      <c r="D48" s="82">
        <v>150</v>
      </c>
      <c r="E48" s="82"/>
      <c r="F48" s="82"/>
      <c r="G48" s="82"/>
      <c r="H48" s="83" t="s">
        <v>66</v>
      </c>
      <c r="I48" s="90"/>
      <c r="J48" s="138"/>
      <c r="K48" s="218"/>
    </row>
    <row r="49" spans="1:11" x14ac:dyDescent="0.25">
      <c r="A49" s="91">
        <v>46130</v>
      </c>
      <c r="B49" s="82" t="s">
        <v>347</v>
      </c>
      <c r="C49" s="124" t="s">
        <v>75</v>
      </c>
      <c r="D49" s="82">
        <v>370</v>
      </c>
      <c r="E49" s="82"/>
      <c r="F49" s="82">
        <v>35.700000000000003</v>
      </c>
      <c r="G49" s="82"/>
      <c r="H49" s="90" t="s">
        <v>433</v>
      </c>
      <c r="I49" s="90"/>
      <c r="J49" s="138"/>
      <c r="K49" s="218"/>
    </row>
    <row r="50" spans="1:11" x14ac:dyDescent="0.25">
      <c r="A50" s="91">
        <v>46130</v>
      </c>
      <c r="B50" s="82" t="s">
        <v>75</v>
      </c>
      <c r="C50" s="124" t="s">
        <v>10</v>
      </c>
      <c r="D50" s="82">
        <v>80</v>
      </c>
      <c r="E50" s="82"/>
      <c r="F50" s="82"/>
      <c r="G50" s="82"/>
      <c r="H50" s="83" t="s">
        <v>66</v>
      </c>
      <c r="I50" s="90"/>
      <c r="J50" s="138"/>
      <c r="K50" s="218"/>
    </row>
    <row r="51" spans="1:11" x14ac:dyDescent="0.25">
      <c r="A51" s="91">
        <v>46130</v>
      </c>
      <c r="B51" s="82" t="s">
        <v>10</v>
      </c>
      <c r="C51" s="82" t="s">
        <v>9</v>
      </c>
      <c r="D51" s="82">
        <v>500</v>
      </c>
      <c r="E51" s="82"/>
      <c r="F51" s="82">
        <v>34.67</v>
      </c>
      <c r="G51" s="82"/>
      <c r="H51" s="123">
        <v>1065812</v>
      </c>
      <c r="I51" s="90" t="s">
        <v>368</v>
      </c>
      <c r="J51" s="138"/>
      <c r="K51" s="218"/>
    </row>
    <row r="52" spans="1:11" x14ac:dyDescent="0.25">
      <c r="A52" s="91">
        <v>46134</v>
      </c>
      <c r="B52" s="227" t="s">
        <v>9</v>
      </c>
      <c r="C52" s="124" t="s">
        <v>300</v>
      </c>
      <c r="D52" s="82">
        <v>430</v>
      </c>
      <c r="E52" s="82"/>
      <c r="F52" s="82">
        <v>34.68</v>
      </c>
      <c r="G52" s="82"/>
      <c r="H52" s="123">
        <v>294340</v>
      </c>
      <c r="I52" s="90" t="s">
        <v>15</v>
      </c>
      <c r="J52" s="138"/>
      <c r="K52" s="218"/>
    </row>
    <row r="53" spans="1:11" x14ac:dyDescent="0.25">
      <c r="A53" s="91">
        <v>46135</v>
      </c>
      <c r="B53" s="227" t="s">
        <v>300</v>
      </c>
      <c r="C53" s="124" t="s">
        <v>118</v>
      </c>
      <c r="D53" s="82">
        <v>100</v>
      </c>
      <c r="E53" s="82"/>
      <c r="F53" s="82"/>
      <c r="G53" s="82"/>
      <c r="H53" s="128" t="s">
        <v>66</v>
      </c>
      <c r="I53" s="90"/>
      <c r="J53" s="138"/>
      <c r="K53" s="218"/>
    </row>
    <row r="54" spans="1:11" x14ac:dyDescent="0.25">
      <c r="A54" s="91">
        <v>46136</v>
      </c>
      <c r="B54" s="82" t="s">
        <v>118</v>
      </c>
      <c r="C54" s="124" t="s">
        <v>385</v>
      </c>
      <c r="D54" s="82">
        <v>1560</v>
      </c>
      <c r="E54" s="82"/>
      <c r="F54" s="82"/>
      <c r="G54" s="82"/>
      <c r="H54" s="90">
        <v>122669</v>
      </c>
      <c r="I54" s="90" t="s">
        <v>386</v>
      </c>
      <c r="J54" s="138"/>
      <c r="K54" s="218"/>
    </row>
    <row r="55" spans="1:11" x14ac:dyDescent="0.25">
      <c r="A55" s="91">
        <v>46138</v>
      </c>
      <c r="B55" s="124" t="s">
        <v>385</v>
      </c>
      <c r="C55" s="124" t="s">
        <v>227</v>
      </c>
      <c r="D55" s="82">
        <v>270</v>
      </c>
      <c r="E55" s="82"/>
      <c r="F55" s="82"/>
      <c r="G55" s="82"/>
      <c r="H55" s="83" t="s">
        <v>66</v>
      </c>
      <c r="I55" s="90"/>
      <c r="J55" s="138"/>
      <c r="K55" s="218"/>
    </row>
    <row r="56" spans="1:11" x14ac:dyDescent="0.25">
      <c r="A56" s="91">
        <v>46139</v>
      </c>
      <c r="B56" s="82" t="s">
        <v>296</v>
      </c>
      <c r="C56" s="124" t="s">
        <v>9</v>
      </c>
      <c r="D56" s="82">
        <v>820</v>
      </c>
      <c r="E56" s="82"/>
      <c r="F56" s="82">
        <v>34.200000000000003</v>
      </c>
      <c r="G56" s="82"/>
      <c r="H56" s="90">
        <v>189965</v>
      </c>
      <c r="I56" s="90" t="s">
        <v>304</v>
      </c>
      <c r="J56" s="138"/>
      <c r="K56" s="218"/>
    </row>
    <row r="57" spans="1:11" x14ac:dyDescent="0.25">
      <c r="A57" s="91">
        <v>46140</v>
      </c>
      <c r="B57" s="82" t="s">
        <v>9</v>
      </c>
      <c r="C57" s="124" t="s">
        <v>370</v>
      </c>
      <c r="D57" s="82">
        <v>360</v>
      </c>
      <c r="E57" s="82"/>
      <c r="F57" s="82"/>
      <c r="G57" s="82"/>
      <c r="H57" s="90">
        <v>620478</v>
      </c>
      <c r="I57" s="90"/>
      <c r="J57" s="138"/>
      <c r="K57" s="218"/>
    </row>
    <row r="58" spans="1:11" x14ac:dyDescent="0.25">
      <c r="A58" s="91">
        <v>46141</v>
      </c>
      <c r="B58" s="82" t="s">
        <v>370</v>
      </c>
      <c r="C58" s="124" t="s">
        <v>10</v>
      </c>
      <c r="D58" s="82">
        <v>180</v>
      </c>
      <c r="E58" s="82"/>
      <c r="F58" s="82"/>
      <c r="G58" s="82"/>
      <c r="H58" s="83" t="s">
        <v>66</v>
      </c>
      <c r="I58" s="90"/>
      <c r="J58" s="138"/>
      <c r="K58" s="218"/>
    </row>
    <row r="59" spans="1:11" x14ac:dyDescent="0.25">
      <c r="A59" s="91">
        <v>46141</v>
      </c>
      <c r="B59" s="82" t="s">
        <v>10</v>
      </c>
      <c r="C59" s="124" t="s">
        <v>9</v>
      </c>
      <c r="D59" s="82">
        <v>500</v>
      </c>
      <c r="E59" s="82"/>
      <c r="F59" s="82">
        <v>34.86</v>
      </c>
      <c r="G59" s="82"/>
      <c r="H59" s="90">
        <v>1067745</v>
      </c>
      <c r="I59" s="90" t="s">
        <v>176</v>
      </c>
      <c r="J59" s="138"/>
      <c r="K59" s="218"/>
    </row>
    <row r="60" spans="1:11" x14ac:dyDescent="0.25">
      <c r="A60" s="91"/>
      <c r="B60" s="82"/>
      <c r="C60" s="124"/>
      <c r="D60" s="151" t="s">
        <v>446</v>
      </c>
      <c r="E60" s="82"/>
      <c r="F60" s="82"/>
      <c r="G60" s="82"/>
      <c r="H60" s="90"/>
      <c r="I60" s="90"/>
      <c r="J60" s="138"/>
      <c r="K60" s="218"/>
    </row>
    <row r="61" spans="1:11" x14ac:dyDescent="0.25">
      <c r="A61" s="5"/>
      <c r="B61" s="6"/>
      <c r="C61" s="6"/>
      <c r="D61" s="6"/>
      <c r="E61" s="6"/>
      <c r="F61" s="6"/>
      <c r="G61" s="6"/>
      <c r="H61" s="7"/>
      <c r="I61" s="7"/>
      <c r="J61" s="140"/>
      <c r="K61" s="218"/>
    </row>
    <row r="62" spans="1:11" x14ac:dyDescent="0.25">
      <c r="D62" s="17">
        <f>SUM(D3:D61)</f>
        <v>12340</v>
      </c>
      <c r="E62" s="13"/>
      <c r="F62" s="13">
        <f>AVERAGE(F3:F60)</f>
        <v>34.801111111111112</v>
      </c>
      <c r="G62" s="13"/>
      <c r="J62" s="139">
        <f>SUM(J3:J61)</f>
        <v>0</v>
      </c>
      <c r="K62" s="219">
        <f>SUM(K3:K61)</f>
        <v>5157397.43</v>
      </c>
    </row>
    <row r="64" spans="1:11" x14ac:dyDescent="0.25">
      <c r="B64">
        <v>-2020</v>
      </c>
      <c r="D64" s="11"/>
      <c r="E64" s="11"/>
      <c r="F64" s="11"/>
      <c r="G64" s="11"/>
      <c r="K64" s="4"/>
    </row>
    <row r="65" spans="2:11" x14ac:dyDescent="0.25">
      <c r="B65">
        <v>520</v>
      </c>
      <c r="C65" t="s">
        <v>12</v>
      </c>
      <c r="D65" s="11">
        <v>44098</v>
      </c>
      <c r="E65" s="11"/>
      <c r="F65" s="11"/>
      <c r="G65" s="11"/>
      <c r="K65" s="4"/>
    </row>
    <row r="66" spans="2:11" x14ac:dyDescent="0.25">
      <c r="B66">
        <v>-500</v>
      </c>
      <c r="C66" t="s">
        <v>13</v>
      </c>
      <c r="D66" s="11">
        <v>44098</v>
      </c>
      <c r="E66" s="11"/>
      <c r="F66" s="11"/>
      <c r="G66" s="11"/>
      <c r="K66" s="4"/>
    </row>
    <row r="67" spans="2:11" x14ac:dyDescent="0.25">
      <c r="B67">
        <v>480</v>
      </c>
      <c r="C67" t="s">
        <v>12</v>
      </c>
      <c r="D67" s="11"/>
      <c r="E67" s="11"/>
      <c r="F67" s="11"/>
      <c r="G67" s="11"/>
      <c r="K67" s="4"/>
    </row>
    <row r="68" spans="2:11" x14ac:dyDescent="0.25">
      <c r="B68">
        <v>-500</v>
      </c>
      <c r="C68" t="s">
        <v>13</v>
      </c>
      <c r="D68" s="11"/>
      <c r="E68" s="11"/>
      <c r="F68" s="11"/>
      <c r="G68" s="11"/>
      <c r="K68" s="4"/>
    </row>
    <row r="69" spans="2:11" x14ac:dyDescent="0.25">
      <c r="B69">
        <v>200</v>
      </c>
      <c r="C69" t="s">
        <v>12</v>
      </c>
      <c r="D69" s="11">
        <v>44109</v>
      </c>
      <c r="E69" s="11"/>
      <c r="F69" s="11"/>
      <c r="G69" s="11"/>
      <c r="K69" s="4"/>
    </row>
    <row r="70" spans="2:11" x14ac:dyDescent="0.25">
      <c r="B70">
        <v>-200</v>
      </c>
      <c r="C70" t="s">
        <v>13</v>
      </c>
      <c r="D70" s="11">
        <v>44109</v>
      </c>
      <c r="E70" s="11"/>
      <c r="F70" s="11"/>
      <c r="G70" s="11"/>
      <c r="K70" s="4"/>
    </row>
    <row r="71" spans="2:11" x14ac:dyDescent="0.25">
      <c r="B71">
        <v>260</v>
      </c>
      <c r="C71" t="s">
        <v>12</v>
      </c>
      <c r="D71" s="11">
        <v>44114</v>
      </c>
      <c r="E71" s="11"/>
      <c r="F71" s="11"/>
      <c r="G71" s="11"/>
      <c r="K71" s="4"/>
    </row>
    <row r="72" spans="2:11" x14ac:dyDescent="0.25">
      <c r="B72">
        <v>-300</v>
      </c>
      <c r="C72" t="s">
        <v>13</v>
      </c>
      <c r="D72" s="11"/>
      <c r="E72" s="11"/>
      <c r="F72" s="11"/>
      <c r="G72" s="11"/>
      <c r="K72" s="4"/>
    </row>
    <row r="73" spans="2:11" x14ac:dyDescent="0.25">
      <c r="B73">
        <v>480</v>
      </c>
      <c r="C73" t="s">
        <v>12</v>
      </c>
      <c r="D73" s="11">
        <v>44123</v>
      </c>
      <c r="E73" s="11"/>
      <c r="F73" s="11"/>
      <c r="G73" s="11"/>
      <c r="K73" s="4"/>
    </row>
    <row r="74" spans="2:11" x14ac:dyDescent="0.25">
      <c r="B74">
        <v>-500</v>
      </c>
      <c r="C74" t="s">
        <v>13</v>
      </c>
      <c r="D74" s="11">
        <v>44123</v>
      </c>
      <c r="E74" s="11"/>
      <c r="F74" s="11"/>
      <c r="G74" s="11"/>
      <c r="K74" s="4"/>
    </row>
    <row r="75" spans="2:11" x14ac:dyDescent="0.25">
      <c r="B75">
        <v>400</v>
      </c>
      <c r="C75" t="s">
        <v>12</v>
      </c>
      <c r="D75" s="11">
        <v>44132</v>
      </c>
      <c r="E75" s="11"/>
      <c r="F75" s="11"/>
      <c r="G75" s="11"/>
      <c r="K75" s="4"/>
    </row>
    <row r="76" spans="2:11" x14ac:dyDescent="0.25">
      <c r="B76">
        <v>-400</v>
      </c>
      <c r="C76" t="s">
        <v>13</v>
      </c>
      <c r="D76" s="11"/>
      <c r="E76" s="11"/>
      <c r="F76" s="11"/>
      <c r="G76" s="11"/>
      <c r="K76" s="4"/>
    </row>
    <row r="77" spans="2:11" x14ac:dyDescent="0.25">
      <c r="B77">
        <v>200</v>
      </c>
      <c r="C77" t="s">
        <v>12</v>
      </c>
      <c r="D77" s="11">
        <v>44139</v>
      </c>
      <c r="E77" s="11"/>
      <c r="F77" s="11"/>
      <c r="G77" s="11"/>
      <c r="K77" s="4"/>
    </row>
    <row r="78" spans="2:11" x14ac:dyDescent="0.25">
      <c r="B78">
        <v>680</v>
      </c>
      <c r="C78" t="s">
        <v>12</v>
      </c>
      <c r="D78" s="11"/>
      <c r="E78" s="11"/>
      <c r="F78" s="11"/>
      <c r="G78" s="11"/>
      <c r="K78" s="4"/>
    </row>
    <row r="79" spans="2:11" x14ac:dyDescent="0.25">
      <c r="B79">
        <v>-700</v>
      </c>
      <c r="C79" t="s">
        <v>13</v>
      </c>
      <c r="D79" s="11"/>
      <c r="E79" s="11"/>
      <c r="F79" s="11"/>
      <c r="G79" s="11"/>
      <c r="K79" s="4"/>
    </row>
    <row r="80" spans="2:11" x14ac:dyDescent="0.25">
      <c r="B80">
        <v>200</v>
      </c>
      <c r="C80" t="s">
        <v>12</v>
      </c>
      <c r="D80" s="11"/>
      <c r="E80" s="11"/>
      <c r="F80" s="11"/>
      <c r="G80" s="11"/>
      <c r="K80" s="4"/>
    </row>
    <row r="81" spans="2:11" x14ac:dyDescent="0.25">
      <c r="B81">
        <v>-300</v>
      </c>
      <c r="C81" t="s">
        <v>13</v>
      </c>
      <c r="D81" s="11"/>
      <c r="E81" s="11"/>
      <c r="F81" s="11"/>
      <c r="G81" s="11"/>
      <c r="K81" s="4"/>
    </row>
    <row r="82" spans="2:11" x14ac:dyDescent="0.25">
      <c r="B82">
        <v>200</v>
      </c>
      <c r="C82" t="s">
        <v>12</v>
      </c>
      <c r="D82" s="11">
        <v>44166</v>
      </c>
      <c r="E82" s="11"/>
      <c r="F82" s="11"/>
      <c r="G82" s="11"/>
      <c r="K82" s="4"/>
    </row>
    <row r="83" spans="2:11" x14ac:dyDescent="0.25">
      <c r="B83">
        <v>-200</v>
      </c>
      <c r="C83" t="s">
        <v>13</v>
      </c>
      <c r="D83" s="11">
        <v>44166</v>
      </c>
      <c r="E83" s="11"/>
      <c r="F83" s="11"/>
      <c r="G83" s="11"/>
      <c r="K83" s="4"/>
    </row>
    <row r="84" spans="2:11" x14ac:dyDescent="0.25">
      <c r="B84">
        <v>960</v>
      </c>
      <c r="C84" t="s">
        <v>12</v>
      </c>
      <c r="D84" s="11">
        <v>44179</v>
      </c>
      <c r="E84" s="11"/>
      <c r="F84" s="11"/>
      <c r="G84" s="11"/>
      <c r="K84" s="4"/>
    </row>
    <row r="85" spans="2:11" x14ac:dyDescent="0.25">
      <c r="B85">
        <v>-1000</v>
      </c>
      <c r="C85" t="s">
        <v>13</v>
      </c>
      <c r="D85" s="11">
        <v>44179</v>
      </c>
      <c r="E85" s="11"/>
      <c r="F85" s="11"/>
      <c r="G85" s="11"/>
      <c r="K85" s="4"/>
    </row>
    <row r="86" spans="2:11" x14ac:dyDescent="0.25">
      <c r="B86">
        <v>480</v>
      </c>
      <c r="C86" t="s">
        <v>12</v>
      </c>
      <c r="D86" s="11">
        <v>44182</v>
      </c>
      <c r="E86" s="11"/>
      <c r="F86" s="11"/>
      <c r="G86" s="11"/>
      <c r="K86" s="4"/>
    </row>
    <row r="87" spans="2:11" x14ac:dyDescent="0.25">
      <c r="B87">
        <v>-500</v>
      </c>
      <c r="C87" t="s">
        <v>13</v>
      </c>
      <c r="D87" s="11"/>
      <c r="E87" s="11"/>
      <c r="F87" s="11"/>
      <c r="G87" s="11"/>
      <c r="K87" s="4"/>
    </row>
    <row r="88" spans="2:11" x14ac:dyDescent="0.25">
      <c r="B88">
        <v>400</v>
      </c>
      <c r="C88" t="s">
        <v>12</v>
      </c>
      <c r="D88" s="11">
        <v>44191</v>
      </c>
      <c r="E88" s="11"/>
      <c r="F88" s="11"/>
      <c r="G88" s="11"/>
      <c r="K88" s="4"/>
    </row>
    <row r="89" spans="2:11" x14ac:dyDescent="0.25">
      <c r="B89">
        <v>-400</v>
      </c>
      <c r="C89" t="s">
        <v>13</v>
      </c>
      <c r="D89" s="11"/>
      <c r="E89" s="11"/>
      <c r="F89" s="11"/>
      <c r="G89" s="11"/>
      <c r="K89" s="4"/>
    </row>
    <row r="90" spans="2:11" x14ac:dyDescent="0.25">
      <c r="B90">
        <v>695</v>
      </c>
      <c r="C90" t="s">
        <v>12</v>
      </c>
      <c r="D90" s="11"/>
      <c r="E90" s="11"/>
      <c r="F90" s="11"/>
      <c r="G90" s="11"/>
      <c r="K90" s="4"/>
    </row>
    <row r="91" spans="2:11" x14ac:dyDescent="0.25">
      <c r="B91">
        <v>-700</v>
      </c>
      <c r="C91" t="s">
        <v>13</v>
      </c>
      <c r="D91" s="11"/>
      <c r="E91" s="11"/>
      <c r="F91" s="11"/>
      <c r="G91" s="11"/>
      <c r="K91" s="4"/>
    </row>
    <row r="92" spans="2:11" x14ac:dyDescent="0.25">
      <c r="B92">
        <v>200</v>
      </c>
      <c r="C92" t="s">
        <v>12</v>
      </c>
      <c r="D92" s="11"/>
      <c r="E92" s="11"/>
      <c r="F92" s="11"/>
      <c r="G92" s="11"/>
      <c r="K92" s="4"/>
    </row>
    <row r="93" spans="2:11" x14ac:dyDescent="0.25">
      <c r="B93">
        <v>-200</v>
      </c>
      <c r="C93" t="s">
        <v>13</v>
      </c>
      <c r="D93" s="11"/>
      <c r="E93" s="11"/>
      <c r="F93" s="11"/>
      <c r="G93" s="11"/>
      <c r="K93" s="4"/>
    </row>
    <row r="94" spans="2:11" x14ac:dyDescent="0.25">
      <c r="B94">
        <v>480</v>
      </c>
      <c r="C94" t="s">
        <v>12</v>
      </c>
      <c r="D94" s="11"/>
      <c r="E94" s="11"/>
      <c r="F94" s="11"/>
      <c r="G94" s="11"/>
      <c r="K94" s="4"/>
    </row>
    <row r="95" spans="2:11" x14ac:dyDescent="0.25">
      <c r="B95">
        <v>-500</v>
      </c>
      <c r="C95" t="s">
        <v>13</v>
      </c>
      <c r="D95" s="11"/>
      <c r="E95" s="11"/>
      <c r="F95" s="11"/>
      <c r="G95" s="11"/>
      <c r="K95" s="4"/>
    </row>
    <row r="96" spans="2:11" x14ac:dyDescent="0.25">
      <c r="B96">
        <v>200</v>
      </c>
      <c r="C96" t="s">
        <v>12</v>
      </c>
      <c r="D96" s="11">
        <v>44211</v>
      </c>
      <c r="E96" s="11"/>
      <c r="F96" s="11"/>
      <c r="G96" s="11"/>
      <c r="K96" s="4"/>
    </row>
    <row r="97" spans="2:11" x14ac:dyDescent="0.25">
      <c r="B97">
        <v>-630</v>
      </c>
      <c r="C97" t="s">
        <v>145</v>
      </c>
      <c r="D97" s="11"/>
      <c r="E97" s="11"/>
      <c r="F97" s="11"/>
      <c r="G97" s="11"/>
      <c r="K97" s="4"/>
    </row>
    <row r="98" spans="2:11" x14ac:dyDescent="0.25">
      <c r="B98">
        <v>200</v>
      </c>
      <c r="C98" t="s">
        <v>12</v>
      </c>
      <c r="D98" s="11">
        <v>44221</v>
      </c>
      <c r="E98" s="11"/>
      <c r="F98" s="11"/>
      <c r="G98" s="11"/>
      <c r="K98" s="4"/>
    </row>
    <row r="99" spans="2:11" x14ac:dyDescent="0.25">
      <c r="B99">
        <v>300</v>
      </c>
      <c r="C99" t="s">
        <v>94</v>
      </c>
      <c r="D99" s="11"/>
      <c r="E99" s="11"/>
      <c r="F99" s="11"/>
      <c r="G99" s="11"/>
      <c r="K99" s="4"/>
    </row>
    <row r="100" spans="2:11" x14ac:dyDescent="0.25">
      <c r="B100">
        <v>500</v>
      </c>
      <c r="C100" t="s">
        <v>12</v>
      </c>
      <c r="D100" s="11"/>
      <c r="E100" s="11"/>
      <c r="F100" s="11"/>
      <c r="G100" s="11"/>
      <c r="K100" s="4"/>
    </row>
    <row r="101" spans="2:11" x14ac:dyDescent="0.25">
      <c r="B101">
        <v>-500</v>
      </c>
      <c r="C101" t="s">
        <v>13</v>
      </c>
      <c r="D101" s="11">
        <v>44229</v>
      </c>
      <c r="E101" s="11"/>
      <c r="F101" s="11"/>
      <c r="G101" s="11"/>
      <c r="K101" s="4"/>
    </row>
    <row r="102" spans="2:11" x14ac:dyDescent="0.25">
      <c r="B102">
        <v>300</v>
      </c>
      <c r="C102" t="s">
        <v>94</v>
      </c>
      <c r="D102" s="11">
        <v>44235</v>
      </c>
      <c r="E102" s="11"/>
      <c r="F102" s="11"/>
      <c r="G102" s="11"/>
      <c r="K102" s="4"/>
    </row>
    <row r="103" spans="2:11" x14ac:dyDescent="0.25">
      <c r="B103">
        <v>-300</v>
      </c>
      <c r="C103" t="s">
        <v>13</v>
      </c>
      <c r="D103" s="11"/>
      <c r="E103" s="11"/>
      <c r="F103" s="11"/>
      <c r="G103" s="11"/>
      <c r="K103" s="4"/>
    </row>
    <row r="104" spans="2:11" x14ac:dyDescent="0.25">
      <c r="B104">
        <v>300</v>
      </c>
      <c r="C104" t="s">
        <v>94</v>
      </c>
      <c r="D104" s="11">
        <v>44240</v>
      </c>
      <c r="E104" s="11"/>
      <c r="F104" s="11"/>
      <c r="G104" s="11"/>
      <c r="K104" s="4"/>
    </row>
    <row r="105" spans="2:11" x14ac:dyDescent="0.25">
      <c r="B105">
        <v>-300</v>
      </c>
      <c r="C105" t="s">
        <v>12</v>
      </c>
      <c r="D105" s="11">
        <v>44240</v>
      </c>
      <c r="E105" s="11"/>
      <c r="F105" s="11"/>
      <c r="G105" s="11"/>
      <c r="K105" s="4"/>
    </row>
    <row r="106" spans="2:11" x14ac:dyDescent="0.25">
      <c r="B106">
        <v>200</v>
      </c>
      <c r="C106" t="s">
        <v>12</v>
      </c>
      <c r="D106" s="11">
        <v>44257</v>
      </c>
      <c r="E106" s="11"/>
      <c r="F106" s="11"/>
      <c r="G106" s="11"/>
      <c r="K106" s="4"/>
    </row>
    <row r="107" spans="2:11" x14ac:dyDescent="0.25">
      <c r="B107">
        <v>-200</v>
      </c>
      <c r="C107" t="s">
        <v>13</v>
      </c>
      <c r="D107" s="11"/>
      <c r="E107" s="11"/>
      <c r="F107" s="11"/>
      <c r="G107" s="11"/>
      <c r="K107" s="4"/>
    </row>
    <row r="108" spans="2:11" x14ac:dyDescent="0.25">
      <c r="B108">
        <v>500</v>
      </c>
      <c r="C108" t="s">
        <v>12</v>
      </c>
      <c r="D108" s="11"/>
      <c r="E108" s="11"/>
      <c r="F108" s="11"/>
      <c r="G108" s="11"/>
      <c r="K108" s="4"/>
    </row>
    <row r="109" spans="2:11" x14ac:dyDescent="0.25">
      <c r="B109">
        <v>-500</v>
      </c>
      <c r="C109" t="s">
        <v>13</v>
      </c>
      <c r="D109" s="11"/>
      <c r="E109" s="11"/>
      <c r="F109" s="11"/>
      <c r="G109" s="11"/>
      <c r="K109" s="4"/>
    </row>
    <row r="110" spans="2:11" x14ac:dyDescent="0.25">
      <c r="B110">
        <v>200</v>
      </c>
      <c r="C110" t="s">
        <v>12</v>
      </c>
      <c r="D110" s="11">
        <v>44272</v>
      </c>
      <c r="E110" s="11"/>
      <c r="F110" s="11"/>
      <c r="G110" s="11"/>
      <c r="K110" s="4"/>
    </row>
    <row r="111" spans="2:11" x14ac:dyDescent="0.25">
      <c r="B111">
        <v>-200</v>
      </c>
      <c r="C111" t="s">
        <v>13</v>
      </c>
      <c r="D111" s="11"/>
      <c r="E111" s="11"/>
      <c r="F111" s="11"/>
      <c r="G111" s="11"/>
      <c r="K111" s="4"/>
    </row>
    <row r="112" spans="2:11" x14ac:dyDescent="0.25">
      <c r="B112">
        <v>300</v>
      </c>
      <c r="C112" t="s">
        <v>94</v>
      </c>
      <c r="D112" s="11"/>
      <c r="E112" s="11"/>
      <c r="F112" s="11"/>
      <c r="G112" s="11"/>
      <c r="K112" s="4"/>
    </row>
    <row r="113" spans="2:11" x14ac:dyDescent="0.25">
      <c r="B113">
        <v>200</v>
      </c>
      <c r="C113" t="s">
        <v>12</v>
      </c>
      <c r="D113" s="11"/>
      <c r="E113" s="11"/>
      <c r="F113" s="11"/>
      <c r="G113" s="11"/>
      <c r="K113" s="4"/>
    </row>
    <row r="114" spans="2:11" x14ac:dyDescent="0.25">
      <c r="B114">
        <v>-500</v>
      </c>
      <c r="C114" t="s">
        <v>13</v>
      </c>
      <c r="D114" s="11"/>
      <c r="E114" s="11"/>
      <c r="F114" s="11"/>
      <c r="G114" s="11"/>
      <c r="K114" s="4"/>
    </row>
    <row r="115" spans="2:11" x14ac:dyDescent="0.25">
      <c r="B115">
        <v>915</v>
      </c>
      <c r="C115" t="s">
        <v>12</v>
      </c>
      <c r="D115" s="11">
        <v>44320</v>
      </c>
      <c r="E115" s="11"/>
      <c r="F115" s="11"/>
      <c r="G115" s="11"/>
      <c r="K115" s="4"/>
    </row>
    <row r="116" spans="2:11" x14ac:dyDescent="0.25">
      <c r="B116">
        <v>-900</v>
      </c>
      <c r="C116" t="s">
        <v>13</v>
      </c>
      <c r="D116" s="11"/>
      <c r="E116" s="11"/>
      <c r="F116" s="11"/>
      <c r="G116" s="11"/>
      <c r="K116" s="4"/>
    </row>
    <row r="117" spans="2:11" x14ac:dyDescent="0.25">
      <c r="B117">
        <v>400</v>
      </c>
      <c r="C117" t="s">
        <v>74</v>
      </c>
      <c r="D117" s="11">
        <v>44333</v>
      </c>
      <c r="E117" s="11"/>
      <c r="F117" s="11"/>
      <c r="G117" s="11"/>
      <c r="K117" s="4"/>
    </row>
    <row r="118" spans="2:11" x14ac:dyDescent="0.25">
      <c r="B118">
        <v>-400</v>
      </c>
      <c r="C118" t="s">
        <v>93</v>
      </c>
      <c r="D118" s="11">
        <v>44333</v>
      </c>
      <c r="E118" s="11"/>
      <c r="F118" s="11"/>
      <c r="G118" s="11"/>
      <c r="K118" s="4"/>
    </row>
    <row r="119" spans="2:11" x14ac:dyDescent="0.25">
      <c r="B119">
        <v>200</v>
      </c>
      <c r="C119" t="s">
        <v>12</v>
      </c>
      <c r="D119" s="11">
        <v>44351</v>
      </c>
      <c r="E119" s="11"/>
      <c r="F119" s="11"/>
      <c r="G119" s="11"/>
      <c r="K119" s="4"/>
    </row>
    <row r="120" spans="2:11" x14ac:dyDescent="0.25">
      <c r="B120">
        <v>300</v>
      </c>
      <c r="C120" t="s">
        <v>94</v>
      </c>
      <c r="D120" s="11"/>
      <c r="E120" s="11"/>
      <c r="F120" s="11"/>
      <c r="G120" s="11"/>
      <c r="K120" s="4"/>
    </row>
    <row r="121" spans="2:11" x14ac:dyDescent="0.25">
      <c r="B121">
        <v>-500</v>
      </c>
      <c r="C121" t="s">
        <v>13</v>
      </c>
      <c r="D121" s="11"/>
      <c r="E121" s="11"/>
      <c r="F121" s="11"/>
      <c r="G121" s="11"/>
      <c r="K121" s="4"/>
    </row>
    <row r="122" spans="2:11" x14ac:dyDescent="0.25">
      <c r="B122">
        <v>200</v>
      </c>
      <c r="C122" t="s">
        <v>12</v>
      </c>
      <c r="D122" s="11"/>
      <c r="E122" s="11"/>
      <c r="F122" s="11"/>
      <c r="G122" s="11"/>
      <c r="K122" s="4"/>
    </row>
    <row r="123" spans="2:11" x14ac:dyDescent="0.25">
      <c r="B123">
        <v>-200</v>
      </c>
      <c r="C123" t="s">
        <v>13</v>
      </c>
      <c r="D123" s="11"/>
      <c r="E123" s="11"/>
      <c r="F123" s="11"/>
      <c r="G123" s="11"/>
      <c r="K123" s="4"/>
    </row>
    <row r="124" spans="2:11" x14ac:dyDescent="0.25">
      <c r="B124">
        <v>440</v>
      </c>
      <c r="C124" s="11" t="s">
        <v>12</v>
      </c>
      <c r="D124" s="11"/>
      <c r="E124" s="11"/>
      <c r="F124" s="11"/>
      <c r="G124" s="11"/>
      <c r="K124" s="4"/>
    </row>
    <row r="125" spans="2:11" x14ac:dyDescent="0.25">
      <c r="B125">
        <v>220</v>
      </c>
      <c r="C125" s="11" t="s">
        <v>12</v>
      </c>
      <c r="D125" s="11">
        <v>44387</v>
      </c>
      <c r="E125" s="11"/>
      <c r="F125" s="11"/>
      <c r="G125" s="11"/>
      <c r="K125" s="4"/>
    </row>
    <row r="126" spans="2:11" x14ac:dyDescent="0.25">
      <c r="B126">
        <v>-700</v>
      </c>
      <c r="C126" s="11" t="s">
        <v>13</v>
      </c>
      <c r="D126" s="11"/>
      <c r="E126" s="11"/>
      <c r="F126" s="11"/>
      <c r="G126" s="11"/>
      <c r="K126" s="4"/>
    </row>
    <row r="127" spans="2:11" x14ac:dyDescent="0.25">
      <c r="B127">
        <v>520</v>
      </c>
      <c r="C127" s="11" t="s">
        <v>12</v>
      </c>
      <c r="D127" s="11">
        <v>44394</v>
      </c>
      <c r="E127" s="11"/>
      <c r="F127" s="11"/>
      <c r="G127" s="11"/>
      <c r="K127" s="4"/>
    </row>
    <row r="128" spans="2:11" x14ac:dyDescent="0.25">
      <c r="B128">
        <v>-500</v>
      </c>
      <c r="C128" s="11" t="s">
        <v>13</v>
      </c>
      <c r="D128" s="11"/>
      <c r="E128" s="11"/>
      <c r="F128" s="11"/>
      <c r="G128" s="11"/>
      <c r="K128" s="4"/>
    </row>
    <row r="129" spans="2:11" x14ac:dyDescent="0.25">
      <c r="B129">
        <v>400</v>
      </c>
      <c r="C129" s="11" t="s">
        <v>12</v>
      </c>
      <c r="D129" s="11">
        <v>44406</v>
      </c>
      <c r="E129" s="11"/>
      <c r="F129" s="11"/>
      <c r="G129" s="11"/>
      <c r="K129" s="4"/>
    </row>
    <row r="130" spans="2:11" x14ac:dyDescent="0.25">
      <c r="B130">
        <v>-400</v>
      </c>
      <c r="C130" s="11" t="s">
        <v>13</v>
      </c>
      <c r="D130" s="11">
        <v>44406</v>
      </c>
      <c r="E130" s="11"/>
      <c r="F130" s="11"/>
      <c r="G130" s="11"/>
      <c r="K130" s="4"/>
    </row>
    <row r="131" spans="2:11" x14ac:dyDescent="0.25">
      <c r="B131">
        <v>620</v>
      </c>
      <c r="C131" s="11" t="s">
        <v>12</v>
      </c>
      <c r="D131" s="11"/>
      <c r="E131" s="11"/>
      <c r="F131" s="11"/>
      <c r="G131" s="11"/>
      <c r="K131" s="4"/>
    </row>
    <row r="132" spans="2:11" x14ac:dyDescent="0.25">
      <c r="B132">
        <v>-600</v>
      </c>
      <c r="C132" s="11" t="s">
        <v>13</v>
      </c>
      <c r="D132" s="11">
        <v>44411</v>
      </c>
      <c r="E132" s="11"/>
      <c r="F132" s="11"/>
      <c r="G132" s="11"/>
      <c r="K132" s="4"/>
    </row>
    <row r="133" spans="2:11" x14ac:dyDescent="0.25">
      <c r="B133">
        <v>570</v>
      </c>
      <c r="C133" s="11" t="s">
        <v>12</v>
      </c>
      <c r="D133" s="11">
        <v>44418</v>
      </c>
      <c r="E133" s="11"/>
      <c r="F133" s="11"/>
      <c r="G133" s="11"/>
      <c r="K133" s="4"/>
    </row>
    <row r="134" spans="2:11" x14ac:dyDescent="0.25">
      <c r="B134">
        <v>-600</v>
      </c>
      <c r="C134" s="11" t="s">
        <v>13</v>
      </c>
      <c r="D134" s="11"/>
      <c r="E134" s="11"/>
      <c r="F134" s="11"/>
      <c r="G134" s="11"/>
      <c r="K134" s="4"/>
    </row>
    <row r="135" spans="2:11" x14ac:dyDescent="0.25">
      <c r="B135">
        <v>220</v>
      </c>
      <c r="C135" s="11" t="s">
        <v>12</v>
      </c>
      <c r="D135" s="11">
        <v>44427</v>
      </c>
      <c r="E135" s="11"/>
      <c r="F135" s="11"/>
      <c r="G135" s="11"/>
      <c r="K135" s="4"/>
    </row>
    <row r="136" spans="2:11" x14ac:dyDescent="0.25">
      <c r="B136">
        <v>-200</v>
      </c>
      <c r="C136" s="11" t="s">
        <v>13</v>
      </c>
      <c r="D136" s="11"/>
      <c r="E136" s="11"/>
      <c r="F136" s="11"/>
      <c r="G136" s="11"/>
      <c r="K136" s="4"/>
    </row>
    <row r="137" spans="2:11" x14ac:dyDescent="0.25">
      <c r="B137">
        <v>280</v>
      </c>
      <c r="C137" s="11" t="s">
        <v>12</v>
      </c>
      <c r="D137" s="11"/>
      <c r="E137" s="11"/>
      <c r="F137" s="11"/>
      <c r="G137" s="11"/>
      <c r="K137" s="4"/>
    </row>
    <row r="138" spans="2:11" x14ac:dyDescent="0.25">
      <c r="B138">
        <v>-300</v>
      </c>
      <c r="C138" s="11" t="s">
        <v>13</v>
      </c>
      <c r="D138" s="11">
        <v>44429</v>
      </c>
      <c r="E138" s="11"/>
      <c r="F138" s="11"/>
      <c r="G138" s="11"/>
      <c r="K138" s="4"/>
    </row>
    <row r="139" spans="2:11" x14ac:dyDescent="0.25">
      <c r="B139">
        <v>440</v>
      </c>
      <c r="C139" s="11" t="s">
        <v>12</v>
      </c>
      <c r="D139" s="11">
        <v>44454</v>
      </c>
      <c r="E139" s="11"/>
      <c r="F139" s="11"/>
      <c r="G139" s="11"/>
      <c r="K139" s="4"/>
    </row>
    <row r="140" spans="2:11" x14ac:dyDescent="0.25">
      <c r="B140">
        <v>-500</v>
      </c>
      <c r="C140" s="11" t="s">
        <v>71</v>
      </c>
      <c r="D140" s="11"/>
      <c r="E140" s="11"/>
      <c r="F140" s="11"/>
      <c r="G140" s="11"/>
      <c r="K140" s="4"/>
    </row>
    <row r="141" spans="2:11" x14ac:dyDescent="0.25">
      <c r="B141">
        <v>470</v>
      </c>
      <c r="C141" s="11" t="s">
        <v>12</v>
      </c>
      <c r="D141" s="11">
        <v>44462</v>
      </c>
      <c r="E141" s="11"/>
      <c r="F141" s="11"/>
      <c r="G141" s="11"/>
      <c r="K141" s="4"/>
    </row>
    <row r="142" spans="2:11" x14ac:dyDescent="0.25">
      <c r="B142">
        <v>-500</v>
      </c>
      <c r="C142" s="11" t="s">
        <v>13</v>
      </c>
      <c r="D142" s="11">
        <v>44462</v>
      </c>
      <c r="E142" s="11"/>
      <c r="F142" s="11"/>
      <c r="G142" s="11"/>
      <c r="K142" s="4"/>
    </row>
    <row r="143" spans="2:11" x14ac:dyDescent="0.25">
      <c r="B143">
        <v>220</v>
      </c>
      <c r="C143" s="11" t="s">
        <v>74</v>
      </c>
      <c r="D143" s="11">
        <v>44470</v>
      </c>
      <c r="E143" s="11"/>
      <c r="F143" s="11"/>
      <c r="G143" s="11"/>
      <c r="K143" s="4"/>
    </row>
    <row r="144" spans="2:11" x14ac:dyDescent="0.25">
      <c r="B144">
        <v>-200</v>
      </c>
      <c r="C144" s="11" t="s">
        <v>93</v>
      </c>
      <c r="D144" s="11">
        <v>44470</v>
      </c>
      <c r="E144" s="11"/>
      <c r="F144" s="11"/>
      <c r="G144" s="11"/>
      <c r="K144" s="4"/>
    </row>
    <row r="145" spans="2:11" x14ac:dyDescent="0.25">
      <c r="B145">
        <v>220</v>
      </c>
      <c r="C145" s="11" t="s">
        <v>12</v>
      </c>
      <c r="D145" s="11">
        <v>44474</v>
      </c>
      <c r="E145" s="11"/>
      <c r="F145" s="11"/>
      <c r="G145" s="11"/>
      <c r="K145" s="4"/>
    </row>
    <row r="146" spans="2:11" x14ac:dyDescent="0.25">
      <c r="B146">
        <v>-200</v>
      </c>
      <c r="C146" s="11" t="s">
        <v>13</v>
      </c>
      <c r="D146" s="11">
        <v>44474</v>
      </c>
      <c r="E146" s="11"/>
      <c r="F146" s="11"/>
      <c r="G146" s="11"/>
      <c r="K146" s="4"/>
    </row>
    <row r="147" spans="2:11" x14ac:dyDescent="0.25">
      <c r="B147">
        <v>520</v>
      </c>
      <c r="C147" s="11" t="s">
        <v>12</v>
      </c>
      <c r="D147" s="11">
        <v>44482</v>
      </c>
      <c r="E147" s="11"/>
      <c r="F147" s="11"/>
      <c r="G147" s="11"/>
      <c r="K147" s="4"/>
    </row>
    <row r="148" spans="2:11" x14ac:dyDescent="0.25">
      <c r="B148">
        <v>-500</v>
      </c>
      <c r="C148" s="11" t="s">
        <v>13</v>
      </c>
      <c r="D148" s="11">
        <v>44482</v>
      </c>
      <c r="E148" s="11"/>
      <c r="F148" s="11"/>
      <c r="G148" s="11"/>
      <c r="K148" s="4"/>
    </row>
    <row r="149" spans="2:11" x14ac:dyDescent="0.25">
      <c r="B149">
        <v>220</v>
      </c>
      <c r="C149" s="11" t="s">
        <v>12</v>
      </c>
      <c r="D149" s="11">
        <v>44498</v>
      </c>
      <c r="E149" s="11"/>
      <c r="F149" s="11"/>
      <c r="G149" s="11"/>
      <c r="K149" s="4"/>
    </row>
    <row r="150" spans="2:11" x14ac:dyDescent="0.25">
      <c r="B150">
        <v>-200</v>
      </c>
      <c r="C150" s="11" t="s">
        <v>13</v>
      </c>
      <c r="D150" s="11">
        <v>44498</v>
      </c>
      <c r="E150" s="11"/>
      <c r="F150" s="11"/>
      <c r="G150" s="11"/>
      <c r="K150" s="4"/>
    </row>
    <row r="151" spans="2:11" x14ac:dyDescent="0.25">
      <c r="B151">
        <v>220</v>
      </c>
      <c r="C151" s="11" t="s">
        <v>12</v>
      </c>
      <c r="D151" s="11">
        <v>44506</v>
      </c>
      <c r="E151" s="11"/>
      <c r="F151" s="11"/>
      <c r="G151" s="11"/>
      <c r="K151" s="4"/>
    </row>
    <row r="152" spans="2:11" x14ac:dyDescent="0.25">
      <c r="B152">
        <v>-200</v>
      </c>
      <c r="C152" s="11" t="s">
        <v>13</v>
      </c>
      <c r="D152" s="11">
        <v>44506</v>
      </c>
      <c r="E152" s="11"/>
      <c r="F152" s="11"/>
      <c r="G152" s="11"/>
      <c r="K152" s="4"/>
    </row>
    <row r="153" spans="2:11" x14ac:dyDescent="0.25">
      <c r="B153">
        <v>660</v>
      </c>
      <c r="C153" s="11" t="s">
        <v>12</v>
      </c>
      <c r="D153" s="11">
        <v>44516</v>
      </c>
      <c r="E153" s="11"/>
      <c r="F153" s="11"/>
      <c r="G153" s="11"/>
      <c r="K153" s="4"/>
    </row>
    <row r="154" spans="2:11" x14ac:dyDescent="0.25">
      <c r="B154">
        <v>220</v>
      </c>
      <c r="C154" s="11" t="s">
        <v>12</v>
      </c>
      <c r="D154" s="11">
        <v>44525</v>
      </c>
      <c r="E154" s="11"/>
      <c r="F154" s="11"/>
      <c r="G154" s="11"/>
      <c r="K154" s="4"/>
    </row>
    <row r="155" spans="2:11" x14ac:dyDescent="0.25">
      <c r="B155">
        <v>-900</v>
      </c>
      <c r="C155" s="11" t="s">
        <v>93</v>
      </c>
      <c r="D155" s="11">
        <v>44525</v>
      </c>
      <c r="E155" s="11"/>
      <c r="F155" s="11"/>
      <c r="G155" s="11"/>
      <c r="K155" s="4"/>
    </row>
    <row r="156" spans="2:11" x14ac:dyDescent="0.25">
      <c r="B156">
        <v>520</v>
      </c>
      <c r="C156" s="11" t="s">
        <v>12</v>
      </c>
      <c r="D156" s="11">
        <v>44546</v>
      </c>
      <c r="E156" s="11"/>
      <c r="F156" s="11"/>
      <c r="G156" s="11"/>
      <c r="K156" s="4"/>
    </row>
    <row r="157" spans="2:11" x14ac:dyDescent="0.25">
      <c r="B157">
        <v>-500</v>
      </c>
      <c r="C157" s="11" t="s">
        <v>13</v>
      </c>
      <c r="D157" s="11"/>
      <c r="E157" s="11"/>
      <c r="F157" s="11"/>
      <c r="G157" s="11"/>
      <c r="K157" s="4"/>
    </row>
    <row r="158" spans="2:11" x14ac:dyDescent="0.25">
      <c r="B158">
        <v>220</v>
      </c>
      <c r="C158" s="11" t="s">
        <v>12</v>
      </c>
      <c r="D158" s="11">
        <v>44553</v>
      </c>
      <c r="E158" s="11"/>
      <c r="F158" s="11"/>
      <c r="G158" s="11"/>
      <c r="K158" s="4"/>
    </row>
    <row r="159" spans="2:11" x14ac:dyDescent="0.25">
      <c r="B159">
        <v>-200</v>
      </c>
      <c r="C159" s="11" t="s">
        <v>13</v>
      </c>
      <c r="D159" s="11"/>
      <c r="E159" s="11"/>
      <c r="F159" s="11"/>
      <c r="G159" s="11"/>
      <c r="K159" s="4"/>
    </row>
    <row r="160" spans="2:11" x14ac:dyDescent="0.25">
      <c r="B160">
        <v>620</v>
      </c>
      <c r="C160" s="11" t="s">
        <v>12</v>
      </c>
      <c r="D160" s="11">
        <v>44558</v>
      </c>
      <c r="E160" s="11"/>
      <c r="F160" s="11"/>
      <c r="G160" s="11"/>
      <c r="K160" s="4"/>
    </row>
    <row r="161" spans="2:11" x14ac:dyDescent="0.25">
      <c r="B161">
        <v>-700</v>
      </c>
      <c r="C161" s="11" t="s">
        <v>12</v>
      </c>
      <c r="D161" s="11">
        <v>44558</v>
      </c>
      <c r="E161" s="11"/>
      <c r="F161" s="11"/>
      <c r="G161" s="11"/>
      <c r="K161" s="4"/>
    </row>
    <row r="162" spans="2:11" x14ac:dyDescent="0.25">
      <c r="B162">
        <v>440</v>
      </c>
      <c r="C162" s="11" t="s">
        <v>12</v>
      </c>
      <c r="D162" s="11">
        <v>44565</v>
      </c>
      <c r="E162" s="11"/>
      <c r="F162" s="11"/>
      <c r="G162" s="11"/>
      <c r="K162" s="4"/>
    </row>
    <row r="163" spans="2:11" x14ac:dyDescent="0.25">
      <c r="B163">
        <v>-440</v>
      </c>
      <c r="C163" s="11" t="s">
        <v>12</v>
      </c>
      <c r="D163" s="11">
        <v>44565</v>
      </c>
      <c r="E163" s="11"/>
      <c r="F163" s="11"/>
      <c r="G163" s="11"/>
      <c r="K163" s="4"/>
    </row>
    <row r="164" spans="2:11" x14ac:dyDescent="0.25">
      <c r="B164">
        <v>620</v>
      </c>
      <c r="C164" s="11" t="s">
        <v>12</v>
      </c>
      <c r="D164" s="11">
        <v>44568</v>
      </c>
      <c r="E164" s="11"/>
      <c r="F164" s="11"/>
      <c r="G164" s="11"/>
      <c r="K164" s="4"/>
    </row>
    <row r="165" spans="2:11" x14ac:dyDescent="0.25">
      <c r="B165">
        <v>420</v>
      </c>
      <c r="C165" s="11" t="s">
        <v>94</v>
      </c>
      <c r="D165" s="11">
        <v>44569</v>
      </c>
      <c r="E165" s="11"/>
      <c r="F165" s="11"/>
      <c r="G165" s="11"/>
      <c r="K165" s="4"/>
    </row>
    <row r="166" spans="2:11" x14ac:dyDescent="0.25">
      <c r="B166">
        <v>-1000</v>
      </c>
      <c r="C166" s="11" t="s">
        <v>13</v>
      </c>
      <c r="D166" s="11"/>
      <c r="E166" s="11"/>
      <c r="F166" s="11"/>
      <c r="G166" s="11"/>
      <c r="K166" s="4"/>
    </row>
    <row r="167" spans="2:11" x14ac:dyDescent="0.25">
      <c r="B167">
        <v>620</v>
      </c>
      <c r="C167" s="11" t="s">
        <v>12</v>
      </c>
      <c r="D167" s="11">
        <v>44595</v>
      </c>
      <c r="E167" s="11"/>
      <c r="F167" s="11"/>
      <c r="G167" s="11"/>
      <c r="K167" s="4"/>
    </row>
    <row r="168" spans="2:11" x14ac:dyDescent="0.25">
      <c r="B168">
        <v>-600</v>
      </c>
      <c r="C168" s="11" t="s">
        <v>13</v>
      </c>
      <c r="D168" s="11">
        <v>44595</v>
      </c>
      <c r="E168" s="11"/>
      <c r="F168" s="11"/>
      <c r="G168" s="11"/>
      <c r="K168" s="4"/>
    </row>
    <row r="169" spans="2:11" x14ac:dyDescent="0.25">
      <c r="B169">
        <v>440</v>
      </c>
      <c r="C169" s="11" t="s">
        <v>12</v>
      </c>
      <c r="D169" s="11">
        <v>44599</v>
      </c>
      <c r="E169" s="11"/>
      <c r="F169" s="11"/>
      <c r="G169" s="11"/>
      <c r="K169" s="4"/>
    </row>
    <row r="170" spans="2:11" x14ac:dyDescent="0.25">
      <c r="B170">
        <v>-500</v>
      </c>
      <c r="C170" s="11" t="s">
        <v>13</v>
      </c>
      <c r="D170" s="11"/>
      <c r="E170" s="11"/>
      <c r="F170" s="11"/>
      <c r="G170" s="11"/>
      <c r="K170" s="4"/>
    </row>
    <row r="171" spans="2:11" x14ac:dyDescent="0.25">
      <c r="B171">
        <v>840</v>
      </c>
      <c r="C171" s="11" t="s">
        <v>12</v>
      </c>
      <c r="D171" s="11">
        <v>44602</v>
      </c>
      <c r="E171" s="11"/>
      <c r="F171" s="11"/>
      <c r="G171" s="11"/>
      <c r="K171" s="4"/>
    </row>
    <row r="172" spans="2:11" x14ac:dyDescent="0.25">
      <c r="B172">
        <v>-800</v>
      </c>
      <c r="C172" s="11" t="s">
        <v>71</v>
      </c>
      <c r="D172" s="11"/>
      <c r="E172" s="11"/>
      <c r="F172" s="11"/>
      <c r="G172" s="11"/>
      <c r="K172" s="4"/>
    </row>
    <row r="173" spans="2:11" x14ac:dyDescent="0.25">
      <c r="B173">
        <v>280</v>
      </c>
      <c r="C173" s="11" t="s">
        <v>12</v>
      </c>
      <c r="D173" s="11">
        <v>44623</v>
      </c>
      <c r="E173" s="11"/>
      <c r="F173" s="11"/>
      <c r="G173" s="11"/>
      <c r="K173" s="4"/>
    </row>
    <row r="174" spans="2:11" x14ac:dyDescent="0.25">
      <c r="B174">
        <v>-300</v>
      </c>
      <c r="C174" s="11" t="s">
        <v>13</v>
      </c>
      <c r="D174" s="11">
        <v>44623</v>
      </c>
      <c r="E174" s="11"/>
      <c r="F174" s="11"/>
      <c r="G174" s="11"/>
      <c r="K174" s="4"/>
    </row>
    <row r="175" spans="2:11" x14ac:dyDescent="0.25">
      <c r="B175">
        <v>280</v>
      </c>
      <c r="C175" s="11" t="s">
        <v>12</v>
      </c>
      <c r="D175" s="11">
        <v>44634</v>
      </c>
      <c r="E175" s="11"/>
      <c r="F175" s="11"/>
      <c r="G175" s="11"/>
      <c r="K175" s="4"/>
    </row>
    <row r="176" spans="2:11" x14ac:dyDescent="0.25">
      <c r="B176">
        <v>-300</v>
      </c>
      <c r="C176" s="11" t="s">
        <v>13</v>
      </c>
      <c r="D176" s="11">
        <v>44634</v>
      </c>
      <c r="E176" s="11"/>
      <c r="F176" s="11"/>
      <c r="G176" s="11"/>
      <c r="K176" s="4"/>
    </row>
    <row r="177" spans="2:11" x14ac:dyDescent="0.25">
      <c r="B177">
        <v>280</v>
      </c>
      <c r="C177" s="11" t="s">
        <v>12</v>
      </c>
      <c r="D177" s="11">
        <v>44649</v>
      </c>
      <c r="E177" s="11"/>
      <c r="F177" s="11"/>
      <c r="G177" s="11"/>
      <c r="K177" s="4"/>
    </row>
    <row r="178" spans="2:11" x14ac:dyDescent="0.25">
      <c r="B178">
        <v>-300</v>
      </c>
      <c r="C178" s="11" t="s">
        <v>13</v>
      </c>
      <c r="D178" s="11">
        <v>44649</v>
      </c>
      <c r="E178" s="11"/>
      <c r="F178" s="11"/>
      <c r="G178" s="11"/>
      <c r="K178" s="4"/>
    </row>
    <row r="179" spans="2:11" x14ac:dyDescent="0.25">
      <c r="B179">
        <v>1160</v>
      </c>
      <c r="C179" s="11" t="s">
        <v>12</v>
      </c>
      <c r="D179" s="11">
        <v>44655</v>
      </c>
      <c r="E179" s="11"/>
      <c r="F179" s="11"/>
      <c r="G179" s="11"/>
      <c r="K179" s="4"/>
    </row>
    <row r="180" spans="2:11" x14ac:dyDescent="0.25">
      <c r="B180">
        <v>-1100</v>
      </c>
      <c r="C180" s="11" t="s">
        <v>13</v>
      </c>
      <c r="D180" s="11">
        <v>44655</v>
      </c>
      <c r="E180" s="11"/>
      <c r="F180" s="11"/>
      <c r="G180" s="11"/>
      <c r="K180" s="4"/>
    </row>
    <row r="181" spans="2:11" x14ac:dyDescent="0.25">
      <c r="B181">
        <v>560</v>
      </c>
      <c r="C181" s="11" t="s">
        <v>12</v>
      </c>
      <c r="D181" s="11">
        <v>44660</v>
      </c>
      <c r="E181" s="11"/>
      <c r="F181" s="11"/>
      <c r="G181" s="11"/>
      <c r="K181" s="4"/>
    </row>
    <row r="182" spans="2:11" x14ac:dyDescent="0.25">
      <c r="B182">
        <v>-600</v>
      </c>
      <c r="C182" s="11" t="s">
        <v>13</v>
      </c>
      <c r="D182" s="11">
        <v>44660</v>
      </c>
      <c r="E182" s="11"/>
      <c r="F182" s="11"/>
      <c r="G182" s="11"/>
      <c r="K182" s="4"/>
    </row>
    <row r="183" spans="2:11" x14ac:dyDescent="0.25">
      <c r="B183">
        <v>280</v>
      </c>
      <c r="C183" s="11" t="s">
        <v>12</v>
      </c>
      <c r="D183" s="11">
        <v>44663</v>
      </c>
      <c r="E183" s="11"/>
      <c r="F183" s="11"/>
      <c r="G183" s="11"/>
      <c r="K183" s="4"/>
    </row>
    <row r="184" spans="2:11" x14ac:dyDescent="0.25">
      <c r="B184">
        <v>-300</v>
      </c>
      <c r="C184" s="11" t="s">
        <v>93</v>
      </c>
      <c r="D184" s="11"/>
      <c r="E184" s="11"/>
      <c r="F184" s="11"/>
      <c r="G184" s="11"/>
      <c r="K184" s="4"/>
    </row>
    <row r="185" spans="2:11" x14ac:dyDescent="0.25">
      <c r="B185">
        <v>600</v>
      </c>
      <c r="C185" s="11" t="s">
        <v>12</v>
      </c>
      <c r="D185" s="11">
        <v>44673</v>
      </c>
      <c r="E185" s="11"/>
      <c r="F185" s="11"/>
      <c r="G185" s="11"/>
      <c r="K185" s="4"/>
    </row>
    <row r="186" spans="2:11" x14ac:dyDescent="0.25">
      <c r="B186">
        <v>-600</v>
      </c>
      <c r="C186" s="11" t="s">
        <v>13</v>
      </c>
      <c r="D186" s="11">
        <v>44673</v>
      </c>
      <c r="E186" s="11"/>
      <c r="F186" s="11"/>
      <c r="G186" s="11"/>
      <c r="K186" s="4"/>
    </row>
    <row r="187" spans="2:11" x14ac:dyDescent="0.25">
      <c r="B187">
        <v>1160</v>
      </c>
      <c r="C187" s="11" t="s">
        <v>12</v>
      </c>
      <c r="D187" s="11"/>
      <c r="E187" s="11"/>
      <c r="F187" s="11"/>
      <c r="G187" s="11"/>
      <c r="K187" s="4"/>
    </row>
    <row r="188" spans="2:11" x14ac:dyDescent="0.25">
      <c r="B188">
        <v>-1100</v>
      </c>
      <c r="C188" s="11" t="s">
        <v>13</v>
      </c>
      <c r="D188" s="11">
        <v>44676</v>
      </c>
      <c r="E188" s="11"/>
      <c r="F188" s="11"/>
      <c r="G188" s="11"/>
      <c r="K188" s="4"/>
    </row>
    <row r="189" spans="2:11" x14ac:dyDescent="0.25">
      <c r="B189">
        <v>280</v>
      </c>
      <c r="C189" s="11" t="s">
        <v>12</v>
      </c>
      <c r="D189" s="11">
        <v>44687</v>
      </c>
      <c r="E189" s="11"/>
      <c r="F189" s="11"/>
      <c r="G189" s="11"/>
      <c r="K189" s="4"/>
    </row>
    <row r="190" spans="2:11" x14ac:dyDescent="0.25">
      <c r="B190">
        <v>-300</v>
      </c>
      <c r="C190" s="11" t="s">
        <v>13</v>
      </c>
      <c r="D190" s="11"/>
      <c r="E190" s="11"/>
      <c r="F190" s="11"/>
      <c r="G190" s="11"/>
      <c r="K190" s="4"/>
    </row>
    <row r="191" spans="2:11" x14ac:dyDescent="0.25">
      <c r="B191">
        <v>280</v>
      </c>
      <c r="C191" s="11" t="s">
        <v>12</v>
      </c>
      <c r="D191" s="11">
        <v>44691</v>
      </c>
      <c r="E191" s="11"/>
      <c r="F191" s="11"/>
      <c r="G191" s="11"/>
      <c r="K191" s="4"/>
    </row>
    <row r="192" spans="2:11" x14ac:dyDescent="0.25">
      <c r="B192">
        <v>-300</v>
      </c>
      <c r="C192" s="11" t="s">
        <v>13</v>
      </c>
      <c r="D192" s="11">
        <v>44691</v>
      </c>
      <c r="E192" s="11"/>
      <c r="F192" s="11"/>
      <c r="G192" s="11"/>
      <c r="K192" s="4"/>
    </row>
    <row r="193" spans="2:11" x14ac:dyDescent="0.25">
      <c r="B193">
        <v>1360</v>
      </c>
      <c r="C193" s="11" t="s">
        <v>12</v>
      </c>
      <c r="D193" s="11">
        <v>44692</v>
      </c>
      <c r="E193" s="11"/>
      <c r="F193" s="11"/>
      <c r="G193" s="11"/>
      <c r="K193" s="4"/>
    </row>
    <row r="194" spans="2:11" x14ac:dyDescent="0.25">
      <c r="B194">
        <v>-2300</v>
      </c>
      <c r="C194" s="11" t="s">
        <v>13</v>
      </c>
      <c r="D194" s="11"/>
      <c r="E194" s="11"/>
      <c r="F194" s="11"/>
      <c r="G194" s="11"/>
      <c r="K194" s="4"/>
    </row>
    <row r="195" spans="2:11" x14ac:dyDescent="0.25">
      <c r="B195">
        <v>1040</v>
      </c>
      <c r="C195" s="11" t="s">
        <v>12</v>
      </c>
      <c r="D195" s="11">
        <v>44700</v>
      </c>
      <c r="E195" s="11"/>
      <c r="F195" s="11"/>
      <c r="G195" s="11"/>
      <c r="K195" s="4"/>
    </row>
    <row r="196" spans="2:11" x14ac:dyDescent="0.25">
      <c r="B196">
        <v>-1000</v>
      </c>
      <c r="C196" s="11" t="s">
        <v>13</v>
      </c>
      <c r="D196" s="11"/>
      <c r="E196" s="11"/>
      <c r="F196" s="11"/>
      <c r="G196" s="11"/>
      <c r="K196" s="4"/>
    </row>
    <row r="197" spans="2:11" x14ac:dyDescent="0.25">
      <c r="B197">
        <v>280</v>
      </c>
      <c r="C197" s="11" t="s">
        <v>12</v>
      </c>
      <c r="D197" s="11"/>
      <c r="E197" s="11"/>
      <c r="F197" s="11"/>
      <c r="G197" s="11"/>
      <c r="K197" s="4"/>
    </row>
    <row r="198" spans="2:11" x14ac:dyDescent="0.25">
      <c r="B198">
        <v>-300</v>
      </c>
      <c r="C198" s="11" t="s">
        <v>13</v>
      </c>
      <c r="D198" s="11">
        <v>44705</v>
      </c>
      <c r="E198" s="11"/>
      <c r="F198" s="11"/>
      <c r="G198" s="11"/>
      <c r="K198" s="4"/>
    </row>
    <row r="199" spans="2:11" x14ac:dyDescent="0.25">
      <c r="B199">
        <v>1880</v>
      </c>
      <c r="C199" s="11" t="s">
        <v>12</v>
      </c>
      <c r="D199" s="11">
        <v>44711</v>
      </c>
      <c r="E199" s="11"/>
      <c r="F199" s="11"/>
      <c r="G199" s="11"/>
      <c r="K199" s="4"/>
    </row>
    <row r="200" spans="2:11" x14ac:dyDescent="0.25">
      <c r="B200">
        <v>-1900</v>
      </c>
      <c r="C200" s="11" t="s">
        <v>13</v>
      </c>
      <c r="D200" s="11">
        <v>44711</v>
      </c>
      <c r="E200" s="11"/>
      <c r="F200" s="11"/>
      <c r="G200" s="11"/>
      <c r="K200" s="4"/>
    </row>
    <row r="201" spans="2:11" x14ac:dyDescent="0.25">
      <c r="B201">
        <v>2080</v>
      </c>
      <c r="C201" s="11" t="s">
        <v>12</v>
      </c>
      <c r="D201" s="11">
        <v>44712</v>
      </c>
      <c r="E201" s="11"/>
      <c r="F201" s="11"/>
      <c r="G201" s="11"/>
      <c r="K201" s="4"/>
    </row>
    <row r="202" spans="2:11" x14ac:dyDescent="0.25">
      <c r="B202">
        <v>-2100</v>
      </c>
      <c r="C202" s="11" t="s">
        <v>13</v>
      </c>
      <c r="D202" s="11"/>
      <c r="E202" s="11"/>
      <c r="F202" s="11"/>
      <c r="G202" s="11"/>
      <c r="K202" s="4"/>
    </row>
    <row r="203" spans="2:11" x14ac:dyDescent="0.25">
      <c r="B203">
        <v>520</v>
      </c>
      <c r="C203" s="11" t="s">
        <v>12</v>
      </c>
      <c r="D203" s="11">
        <v>44716</v>
      </c>
      <c r="E203" s="11"/>
      <c r="F203" s="11"/>
      <c r="G203" s="11"/>
      <c r="K203" s="4"/>
    </row>
    <row r="204" spans="2:11" x14ac:dyDescent="0.25">
      <c r="B204">
        <v>-600</v>
      </c>
      <c r="C204" s="11" t="s">
        <v>93</v>
      </c>
      <c r="D204" s="11">
        <v>44716</v>
      </c>
      <c r="E204" s="11"/>
      <c r="F204" s="11"/>
      <c r="G204" s="11"/>
      <c r="K204" s="4"/>
    </row>
    <row r="205" spans="2:11" x14ac:dyDescent="0.25">
      <c r="B205">
        <v>1080</v>
      </c>
      <c r="C205" s="11" t="s">
        <v>12</v>
      </c>
      <c r="D205" s="11">
        <v>44720</v>
      </c>
      <c r="E205" s="11"/>
      <c r="F205" s="11"/>
      <c r="G205" s="11"/>
      <c r="K205" s="4"/>
    </row>
    <row r="206" spans="2:11" x14ac:dyDescent="0.25">
      <c r="B206">
        <v>-1000</v>
      </c>
      <c r="C206" s="11" t="s">
        <v>13</v>
      </c>
      <c r="D206" s="11">
        <v>44720</v>
      </c>
      <c r="E206" s="11"/>
      <c r="F206" s="11"/>
      <c r="G206" s="11"/>
      <c r="K206" s="4"/>
    </row>
    <row r="207" spans="2:11" x14ac:dyDescent="0.25">
      <c r="B207">
        <v>1120</v>
      </c>
      <c r="C207" s="11" t="s">
        <v>12</v>
      </c>
      <c r="D207" s="11">
        <v>44725</v>
      </c>
      <c r="E207" s="11"/>
      <c r="F207" s="11"/>
      <c r="G207" s="11"/>
      <c r="K207" s="4"/>
    </row>
    <row r="208" spans="2:11" x14ac:dyDescent="0.25">
      <c r="B208">
        <v>-1100</v>
      </c>
      <c r="C208" s="11" t="s">
        <v>13</v>
      </c>
      <c r="D208" s="11">
        <v>44725</v>
      </c>
      <c r="E208" s="11"/>
      <c r="F208" s="11"/>
      <c r="G208" s="11"/>
      <c r="K208" s="4"/>
    </row>
    <row r="209" spans="2:11" x14ac:dyDescent="0.25">
      <c r="B209">
        <v>1000</v>
      </c>
      <c r="C209" s="11" t="s">
        <v>94</v>
      </c>
      <c r="D209" s="11">
        <v>44727</v>
      </c>
      <c r="E209" s="11"/>
      <c r="F209" s="11"/>
      <c r="G209" s="11"/>
      <c r="K209" s="4"/>
    </row>
    <row r="210" spans="2:11" x14ac:dyDescent="0.25">
      <c r="B210">
        <v>1160</v>
      </c>
      <c r="C210" s="11" t="s">
        <v>12</v>
      </c>
      <c r="D210" s="11">
        <v>44727</v>
      </c>
      <c r="E210" s="11"/>
      <c r="F210" s="11"/>
      <c r="G210" s="11"/>
      <c r="K210" s="4"/>
    </row>
    <row r="211" spans="2:11" x14ac:dyDescent="0.25">
      <c r="B211">
        <v>-2200</v>
      </c>
      <c r="C211" s="11" t="s">
        <v>13</v>
      </c>
      <c r="D211" s="11">
        <v>44727</v>
      </c>
      <c r="E211" s="11"/>
      <c r="F211" s="11"/>
      <c r="G211" s="11"/>
      <c r="K211" s="4"/>
    </row>
    <row r="212" spans="2:11" x14ac:dyDescent="0.25">
      <c r="B212">
        <v>560</v>
      </c>
      <c r="C212" s="11" t="s">
        <v>12</v>
      </c>
      <c r="D212" s="11">
        <v>44734</v>
      </c>
      <c r="E212" s="11"/>
      <c r="F212" s="11"/>
      <c r="G212" s="11"/>
      <c r="K212" s="4"/>
    </row>
    <row r="213" spans="2:11" x14ac:dyDescent="0.25">
      <c r="B213">
        <v>-500</v>
      </c>
      <c r="C213" s="11" t="s">
        <v>13</v>
      </c>
      <c r="D213" s="11">
        <v>44734</v>
      </c>
      <c r="E213" s="11"/>
      <c r="F213" s="11"/>
      <c r="G213" s="11"/>
      <c r="K213" s="4"/>
    </row>
    <row r="214" spans="2:11" x14ac:dyDescent="0.25">
      <c r="B214">
        <v>100</v>
      </c>
      <c r="C214" s="11" t="s">
        <v>12</v>
      </c>
      <c r="D214" s="11">
        <v>44735</v>
      </c>
      <c r="E214" s="11"/>
      <c r="F214" s="11"/>
      <c r="G214" s="11"/>
      <c r="K214" s="4"/>
    </row>
    <row r="215" spans="2:11" x14ac:dyDescent="0.25">
      <c r="B215">
        <v>280</v>
      </c>
      <c r="C215" s="11" t="s">
        <v>12</v>
      </c>
      <c r="D215" s="11">
        <v>44740</v>
      </c>
      <c r="E215" s="11"/>
      <c r="F215" s="11"/>
      <c r="G215" s="11"/>
      <c r="K215" s="4"/>
    </row>
    <row r="216" spans="2:11" x14ac:dyDescent="0.25">
      <c r="B216">
        <v>-400</v>
      </c>
      <c r="C216" s="11" t="s">
        <v>13</v>
      </c>
      <c r="D216" s="11">
        <v>44740</v>
      </c>
      <c r="E216" s="11"/>
      <c r="F216" s="11"/>
      <c r="G216" s="11"/>
      <c r="K216" s="4"/>
    </row>
    <row r="217" spans="2:11" x14ac:dyDescent="0.25">
      <c r="B217">
        <v>1160</v>
      </c>
      <c r="C217" s="11" t="s">
        <v>12</v>
      </c>
      <c r="D217" s="11">
        <v>44743</v>
      </c>
      <c r="E217" s="11"/>
      <c r="F217" s="11"/>
      <c r="G217" s="11"/>
      <c r="K217" s="4"/>
    </row>
    <row r="218" spans="2:11" x14ac:dyDescent="0.25">
      <c r="B218">
        <v>-1200</v>
      </c>
      <c r="C218" s="11" t="s">
        <v>13</v>
      </c>
      <c r="D218" s="11">
        <v>44743</v>
      </c>
      <c r="E218" s="11"/>
      <c r="F218" s="11"/>
      <c r="G218" s="11"/>
      <c r="K218" s="4"/>
    </row>
    <row r="219" spans="2:11" x14ac:dyDescent="0.25">
      <c r="B219">
        <v>280</v>
      </c>
      <c r="C219" s="11" t="s">
        <v>12</v>
      </c>
      <c r="D219" s="11">
        <v>44747</v>
      </c>
      <c r="E219" s="11"/>
      <c r="F219" s="11"/>
      <c r="G219" s="11"/>
      <c r="K219" s="4"/>
    </row>
    <row r="220" spans="2:11" x14ac:dyDescent="0.25">
      <c r="B220">
        <v>-300</v>
      </c>
      <c r="C220" s="11" t="s">
        <v>13</v>
      </c>
      <c r="D220" s="11">
        <v>44747</v>
      </c>
      <c r="E220" s="11"/>
      <c r="F220" s="11"/>
      <c r="G220" s="11"/>
      <c r="K220" s="4"/>
    </row>
    <row r="221" spans="2:11" x14ac:dyDescent="0.25">
      <c r="B221">
        <v>560</v>
      </c>
      <c r="C221" s="11" t="s">
        <v>12</v>
      </c>
      <c r="D221" s="11"/>
      <c r="E221" s="11"/>
      <c r="F221" s="11"/>
      <c r="G221" s="11"/>
      <c r="K221" s="4"/>
    </row>
    <row r="222" spans="2:11" x14ac:dyDescent="0.25">
      <c r="B222">
        <v>-600</v>
      </c>
      <c r="C222" s="11" t="s">
        <v>13</v>
      </c>
      <c r="D222" s="11"/>
      <c r="E222" s="11"/>
      <c r="F222" s="11"/>
      <c r="G222" s="11"/>
      <c r="K222" s="4"/>
    </row>
    <row r="223" spans="2:11" x14ac:dyDescent="0.25">
      <c r="B223">
        <v>680</v>
      </c>
      <c r="C223" s="11" t="s">
        <v>12</v>
      </c>
      <c r="D223" s="11">
        <v>44753</v>
      </c>
      <c r="E223" s="11"/>
      <c r="F223" s="11"/>
      <c r="G223" s="11"/>
      <c r="K223" s="4"/>
    </row>
    <row r="224" spans="2:11" x14ac:dyDescent="0.25">
      <c r="B224">
        <v>-600</v>
      </c>
      <c r="C224" s="11" t="s">
        <v>13</v>
      </c>
      <c r="D224" s="11">
        <v>44753</v>
      </c>
      <c r="E224" s="11"/>
      <c r="F224" s="11"/>
      <c r="G224" s="11"/>
      <c r="K224" s="4"/>
    </row>
    <row r="225" spans="2:11" x14ac:dyDescent="0.25">
      <c r="B225">
        <v>2080</v>
      </c>
      <c r="C225" s="11" t="s">
        <v>12</v>
      </c>
      <c r="D225" s="11">
        <v>44754</v>
      </c>
      <c r="E225" s="11"/>
      <c r="F225" s="11"/>
      <c r="G225" s="11"/>
      <c r="K225" s="4"/>
    </row>
    <row r="226" spans="2:11" x14ac:dyDescent="0.25">
      <c r="B226">
        <v>-2000</v>
      </c>
      <c r="C226" s="11" t="s">
        <v>13</v>
      </c>
      <c r="D226" s="11">
        <v>44754</v>
      </c>
      <c r="E226" s="11"/>
      <c r="F226" s="11"/>
      <c r="G226" s="11"/>
      <c r="K226" s="4"/>
    </row>
    <row r="227" spans="2:11" x14ac:dyDescent="0.25">
      <c r="B227">
        <v>560</v>
      </c>
      <c r="C227" s="11" t="s">
        <v>12</v>
      </c>
      <c r="D227" s="11"/>
      <c r="E227" s="11"/>
      <c r="F227" s="11"/>
      <c r="G227" s="11"/>
      <c r="K227" s="4"/>
    </row>
    <row r="228" spans="2:11" x14ac:dyDescent="0.25">
      <c r="B228">
        <v>-600</v>
      </c>
      <c r="C228" s="11" t="s">
        <v>13</v>
      </c>
      <c r="D228" s="11"/>
      <c r="E228" s="11"/>
      <c r="F228" s="11"/>
      <c r="G228" s="11"/>
      <c r="K228" s="4"/>
    </row>
    <row r="229" spans="2:11" x14ac:dyDescent="0.25">
      <c r="B229">
        <v>560</v>
      </c>
      <c r="C229" s="11" t="s">
        <v>12</v>
      </c>
      <c r="D229" s="11">
        <v>44762</v>
      </c>
      <c r="E229" s="11"/>
      <c r="F229" s="11"/>
      <c r="G229" s="11"/>
      <c r="K229" s="4"/>
    </row>
    <row r="230" spans="2:11" x14ac:dyDescent="0.25">
      <c r="B230">
        <v>-600</v>
      </c>
      <c r="C230" s="11" t="s">
        <v>192</v>
      </c>
      <c r="D230" s="11"/>
      <c r="E230" s="11"/>
      <c r="F230" s="11"/>
      <c r="G230" s="11"/>
      <c r="K230" s="4"/>
    </row>
    <row r="231" spans="2:11" x14ac:dyDescent="0.25">
      <c r="B231">
        <v>560</v>
      </c>
      <c r="C231" s="11" t="s">
        <v>12</v>
      </c>
      <c r="D231" s="11"/>
      <c r="E231" s="11"/>
      <c r="F231" s="11"/>
      <c r="G231" s="11"/>
      <c r="K231" s="4"/>
    </row>
    <row r="232" spans="2:11" x14ac:dyDescent="0.25">
      <c r="B232">
        <v>-600</v>
      </c>
      <c r="C232" s="11" t="s">
        <v>204</v>
      </c>
      <c r="D232" s="11"/>
      <c r="E232" s="11"/>
      <c r="F232" s="11"/>
      <c r="G232" s="11"/>
      <c r="K232" s="4"/>
    </row>
    <row r="233" spans="2:11" x14ac:dyDescent="0.25">
      <c r="B233">
        <v>360</v>
      </c>
      <c r="C233" s="11" t="s">
        <v>12</v>
      </c>
      <c r="D233" s="11"/>
      <c r="E233" s="11"/>
      <c r="F233" s="11"/>
      <c r="G233" s="11"/>
      <c r="K233" s="4"/>
    </row>
    <row r="234" spans="2:11" x14ac:dyDescent="0.25">
      <c r="B234">
        <v>-300</v>
      </c>
      <c r="C234" s="11" t="s">
        <v>13</v>
      </c>
      <c r="D234" s="11">
        <v>44775</v>
      </c>
      <c r="E234" s="11"/>
      <c r="F234" s="11"/>
      <c r="G234" s="11"/>
      <c r="K234" s="4"/>
    </row>
    <row r="235" spans="2:11" x14ac:dyDescent="0.25">
      <c r="B235">
        <v>560</v>
      </c>
      <c r="C235" s="11" t="s">
        <v>12</v>
      </c>
      <c r="D235" s="11">
        <v>44778</v>
      </c>
      <c r="E235" s="11"/>
      <c r="F235" s="11"/>
      <c r="G235" s="11"/>
      <c r="K235" s="4"/>
    </row>
    <row r="236" spans="2:11" x14ac:dyDescent="0.25">
      <c r="B236">
        <v>-600</v>
      </c>
      <c r="C236" s="11" t="s">
        <v>13</v>
      </c>
      <c r="D236" s="11">
        <v>44778</v>
      </c>
      <c r="E236" s="11">
        <v>44778</v>
      </c>
      <c r="F236" s="11"/>
      <c r="G236" s="11"/>
      <c r="K236" s="4"/>
    </row>
    <row r="237" spans="2:11" x14ac:dyDescent="0.25">
      <c r="B237">
        <v>280</v>
      </c>
      <c r="C237" s="11" t="s">
        <v>12</v>
      </c>
      <c r="D237" s="11">
        <v>44782</v>
      </c>
      <c r="E237" s="11"/>
      <c r="F237" s="11"/>
      <c r="G237" s="11"/>
      <c r="K237" s="4"/>
    </row>
    <row r="238" spans="2:11" x14ac:dyDescent="0.25">
      <c r="B238">
        <v>-300</v>
      </c>
      <c r="C238" s="11" t="s">
        <v>93</v>
      </c>
      <c r="D238" s="11">
        <v>44782</v>
      </c>
      <c r="E238" s="11"/>
      <c r="F238" s="11"/>
      <c r="G238" s="11"/>
      <c r="K238" s="4"/>
    </row>
    <row r="239" spans="2:11" x14ac:dyDescent="0.25">
      <c r="B239">
        <v>560</v>
      </c>
      <c r="C239" s="11" t="s">
        <v>12</v>
      </c>
      <c r="D239" s="11">
        <v>44784</v>
      </c>
      <c r="E239" s="11"/>
      <c r="F239" s="11"/>
      <c r="G239" s="11"/>
      <c r="K239" s="4"/>
    </row>
    <row r="240" spans="2:11" x14ac:dyDescent="0.25">
      <c r="B240">
        <v>-600</v>
      </c>
      <c r="C240" s="11" t="s">
        <v>93</v>
      </c>
      <c r="D240" s="11"/>
      <c r="E240" s="11"/>
      <c r="F240" s="11"/>
      <c r="G240" s="11"/>
      <c r="K240" s="4"/>
    </row>
    <row r="241" spans="2:11" x14ac:dyDescent="0.25">
      <c r="B241">
        <v>280</v>
      </c>
      <c r="C241" s="11" t="s">
        <v>12</v>
      </c>
      <c r="D241" s="11"/>
      <c r="E241" s="11"/>
      <c r="F241" s="11"/>
      <c r="G241" s="11"/>
      <c r="K241" s="4"/>
    </row>
    <row r="242" spans="2:11" x14ac:dyDescent="0.25">
      <c r="B242">
        <v>-300</v>
      </c>
      <c r="C242" s="11" t="s">
        <v>13</v>
      </c>
      <c r="D242" s="11"/>
      <c r="E242" s="11"/>
      <c r="F242" s="11"/>
      <c r="G242" s="11"/>
      <c r="K242" s="4"/>
    </row>
    <row r="243" spans="2:11" x14ac:dyDescent="0.25">
      <c r="B243">
        <v>560</v>
      </c>
      <c r="C243" s="11" t="s">
        <v>74</v>
      </c>
      <c r="D243" s="11">
        <v>44790</v>
      </c>
      <c r="E243" s="11"/>
      <c r="F243" s="11"/>
      <c r="G243" s="11"/>
      <c r="K243" s="4"/>
    </row>
    <row r="244" spans="2:11" x14ac:dyDescent="0.25">
      <c r="B244">
        <v>-600</v>
      </c>
      <c r="C244" s="11" t="s">
        <v>13</v>
      </c>
      <c r="D244" s="11"/>
      <c r="E244" s="11"/>
      <c r="F244" s="11"/>
      <c r="G244" s="11"/>
      <c r="K244" s="4"/>
    </row>
    <row r="245" spans="2:11" x14ac:dyDescent="0.25">
      <c r="B245">
        <v>280</v>
      </c>
      <c r="C245" s="11" t="s">
        <v>74</v>
      </c>
      <c r="D245" s="11">
        <v>44793</v>
      </c>
      <c r="E245" s="11"/>
      <c r="F245" s="11"/>
      <c r="G245" s="11"/>
      <c r="K245" s="4"/>
    </row>
    <row r="246" spans="2:11" x14ac:dyDescent="0.25">
      <c r="B246">
        <v>-300</v>
      </c>
      <c r="C246" s="11" t="s">
        <v>13</v>
      </c>
      <c r="D246" s="11"/>
      <c r="E246" s="11"/>
      <c r="F246" s="11"/>
      <c r="G246" s="11"/>
      <c r="K246" s="4"/>
    </row>
    <row r="247" spans="2:11" x14ac:dyDescent="0.25">
      <c r="B247">
        <v>560</v>
      </c>
      <c r="C247" s="11" t="s">
        <v>12</v>
      </c>
      <c r="D247" s="11">
        <v>44796</v>
      </c>
      <c r="E247" s="11"/>
      <c r="F247" s="11"/>
      <c r="G247" s="11"/>
      <c r="K247" s="4"/>
    </row>
    <row r="248" spans="2:11" x14ac:dyDescent="0.25">
      <c r="B248">
        <v>-560</v>
      </c>
      <c r="C248" s="11" t="s">
        <v>13</v>
      </c>
      <c r="D248" s="11"/>
      <c r="E248" s="11"/>
      <c r="F248" s="11"/>
      <c r="G248" s="11"/>
      <c r="K248" s="4"/>
    </row>
    <row r="249" spans="2:11" x14ac:dyDescent="0.25">
      <c r="B249">
        <v>280</v>
      </c>
      <c r="C249" s="11" t="s">
        <v>12</v>
      </c>
      <c r="D249" s="11">
        <v>44798</v>
      </c>
      <c r="E249" s="11"/>
      <c r="F249" s="11"/>
      <c r="G249" s="11"/>
      <c r="K249" s="4"/>
    </row>
    <row r="250" spans="2:11" x14ac:dyDescent="0.25">
      <c r="B250">
        <v>1040</v>
      </c>
      <c r="C250" s="11" t="s">
        <v>12</v>
      </c>
      <c r="D250" s="11">
        <v>44806</v>
      </c>
      <c r="E250" s="11"/>
      <c r="F250" s="11"/>
      <c r="G250" s="11"/>
      <c r="K250" s="4"/>
    </row>
    <row r="251" spans="2:11" x14ac:dyDescent="0.25">
      <c r="B251">
        <v>-200</v>
      </c>
      <c r="C251" s="11" t="s">
        <v>13</v>
      </c>
      <c r="D251" s="11" t="s">
        <v>207</v>
      </c>
      <c r="E251" s="11"/>
      <c r="F251" s="11"/>
      <c r="G251" s="11"/>
      <c r="K251" s="4"/>
    </row>
    <row r="252" spans="2:11" x14ac:dyDescent="0.25">
      <c r="B252">
        <v>560</v>
      </c>
      <c r="C252" s="11" t="s">
        <v>74</v>
      </c>
      <c r="D252" s="11">
        <v>44810</v>
      </c>
      <c r="E252" s="11"/>
      <c r="F252" s="11"/>
      <c r="G252" s="11"/>
      <c r="K252" s="4"/>
    </row>
    <row r="253" spans="2:11" x14ac:dyDescent="0.25">
      <c r="B253">
        <v>-500</v>
      </c>
      <c r="C253" s="11" t="s">
        <v>93</v>
      </c>
      <c r="D253" s="11">
        <v>44810</v>
      </c>
      <c r="E253" s="11"/>
      <c r="F253" s="11"/>
      <c r="G253" s="11"/>
      <c r="K253" s="4"/>
    </row>
    <row r="254" spans="2:11" x14ac:dyDescent="0.25">
      <c r="B254">
        <v>560</v>
      </c>
      <c r="C254" s="11" t="s">
        <v>12</v>
      </c>
      <c r="D254" s="11">
        <v>44818</v>
      </c>
      <c r="E254" s="11"/>
      <c r="F254" s="11"/>
      <c r="G254" s="11"/>
      <c r="K254" s="4"/>
    </row>
    <row r="255" spans="2:11" x14ac:dyDescent="0.25">
      <c r="B255">
        <v>-600</v>
      </c>
      <c r="C255" s="11" t="s">
        <v>13</v>
      </c>
      <c r="D255" s="11">
        <v>44818</v>
      </c>
      <c r="E255" s="11"/>
      <c r="F255" s="11"/>
      <c r="G255" s="11"/>
      <c r="K255" s="4"/>
    </row>
    <row r="256" spans="2:11" x14ac:dyDescent="0.25">
      <c r="B256">
        <v>560</v>
      </c>
      <c r="C256" s="11" t="s">
        <v>12</v>
      </c>
      <c r="D256" s="11">
        <v>44820</v>
      </c>
      <c r="E256" s="11"/>
      <c r="F256" s="11"/>
      <c r="G256" s="11"/>
      <c r="K256" s="4"/>
    </row>
    <row r="257" spans="2:11" x14ac:dyDescent="0.25">
      <c r="B257">
        <v>-500</v>
      </c>
      <c r="C257" s="11" t="s">
        <v>13</v>
      </c>
      <c r="D257" s="11">
        <v>44820</v>
      </c>
      <c r="E257" s="11"/>
      <c r="F257" s="11"/>
      <c r="G257" s="11"/>
      <c r="K257" s="4"/>
    </row>
    <row r="258" spans="2:11" x14ac:dyDescent="0.25">
      <c r="B258">
        <v>300</v>
      </c>
      <c r="C258" s="11" t="s">
        <v>12</v>
      </c>
      <c r="D258" s="11">
        <v>44828</v>
      </c>
      <c r="E258" s="11"/>
      <c r="F258" s="11"/>
      <c r="G258" s="11"/>
      <c r="K258" s="4"/>
    </row>
    <row r="259" spans="2:11" x14ac:dyDescent="0.25">
      <c r="B259">
        <v>-300</v>
      </c>
      <c r="C259" s="11" t="s">
        <v>13</v>
      </c>
      <c r="D259" s="11">
        <v>44828</v>
      </c>
      <c r="E259" s="11"/>
      <c r="F259" s="11"/>
      <c r="G259" s="11"/>
      <c r="K259" s="4"/>
    </row>
    <row r="260" spans="2:11" x14ac:dyDescent="0.25">
      <c r="B260">
        <v>1160</v>
      </c>
      <c r="C260" s="11" t="s">
        <v>12</v>
      </c>
      <c r="D260" s="11">
        <v>44832</v>
      </c>
      <c r="E260" s="11"/>
      <c r="F260" s="11"/>
      <c r="G260" s="11"/>
      <c r="K260" s="4"/>
    </row>
    <row r="261" spans="2:11" x14ac:dyDescent="0.25">
      <c r="B261">
        <v>-1200</v>
      </c>
      <c r="C261" s="11" t="s">
        <v>13</v>
      </c>
      <c r="D261" s="11">
        <v>44832</v>
      </c>
      <c r="E261" s="11"/>
      <c r="F261" s="11"/>
      <c r="G261" s="11"/>
      <c r="K261" s="4"/>
    </row>
    <row r="262" spans="2:11" x14ac:dyDescent="0.25">
      <c r="B262">
        <v>540</v>
      </c>
      <c r="C262" s="11" t="s">
        <v>12</v>
      </c>
      <c r="D262" s="11">
        <v>44835</v>
      </c>
      <c r="E262" s="11"/>
      <c r="F262" s="11"/>
      <c r="G262" s="11"/>
      <c r="K262" s="4"/>
    </row>
    <row r="263" spans="2:11" x14ac:dyDescent="0.25">
      <c r="B263">
        <v>-600</v>
      </c>
      <c r="C263" s="11" t="s">
        <v>13</v>
      </c>
      <c r="D263" s="11"/>
      <c r="E263" s="11"/>
      <c r="F263" s="11"/>
      <c r="G263" s="11"/>
      <c r="K263" s="4"/>
    </row>
    <row r="264" spans="2:11" x14ac:dyDescent="0.25">
      <c r="B264">
        <v>1160</v>
      </c>
      <c r="C264" s="11" t="s">
        <v>12</v>
      </c>
      <c r="D264" s="11">
        <v>44838</v>
      </c>
      <c r="E264" s="11"/>
      <c r="F264" s="11"/>
      <c r="G264" s="11"/>
      <c r="K264" s="4"/>
    </row>
    <row r="265" spans="2:11" x14ac:dyDescent="0.25">
      <c r="B265">
        <v>-1100</v>
      </c>
      <c r="C265" s="11" t="s">
        <v>13</v>
      </c>
      <c r="D265" s="11">
        <v>44838</v>
      </c>
      <c r="E265" s="11"/>
      <c r="F265" s="11"/>
      <c r="G265" s="11"/>
      <c r="K265" s="4"/>
    </row>
    <row r="266" spans="2:11" x14ac:dyDescent="0.25">
      <c r="B266">
        <v>480</v>
      </c>
      <c r="C266" s="11" t="s">
        <v>12</v>
      </c>
      <c r="D266" s="11"/>
      <c r="E266" s="11"/>
      <c r="F266" s="11"/>
      <c r="G266" s="11"/>
      <c r="K266" s="4"/>
    </row>
    <row r="267" spans="2:11" x14ac:dyDescent="0.25">
      <c r="B267">
        <v>-500</v>
      </c>
      <c r="C267" s="11" t="s">
        <v>13</v>
      </c>
      <c r="D267" s="11"/>
      <c r="E267" s="11"/>
      <c r="F267" s="11"/>
      <c r="G267" s="11"/>
      <c r="K267" s="4"/>
    </row>
    <row r="268" spans="2:11" x14ac:dyDescent="0.25">
      <c r="B268">
        <v>1160</v>
      </c>
      <c r="C268" s="11" t="s">
        <v>12</v>
      </c>
      <c r="D268" s="11">
        <v>44846</v>
      </c>
      <c r="E268" s="11"/>
      <c r="F268" s="11"/>
      <c r="G268" s="11"/>
      <c r="K268" s="4"/>
    </row>
    <row r="269" spans="2:11" x14ac:dyDescent="0.25">
      <c r="B269">
        <v>-1200</v>
      </c>
      <c r="C269" s="11" t="s">
        <v>93</v>
      </c>
      <c r="D269" s="11">
        <v>44846</v>
      </c>
      <c r="E269" s="11"/>
      <c r="F269" s="11"/>
      <c r="G269" s="11"/>
      <c r="K269" s="4"/>
    </row>
    <row r="270" spans="2:11" x14ac:dyDescent="0.25">
      <c r="B270">
        <v>280</v>
      </c>
      <c r="C270" s="11" t="s">
        <v>74</v>
      </c>
      <c r="D270" s="11">
        <v>44851</v>
      </c>
      <c r="E270" s="11"/>
      <c r="F270" s="11"/>
      <c r="G270" s="11"/>
      <c r="K270" s="4"/>
    </row>
    <row r="271" spans="2:11" x14ac:dyDescent="0.25">
      <c r="B271">
        <v>-200</v>
      </c>
      <c r="C271" s="11" t="s">
        <v>93</v>
      </c>
      <c r="D271" s="11">
        <v>44851</v>
      </c>
      <c r="E271" s="11"/>
      <c r="F271" s="11"/>
      <c r="G271" s="11"/>
      <c r="K271" s="4"/>
    </row>
    <row r="272" spans="2:11" x14ac:dyDescent="0.25">
      <c r="B272">
        <v>300</v>
      </c>
      <c r="C272" s="11" t="s">
        <v>12</v>
      </c>
      <c r="D272" s="11">
        <v>44855</v>
      </c>
      <c r="E272" s="11"/>
      <c r="F272" s="11"/>
      <c r="G272" s="11"/>
      <c r="K272" s="4"/>
    </row>
    <row r="273" spans="2:11" x14ac:dyDescent="0.25">
      <c r="B273">
        <v>-300</v>
      </c>
      <c r="C273" s="11" t="s">
        <v>13</v>
      </c>
      <c r="D273" s="11">
        <v>44855</v>
      </c>
      <c r="E273" s="11"/>
      <c r="F273" s="11"/>
      <c r="G273" s="11"/>
      <c r="K273" s="4"/>
    </row>
    <row r="274" spans="2:11" x14ac:dyDescent="0.25">
      <c r="B274">
        <v>800</v>
      </c>
      <c r="C274" s="11" t="s">
        <v>12</v>
      </c>
      <c r="D274" s="11"/>
      <c r="E274" s="11"/>
      <c r="F274" s="11"/>
      <c r="G274" s="11"/>
      <c r="K274" s="4"/>
    </row>
    <row r="275" spans="2:11" x14ac:dyDescent="0.25">
      <c r="B275">
        <v>-800</v>
      </c>
      <c r="C275" s="11" t="s">
        <v>93</v>
      </c>
      <c r="D275" s="11"/>
      <c r="E275" s="11"/>
      <c r="F275" s="11"/>
      <c r="G275" s="11"/>
      <c r="K275" s="4"/>
    </row>
    <row r="276" spans="2:11" x14ac:dyDescent="0.25">
      <c r="B276">
        <v>800</v>
      </c>
      <c r="C276" s="11" t="s">
        <v>12</v>
      </c>
      <c r="D276" s="11"/>
      <c r="E276" s="11"/>
      <c r="F276" s="11"/>
      <c r="G276" s="11"/>
      <c r="K276" s="4"/>
    </row>
    <row r="277" spans="2:11" x14ac:dyDescent="0.25">
      <c r="B277">
        <v>-800</v>
      </c>
      <c r="C277" s="11" t="s">
        <v>13</v>
      </c>
      <c r="D277" s="11"/>
      <c r="E277" s="11"/>
      <c r="F277" s="11"/>
      <c r="G277" s="11"/>
      <c r="K277" s="4"/>
    </row>
    <row r="278" spans="2:11" x14ac:dyDescent="0.25">
      <c r="B278">
        <v>400</v>
      </c>
      <c r="C278" s="11" t="s">
        <v>74</v>
      </c>
      <c r="D278" s="11"/>
      <c r="E278" s="11"/>
      <c r="F278" s="11"/>
      <c r="G278" s="11"/>
      <c r="K278" s="4"/>
    </row>
    <row r="279" spans="2:11" x14ac:dyDescent="0.25">
      <c r="B279">
        <v>-400</v>
      </c>
      <c r="C279" s="11" t="s">
        <v>93</v>
      </c>
      <c r="D279" s="11">
        <v>44870</v>
      </c>
      <c r="E279" s="11"/>
      <c r="F279" s="11"/>
      <c r="G279" s="11"/>
      <c r="K279" s="4"/>
    </row>
    <row r="280" spans="2:11" x14ac:dyDescent="0.25">
      <c r="B280">
        <v>400</v>
      </c>
      <c r="C280" s="11" t="s">
        <v>12</v>
      </c>
      <c r="D280" s="11">
        <v>44873</v>
      </c>
      <c r="E280" s="11"/>
      <c r="F280" s="11"/>
      <c r="G280" s="11"/>
      <c r="K280" s="4"/>
    </row>
    <row r="281" spans="2:11" x14ac:dyDescent="0.25">
      <c r="B281">
        <v>-400</v>
      </c>
      <c r="C281" s="11" t="s">
        <v>13</v>
      </c>
      <c r="D281" s="11"/>
      <c r="E281" s="11"/>
      <c r="F281" s="11"/>
      <c r="G281" s="11"/>
      <c r="K281" s="4"/>
    </row>
    <row r="282" spans="2:11" x14ac:dyDescent="0.25">
      <c r="B282">
        <v>400</v>
      </c>
      <c r="C282" s="11" t="s">
        <v>12</v>
      </c>
      <c r="D282" s="11"/>
      <c r="E282" s="11"/>
      <c r="F282" s="11"/>
      <c r="G282" s="11"/>
      <c r="K282" s="4"/>
    </row>
    <row r="283" spans="2:11" x14ac:dyDescent="0.25">
      <c r="B283">
        <v>-400</v>
      </c>
      <c r="C283" s="11" t="s">
        <v>13</v>
      </c>
      <c r="D283" s="11">
        <v>44877</v>
      </c>
      <c r="E283" s="11"/>
      <c r="F283" s="11"/>
      <c r="G283" s="11"/>
      <c r="K283" s="4"/>
    </row>
    <row r="284" spans="2:11" x14ac:dyDescent="0.25">
      <c r="B284">
        <v>800</v>
      </c>
      <c r="C284" s="11" t="s">
        <v>12</v>
      </c>
      <c r="D284" s="11">
        <v>44880</v>
      </c>
      <c r="E284" s="11"/>
      <c r="F284" s="11"/>
      <c r="G284" s="11"/>
      <c r="K284" s="4"/>
    </row>
    <row r="285" spans="2:11" x14ac:dyDescent="0.25">
      <c r="B285">
        <v>-800</v>
      </c>
      <c r="C285" s="11" t="s">
        <v>13</v>
      </c>
      <c r="D285" s="11"/>
      <c r="E285" s="11"/>
      <c r="F285" s="11"/>
      <c r="G285" s="11"/>
      <c r="K285" s="4"/>
    </row>
    <row r="286" spans="2:11" x14ac:dyDescent="0.25">
      <c r="B286">
        <v>800</v>
      </c>
      <c r="C286" s="11" t="s">
        <v>12</v>
      </c>
      <c r="D286" s="11">
        <v>44883</v>
      </c>
      <c r="E286" s="11"/>
      <c r="F286" s="11"/>
      <c r="G286" s="11"/>
      <c r="K286" s="4"/>
    </row>
    <row r="287" spans="2:11" x14ac:dyDescent="0.25">
      <c r="B287">
        <v>-800</v>
      </c>
      <c r="C287" s="11" t="s">
        <v>219</v>
      </c>
      <c r="D287" s="11"/>
      <c r="E287" s="11"/>
      <c r="F287" s="11"/>
      <c r="G287" s="11"/>
      <c r="K287" s="4"/>
    </row>
    <row r="288" spans="2:11" x14ac:dyDescent="0.25">
      <c r="B288">
        <v>800</v>
      </c>
      <c r="C288" s="11" t="s">
        <v>12</v>
      </c>
      <c r="D288" s="11">
        <v>44890</v>
      </c>
      <c r="E288" s="11"/>
      <c r="F288" s="11"/>
      <c r="G288" s="11"/>
      <c r="K288" s="4"/>
    </row>
    <row r="289" spans="2:11" x14ac:dyDescent="0.25">
      <c r="B289">
        <v>-800</v>
      </c>
      <c r="C289" s="11" t="s">
        <v>13</v>
      </c>
      <c r="D289" s="11">
        <v>44890</v>
      </c>
      <c r="E289" s="11"/>
      <c r="F289" s="11"/>
      <c r="G289" s="11"/>
      <c r="K289" s="4"/>
    </row>
    <row r="290" spans="2:11" x14ac:dyDescent="0.25">
      <c r="B290">
        <v>800</v>
      </c>
      <c r="C290" s="11" t="s">
        <v>12</v>
      </c>
      <c r="D290" s="11"/>
      <c r="E290" s="11"/>
      <c r="F290" s="11"/>
      <c r="G290" s="11"/>
      <c r="K290" s="4"/>
    </row>
    <row r="291" spans="2:11" x14ac:dyDescent="0.25">
      <c r="B291">
        <v>-800</v>
      </c>
      <c r="C291" s="11" t="s">
        <v>13</v>
      </c>
      <c r="D291" s="11"/>
      <c r="E291" s="11"/>
      <c r="F291" s="11"/>
      <c r="G291" s="11"/>
      <c r="K291" s="4"/>
    </row>
    <row r="292" spans="2:11" x14ac:dyDescent="0.25">
      <c r="B292">
        <v>800</v>
      </c>
      <c r="C292" s="11" t="s">
        <v>12</v>
      </c>
      <c r="D292" s="11">
        <v>44901</v>
      </c>
      <c r="E292" s="11"/>
      <c r="F292" s="11"/>
      <c r="G292" s="11"/>
      <c r="K292" s="4"/>
    </row>
    <row r="293" spans="2:11" x14ac:dyDescent="0.25">
      <c r="B293">
        <v>-800</v>
      </c>
      <c r="C293" s="11" t="s">
        <v>93</v>
      </c>
      <c r="D293" s="11">
        <v>44901</v>
      </c>
      <c r="E293" s="11"/>
      <c r="F293" s="11"/>
      <c r="G293" s="11"/>
      <c r="K293" s="4"/>
    </row>
    <row r="294" spans="2:11" x14ac:dyDescent="0.25">
      <c r="B294">
        <v>400</v>
      </c>
      <c r="C294" s="11" t="s">
        <v>12</v>
      </c>
      <c r="D294" s="11">
        <v>44911</v>
      </c>
      <c r="E294" s="11"/>
      <c r="F294" s="11"/>
      <c r="G294" s="11"/>
      <c r="K294" s="4"/>
    </row>
    <row r="295" spans="2:11" x14ac:dyDescent="0.25">
      <c r="B295">
        <v>-400</v>
      </c>
      <c r="C295" s="11" t="s">
        <v>13</v>
      </c>
      <c r="D295" s="11"/>
      <c r="E295" s="11"/>
      <c r="F295" s="11"/>
      <c r="G295" s="11"/>
      <c r="K295" s="4"/>
    </row>
    <row r="296" spans="2:11" x14ac:dyDescent="0.25">
      <c r="B296">
        <v>400</v>
      </c>
      <c r="C296" s="11" t="s">
        <v>74</v>
      </c>
      <c r="D296" s="11">
        <v>44924</v>
      </c>
      <c r="E296" s="11"/>
      <c r="F296" s="11"/>
      <c r="G296" s="11"/>
      <c r="K296" s="4"/>
    </row>
    <row r="297" spans="2:11" x14ac:dyDescent="0.25">
      <c r="B297">
        <v>-400</v>
      </c>
      <c r="C297" s="11" t="s">
        <v>93</v>
      </c>
      <c r="D297" s="11">
        <v>44924</v>
      </c>
      <c r="E297" s="11"/>
      <c r="F297" s="11"/>
      <c r="G297" s="11"/>
      <c r="K297" s="4"/>
    </row>
    <row r="298" spans="2:11" x14ac:dyDescent="0.25">
      <c r="B298">
        <v>1200</v>
      </c>
      <c r="C298" s="11" t="s">
        <v>74</v>
      </c>
      <c r="D298" s="11">
        <v>44931</v>
      </c>
      <c r="E298" s="11"/>
      <c r="F298" s="11"/>
      <c r="G298" s="11"/>
      <c r="K298" s="4"/>
    </row>
    <row r="299" spans="2:11" x14ac:dyDescent="0.25">
      <c r="B299">
        <v>-1200</v>
      </c>
      <c r="C299" s="11" t="s">
        <v>93</v>
      </c>
      <c r="D299" s="11">
        <v>44931</v>
      </c>
      <c r="E299" s="11"/>
      <c r="F299" s="11"/>
      <c r="G299" s="11"/>
      <c r="K299" s="4"/>
    </row>
    <row r="300" spans="2:11" x14ac:dyDescent="0.25">
      <c r="B300">
        <v>400</v>
      </c>
      <c r="C300" s="11" t="s">
        <v>12</v>
      </c>
      <c r="D300" s="11"/>
      <c r="E300" s="11"/>
      <c r="F300" s="11"/>
      <c r="G300" s="11"/>
      <c r="K300" s="4"/>
    </row>
    <row r="301" spans="2:11" x14ac:dyDescent="0.25">
      <c r="B301">
        <v>1200</v>
      </c>
      <c r="C301" s="11" t="s">
        <v>74</v>
      </c>
      <c r="D301" s="11">
        <v>44946</v>
      </c>
      <c r="E301" s="11"/>
      <c r="F301" s="11"/>
      <c r="G301" s="11"/>
      <c r="K301" s="4"/>
    </row>
    <row r="302" spans="2:11" x14ac:dyDescent="0.25">
      <c r="B302">
        <v>-1200</v>
      </c>
      <c r="C302" s="11" t="s">
        <v>93</v>
      </c>
      <c r="D302" s="11"/>
      <c r="E302" s="11"/>
      <c r="F302" s="11"/>
      <c r="G302" s="11"/>
      <c r="K302" s="4"/>
    </row>
    <row r="303" spans="2:11" x14ac:dyDescent="0.25">
      <c r="B303">
        <v>400</v>
      </c>
      <c r="C303" s="11" t="s">
        <v>12</v>
      </c>
      <c r="D303" s="11"/>
      <c r="E303" s="11"/>
      <c r="F303" s="11"/>
      <c r="G303" s="11"/>
      <c r="K303" s="4"/>
    </row>
    <row r="304" spans="2:11" x14ac:dyDescent="0.25">
      <c r="B304">
        <v>-900</v>
      </c>
      <c r="C304" s="11" t="s">
        <v>219</v>
      </c>
      <c r="D304" s="11">
        <v>44952</v>
      </c>
      <c r="E304" s="11"/>
      <c r="F304" s="11"/>
      <c r="G304" s="11"/>
      <c r="K304" s="4"/>
    </row>
    <row r="305" spans="2:11" x14ac:dyDescent="0.25">
      <c r="B305">
        <v>400</v>
      </c>
      <c r="C305" s="11" t="s">
        <v>74</v>
      </c>
      <c r="D305" s="11">
        <v>44957</v>
      </c>
      <c r="E305" s="11"/>
      <c r="F305" s="11"/>
      <c r="G305" s="11"/>
      <c r="K305" s="4"/>
    </row>
    <row r="306" spans="2:11" x14ac:dyDescent="0.25">
      <c r="B306">
        <v>800</v>
      </c>
      <c r="C306" s="11" t="s">
        <v>12</v>
      </c>
      <c r="D306" s="11">
        <v>44960</v>
      </c>
      <c r="E306" s="11"/>
      <c r="F306" s="11"/>
      <c r="G306" s="11"/>
      <c r="K306" s="4"/>
    </row>
    <row r="307" spans="2:11" x14ac:dyDescent="0.25">
      <c r="B307">
        <v>-1100</v>
      </c>
      <c r="C307" s="11" t="s">
        <v>13</v>
      </c>
      <c r="D307" s="11"/>
      <c r="E307" s="11"/>
      <c r="F307" s="11"/>
      <c r="G307" s="11"/>
      <c r="K307" s="4"/>
    </row>
    <row r="308" spans="2:11" x14ac:dyDescent="0.25">
      <c r="B308">
        <v>2000</v>
      </c>
      <c r="C308" s="11" t="s">
        <v>12</v>
      </c>
      <c r="D308" s="11">
        <v>44967</v>
      </c>
      <c r="E308" s="11"/>
      <c r="F308" s="11"/>
      <c r="G308" s="11"/>
      <c r="K308" s="4"/>
    </row>
    <row r="309" spans="2:11" x14ac:dyDescent="0.25">
      <c r="B309">
        <v>-2000</v>
      </c>
      <c r="C309" s="11" t="s">
        <v>93</v>
      </c>
      <c r="D309" s="11">
        <v>44967</v>
      </c>
      <c r="E309" s="11"/>
      <c r="F309" s="11"/>
      <c r="G309" s="11"/>
      <c r="K309" s="4"/>
    </row>
    <row r="310" spans="2:11" x14ac:dyDescent="0.25">
      <c r="B310">
        <v>1680</v>
      </c>
      <c r="C310" s="11" t="s">
        <v>12</v>
      </c>
      <c r="D310" s="11">
        <v>44974</v>
      </c>
      <c r="E310" s="11"/>
      <c r="F310" s="11"/>
      <c r="G310" s="11"/>
      <c r="K310" s="4"/>
    </row>
    <row r="311" spans="2:11" x14ac:dyDescent="0.25">
      <c r="B311">
        <v>-1700</v>
      </c>
      <c r="C311" s="11" t="s">
        <v>13</v>
      </c>
      <c r="D311" s="11">
        <v>44974</v>
      </c>
      <c r="E311" s="11"/>
      <c r="F311" s="11"/>
      <c r="G311" s="11"/>
      <c r="K311" s="4"/>
    </row>
    <row r="312" spans="2:11" x14ac:dyDescent="0.25">
      <c r="B312">
        <v>400</v>
      </c>
      <c r="C312" s="11" t="s">
        <v>12</v>
      </c>
      <c r="D312" s="11"/>
      <c r="E312" s="11"/>
      <c r="F312" s="11"/>
      <c r="G312" s="11"/>
      <c r="K312" s="4"/>
    </row>
    <row r="313" spans="2:11" x14ac:dyDescent="0.25">
      <c r="B313">
        <v>-400</v>
      </c>
      <c r="C313" s="11" t="s">
        <v>13</v>
      </c>
      <c r="D313" s="11"/>
      <c r="E313" s="11"/>
      <c r="F313" s="11"/>
      <c r="G313" s="11"/>
      <c r="K313" s="4"/>
    </row>
    <row r="314" spans="2:11" x14ac:dyDescent="0.25">
      <c r="B314">
        <v>800</v>
      </c>
      <c r="C314" s="11" t="s">
        <v>12</v>
      </c>
      <c r="D314" s="11">
        <v>45005</v>
      </c>
      <c r="E314" s="11"/>
      <c r="F314" s="11"/>
      <c r="G314" s="11"/>
      <c r="K314" s="4"/>
    </row>
    <row r="315" spans="2:11" x14ac:dyDescent="0.25">
      <c r="B315">
        <v>1000</v>
      </c>
      <c r="C315" s="11" t="s">
        <v>141</v>
      </c>
      <c r="D315" s="11"/>
      <c r="E315" s="11"/>
      <c r="F315" s="11"/>
      <c r="G315" s="11"/>
      <c r="K315" s="4"/>
    </row>
    <row r="316" spans="2:11" x14ac:dyDescent="0.25">
      <c r="B316">
        <v>-1800</v>
      </c>
      <c r="C316" s="11" t="s">
        <v>13</v>
      </c>
      <c r="D316" s="11"/>
      <c r="E316" s="11"/>
      <c r="F316" s="11"/>
      <c r="G316" s="11"/>
      <c r="K316" s="4"/>
    </row>
    <row r="317" spans="2:11" x14ac:dyDescent="0.25">
      <c r="B317">
        <v>800</v>
      </c>
      <c r="C317" s="11" t="s">
        <v>12</v>
      </c>
      <c r="D317" s="11">
        <v>45010</v>
      </c>
      <c r="E317" s="11"/>
      <c r="F317" s="11"/>
      <c r="G317" s="11"/>
      <c r="K317" s="4"/>
    </row>
    <row r="318" spans="2:11" x14ac:dyDescent="0.25">
      <c r="B318">
        <v>-800</v>
      </c>
      <c r="C318" s="11" t="s">
        <v>13</v>
      </c>
      <c r="D318" s="11">
        <v>45010</v>
      </c>
      <c r="E318" s="11"/>
      <c r="F318" s="11"/>
      <c r="G318" s="11"/>
      <c r="K318" s="4"/>
    </row>
    <row r="319" spans="2:11" x14ac:dyDescent="0.25">
      <c r="B319">
        <v>400</v>
      </c>
      <c r="C319" s="11" t="s">
        <v>12</v>
      </c>
      <c r="D319" s="11">
        <v>45024</v>
      </c>
      <c r="E319" s="11"/>
      <c r="F319" s="11"/>
      <c r="G319" s="11"/>
      <c r="K319" s="4"/>
    </row>
    <row r="320" spans="2:11" x14ac:dyDescent="0.25">
      <c r="B320">
        <v>-400</v>
      </c>
      <c r="C320" s="11" t="s">
        <v>13</v>
      </c>
      <c r="D320" s="11">
        <v>45024</v>
      </c>
      <c r="E320" s="11"/>
      <c r="F320" s="11"/>
      <c r="G320" s="11"/>
      <c r="K320" s="4"/>
    </row>
    <row r="321" spans="2:11" x14ac:dyDescent="0.25">
      <c r="B321">
        <v>4000</v>
      </c>
      <c r="C321" s="11" t="s">
        <v>12</v>
      </c>
      <c r="D321" s="11">
        <v>45035</v>
      </c>
      <c r="E321" s="11"/>
      <c r="F321" s="11"/>
      <c r="G321" s="11"/>
      <c r="K321" s="4"/>
    </row>
    <row r="322" spans="2:11" x14ac:dyDescent="0.25">
      <c r="B322">
        <v>-4000</v>
      </c>
      <c r="C322" s="11" t="s">
        <v>13</v>
      </c>
      <c r="D322" s="11"/>
      <c r="E322" s="11"/>
      <c r="F322" s="11"/>
      <c r="G322" s="11"/>
      <c r="K322" s="4"/>
    </row>
    <row r="323" spans="2:11" x14ac:dyDescent="0.25">
      <c r="B323">
        <v>800</v>
      </c>
      <c r="C323" s="11" t="s">
        <v>12</v>
      </c>
      <c r="D323" s="11"/>
      <c r="E323" s="11"/>
      <c r="F323" s="11"/>
      <c r="G323" s="11"/>
      <c r="K323" s="4"/>
    </row>
    <row r="324" spans="2:11" x14ac:dyDescent="0.25">
      <c r="B324">
        <v>-800</v>
      </c>
      <c r="C324" s="11" t="s">
        <v>231</v>
      </c>
      <c r="D324" s="11"/>
      <c r="E324" s="11"/>
      <c r="F324" s="11"/>
      <c r="G324" s="11"/>
      <c r="K324" s="4"/>
    </row>
    <row r="325" spans="2:11" x14ac:dyDescent="0.25">
      <c r="B325">
        <v>800</v>
      </c>
      <c r="C325" s="11" t="s">
        <v>12</v>
      </c>
      <c r="D325" s="11"/>
      <c r="E325" s="11"/>
      <c r="F325" s="11"/>
      <c r="G325" s="11"/>
      <c r="K325" s="4"/>
    </row>
    <row r="326" spans="2:11" x14ac:dyDescent="0.25">
      <c r="B326">
        <v>-800</v>
      </c>
      <c r="C326" s="11" t="s">
        <v>13</v>
      </c>
      <c r="D326" s="11"/>
      <c r="E326" s="11"/>
      <c r="F326" s="11"/>
      <c r="G326" s="11"/>
      <c r="K326" s="4"/>
    </row>
    <row r="327" spans="2:11" x14ac:dyDescent="0.25">
      <c r="B327">
        <v>400</v>
      </c>
      <c r="C327" s="11" t="s">
        <v>12</v>
      </c>
      <c r="D327" s="11">
        <v>45057</v>
      </c>
      <c r="E327" s="11"/>
      <c r="F327" s="11"/>
      <c r="G327" s="11"/>
      <c r="K327" s="4"/>
    </row>
    <row r="328" spans="2:11" x14ac:dyDescent="0.25">
      <c r="B328">
        <v>-400</v>
      </c>
      <c r="C328" s="11" t="s">
        <v>13</v>
      </c>
      <c r="D328" s="11"/>
      <c r="E328" s="11"/>
      <c r="F328" s="11"/>
      <c r="G328" s="11"/>
      <c r="K328" s="4"/>
    </row>
    <row r="329" spans="2:11" x14ac:dyDescent="0.25">
      <c r="B329">
        <v>400</v>
      </c>
      <c r="C329" s="11" t="s">
        <v>12</v>
      </c>
      <c r="D329" s="11">
        <v>45064</v>
      </c>
      <c r="E329" s="11"/>
      <c r="F329" s="11"/>
      <c r="G329" s="11"/>
      <c r="K329" s="4"/>
    </row>
    <row r="330" spans="2:11" x14ac:dyDescent="0.25">
      <c r="B330">
        <v>-400</v>
      </c>
      <c r="C330" s="11" t="s">
        <v>13</v>
      </c>
      <c r="D330" s="11">
        <v>45064</v>
      </c>
      <c r="E330" s="11"/>
      <c r="F330" s="11"/>
      <c r="G330" s="11"/>
      <c r="K330" s="4"/>
    </row>
    <row r="331" spans="2:11" x14ac:dyDescent="0.25">
      <c r="B331">
        <v>1200</v>
      </c>
      <c r="C331" s="11" t="s">
        <v>12</v>
      </c>
      <c r="D331" s="11">
        <v>45078</v>
      </c>
      <c r="E331" s="11"/>
      <c r="F331" s="11"/>
      <c r="G331" s="11"/>
      <c r="K331" s="4"/>
    </row>
    <row r="332" spans="2:11" x14ac:dyDescent="0.25">
      <c r="B332">
        <v>-1200</v>
      </c>
      <c r="C332" s="11" t="s">
        <v>13</v>
      </c>
      <c r="D332" s="11"/>
      <c r="E332" s="11"/>
      <c r="F332" s="11"/>
      <c r="G332" s="11"/>
      <c r="K332" s="4"/>
    </row>
    <row r="333" spans="2:11" x14ac:dyDescent="0.25">
      <c r="B333">
        <v>600</v>
      </c>
      <c r="C333" s="11" t="s">
        <v>12</v>
      </c>
      <c r="D333" s="11">
        <v>45082</v>
      </c>
      <c r="E333" s="11"/>
      <c r="F333" s="11"/>
      <c r="G333" s="11"/>
      <c r="K333" s="4"/>
    </row>
    <row r="334" spans="2:11" x14ac:dyDescent="0.25">
      <c r="B334">
        <v>-600</v>
      </c>
      <c r="C334" s="11" t="s">
        <v>13</v>
      </c>
      <c r="D334" s="11">
        <v>45082</v>
      </c>
      <c r="E334" s="11"/>
      <c r="F334" s="11"/>
      <c r="G334" s="11"/>
      <c r="K334" s="4"/>
    </row>
    <row r="335" spans="2:11" x14ac:dyDescent="0.25">
      <c r="B335">
        <v>2000</v>
      </c>
      <c r="C335" s="11" t="s">
        <v>141</v>
      </c>
      <c r="D335" s="11">
        <v>45117</v>
      </c>
      <c r="E335" s="11"/>
      <c r="F335" s="11"/>
      <c r="G335" s="11"/>
      <c r="K335" s="4"/>
    </row>
    <row r="336" spans="2:11" x14ac:dyDescent="0.25">
      <c r="B336">
        <v>-2000</v>
      </c>
      <c r="C336" s="11" t="s">
        <v>13</v>
      </c>
      <c r="D336" s="11"/>
      <c r="E336" s="11"/>
      <c r="F336" s="11"/>
      <c r="G336" s="11"/>
      <c r="K336" s="4"/>
    </row>
    <row r="337" spans="2:11" x14ac:dyDescent="0.25">
      <c r="B337">
        <v>1200</v>
      </c>
      <c r="C337" s="11" t="s">
        <v>12</v>
      </c>
      <c r="D337" s="11">
        <v>45119</v>
      </c>
      <c r="E337" s="11"/>
      <c r="F337" s="11"/>
      <c r="G337" s="11"/>
      <c r="K337" s="4"/>
    </row>
    <row r="338" spans="2:11" x14ac:dyDescent="0.25">
      <c r="B338">
        <v>-1200</v>
      </c>
      <c r="C338" s="11" t="s">
        <v>13</v>
      </c>
      <c r="D338" s="11"/>
      <c r="E338" s="11"/>
      <c r="F338" s="11"/>
      <c r="G338" s="11"/>
      <c r="K338" s="4"/>
    </row>
    <row r="339" spans="2:11" x14ac:dyDescent="0.25">
      <c r="B339">
        <v>600</v>
      </c>
      <c r="C339" s="11" t="s">
        <v>12</v>
      </c>
      <c r="D339" s="11">
        <v>45127</v>
      </c>
      <c r="E339" s="11"/>
      <c r="F339" s="11"/>
      <c r="G339" s="11"/>
      <c r="K339" s="4"/>
    </row>
    <row r="340" spans="2:11" x14ac:dyDescent="0.25">
      <c r="B340">
        <v>-600</v>
      </c>
      <c r="C340" s="11" t="s">
        <v>13</v>
      </c>
      <c r="D340" s="11"/>
      <c r="E340" s="11"/>
      <c r="F340" s="11"/>
      <c r="G340" s="11"/>
      <c r="K340" s="4"/>
    </row>
    <row r="341" spans="2:11" x14ac:dyDescent="0.25">
      <c r="B341">
        <v>800</v>
      </c>
      <c r="C341" s="11" t="s">
        <v>74</v>
      </c>
      <c r="D341" s="11">
        <v>45142</v>
      </c>
      <c r="E341" s="11"/>
      <c r="F341" s="11"/>
      <c r="G341" s="11"/>
      <c r="K341" s="4"/>
    </row>
    <row r="342" spans="2:11" x14ac:dyDescent="0.25">
      <c r="B342">
        <v>-800</v>
      </c>
      <c r="C342" s="11" t="s">
        <v>13</v>
      </c>
      <c r="D342" s="11"/>
      <c r="E342" s="11"/>
      <c r="F342" s="11"/>
      <c r="G342" s="11"/>
      <c r="K342" s="4"/>
    </row>
    <row r="343" spans="2:11" x14ac:dyDescent="0.25">
      <c r="B343">
        <v>1600</v>
      </c>
      <c r="C343" s="11" t="s">
        <v>12</v>
      </c>
      <c r="D343" s="11">
        <v>45149</v>
      </c>
      <c r="E343" s="11"/>
      <c r="F343" s="11"/>
      <c r="G343" s="11"/>
      <c r="K343" s="4"/>
    </row>
    <row r="344" spans="2:11" x14ac:dyDescent="0.25">
      <c r="B344">
        <v>-1600</v>
      </c>
      <c r="C344" s="11" t="s">
        <v>13</v>
      </c>
      <c r="D344" s="11"/>
      <c r="E344" s="11"/>
      <c r="F344" s="11"/>
      <c r="G344" s="11"/>
      <c r="K344" s="4"/>
    </row>
    <row r="345" spans="2:11" x14ac:dyDescent="0.25">
      <c r="B345">
        <v>1600</v>
      </c>
      <c r="C345" s="11" t="s">
        <v>74</v>
      </c>
      <c r="D345" s="11">
        <v>45153</v>
      </c>
      <c r="E345" s="11"/>
      <c r="F345" s="11"/>
      <c r="G345" s="11"/>
      <c r="K345" s="4"/>
    </row>
    <row r="346" spans="2:11" x14ac:dyDescent="0.25">
      <c r="B346">
        <v>-1600</v>
      </c>
      <c r="C346" s="11" t="s">
        <v>93</v>
      </c>
      <c r="D346" s="11">
        <v>45153</v>
      </c>
      <c r="E346" s="11"/>
      <c r="F346" s="11"/>
      <c r="G346" s="11"/>
      <c r="K346" s="4"/>
    </row>
    <row r="347" spans="2:11" x14ac:dyDescent="0.25">
      <c r="B347">
        <v>800</v>
      </c>
      <c r="C347" s="11" t="s">
        <v>12</v>
      </c>
      <c r="D347" s="11"/>
      <c r="E347" s="11"/>
      <c r="F347" s="11"/>
      <c r="G347" s="11"/>
      <c r="K347" s="4"/>
    </row>
    <row r="348" spans="2:11" x14ac:dyDescent="0.25">
      <c r="B348">
        <v>-800</v>
      </c>
      <c r="C348" s="11" t="s">
        <v>13</v>
      </c>
      <c r="D348" s="11"/>
      <c r="E348" s="11"/>
      <c r="F348" s="11"/>
      <c r="G348" s="11"/>
      <c r="K348" s="4"/>
    </row>
    <row r="349" spans="2:11" x14ac:dyDescent="0.25">
      <c r="B349">
        <v>1600</v>
      </c>
      <c r="C349" s="11" t="s">
        <v>74</v>
      </c>
      <c r="D349" s="11">
        <v>45177</v>
      </c>
      <c r="E349" s="11"/>
      <c r="F349" s="11"/>
      <c r="G349" s="11"/>
      <c r="K349" s="4"/>
    </row>
    <row r="350" spans="2:11" x14ac:dyDescent="0.25">
      <c r="B350">
        <v>-1600</v>
      </c>
      <c r="C350" s="11" t="s">
        <v>93</v>
      </c>
      <c r="D350" s="11">
        <v>45177</v>
      </c>
      <c r="E350" s="11"/>
      <c r="F350" s="11"/>
      <c r="G350" s="11"/>
      <c r="K350" s="4"/>
    </row>
    <row r="351" spans="2:11" x14ac:dyDescent="0.25">
      <c r="B351">
        <v>1600</v>
      </c>
      <c r="C351" s="11" t="s">
        <v>74</v>
      </c>
      <c r="D351" s="11">
        <v>45197</v>
      </c>
      <c r="E351" s="11"/>
      <c r="F351" s="11"/>
      <c r="G351" s="11"/>
      <c r="K351" s="4"/>
    </row>
    <row r="352" spans="2:11" x14ac:dyDescent="0.25">
      <c r="B352">
        <v>-1600</v>
      </c>
      <c r="C352" s="11" t="s">
        <v>93</v>
      </c>
      <c r="D352" s="11"/>
      <c r="E352" s="11"/>
      <c r="F352" s="11"/>
      <c r="G352" s="11"/>
      <c r="K352" s="4"/>
    </row>
    <row r="353" spans="2:11" x14ac:dyDescent="0.25">
      <c r="B353">
        <v>1600</v>
      </c>
      <c r="C353" s="11" t="s">
        <v>12</v>
      </c>
      <c r="D353" s="11">
        <v>45217</v>
      </c>
      <c r="E353" s="11"/>
      <c r="F353" s="11"/>
      <c r="G353" s="11"/>
      <c r="K353" s="4"/>
    </row>
    <row r="354" spans="2:11" x14ac:dyDescent="0.25">
      <c r="B354">
        <v>-1600</v>
      </c>
      <c r="C354" s="11" t="s">
        <v>13</v>
      </c>
      <c r="D354" s="11"/>
      <c r="E354" s="11"/>
      <c r="F354" s="11"/>
      <c r="G354" s="11"/>
      <c r="K354" s="4"/>
    </row>
    <row r="355" spans="2:11" x14ac:dyDescent="0.25">
      <c r="B355">
        <v>1600</v>
      </c>
      <c r="C355" s="11" t="s">
        <v>74</v>
      </c>
      <c r="D355" s="11">
        <v>45220</v>
      </c>
      <c r="E355" s="11"/>
      <c r="F355" s="11"/>
      <c r="G355" s="11"/>
      <c r="K355" s="4"/>
    </row>
    <row r="356" spans="2:11" x14ac:dyDescent="0.25">
      <c r="B356">
        <v>-1600</v>
      </c>
      <c r="C356" s="11" t="s">
        <v>93</v>
      </c>
      <c r="D356" s="11">
        <v>45220</v>
      </c>
      <c r="E356" s="11"/>
      <c r="F356" s="11"/>
      <c r="G356" s="11"/>
      <c r="K356" s="4"/>
    </row>
    <row r="357" spans="2:11" x14ac:dyDescent="0.25">
      <c r="B357">
        <v>1600</v>
      </c>
      <c r="C357" s="11" t="s">
        <v>74</v>
      </c>
      <c r="D357" s="11">
        <v>45236</v>
      </c>
      <c r="E357" s="11"/>
      <c r="F357" s="11"/>
      <c r="G357" s="11"/>
      <c r="K357" s="4"/>
    </row>
    <row r="358" spans="2:11" x14ac:dyDescent="0.25">
      <c r="B358">
        <v>-1600</v>
      </c>
      <c r="C358" s="11" t="s">
        <v>93</v>
      </c>
      <c r="D358" s="11"/>
      <c r="E358" s="11"/>
      <c r="F358" s="11"/>
      <c r="G358" s="11"/>
      <c r="K358" s="4"/>
    </row>
    <row r="359" spans="2:11" x14ac:dyDescent="0.25">
      <c r="B359">
        <v>1600</v>
      </c>
      <c r="C359" s="11" t="s">
        <v>74</v>
      </c>
      <c r="D359" s="11">
        <v>45240</v>
      </c>
      <c r="E359" s="11"/>
      <c r="F359" s="11"/>
      <c r="G359" s="11"/>
      <c r="K359" s="4"/>
    </row>
    <row r="360" spans="2:11" x14ac:dyDescent="0.25">
      <c r="B360">
        <v>-1600</v>
      </c>
      <c r="C360" s="11" t="s">
        <v>93</v>
      </c>
      <c r="D360" s="11"/>
      <c r="E360" s="11"/>
      <c r="F360" s="11"/>
      <c r="G360" s="11"/>
      <c r="K360" s="4"/>
    </row>
    <row r="361" spans="2:11" x14ac:dyDescent="0.25">
      <c r="B361">
        <v>800</v>
      </c>
      <c r="C361" s="11" t="s">
        <v>12</v>
      </c>
      <c r="D361" s="11">
        <v>45247</v>
      </c>
      <c r="E361" s="11"/>
      <c r="F361" s="11"/>
      <c r="G361" s="11"/>
      <c r="K361" s="4"/>
    </row>
    <row r="362" spans="2:11" x14ac:dyDescent="0.25">
      <c r="B362">
        <v>-800</v>
      </c>
      <c r="C362" s="11" t="s">
        <v>13</v>
      </c>
      <c r="D362" s="11"/>
      <c r="E362" s="11"/>
      <c r="F362" s="11"/>
      <c r="G362" s="11"/>
      <c r="K362" s="4"/>
    </row>
    <row r="363" spans="2:11" x14ac:dyDescent="0.25">
      <c r="B363">
        <v>1600</v>
      </c>
      <c r="C363" s="11" t="s">
        <v>12</v>
      </c>
      <c r="D363" s="11">
        <v>45261</v>
      </c>
      <c r="E363" s="11"/>
      <c r="F363" s="11"/>
      <c r="G363" s="11"/>
      <c r="K363" s="4"/>
    </row>
    <row r="364" spans="2:11" x14ac:dyDescent="0.25">
      <c r="B364">
        <v>-1600</v>
      </c>
      <c r="C364" s="11" t="s">
        <v>13</v>
      </c>
      <c r="D364" s="11"/>
      <c r="E364" s="11"/>
      <c r="F364" s="11"/>
      <c r="G364" s="11"/>
      <c r="K364" s="4"/>
    </row>
    <row r="365" spans="2:11" x14ac:dyDescent="0.25">
      <c r="B365">
        <v>4500</v>
      </c>
      <c r="C365" s="11" t="s">
        <v>141</v>
      </c>
      <c r="D365" s="11">
        <v>45267</v>
      </c>
      <c r="E365" s="11"/>
      <c r="F365" s="11"/>
      <c r="G365" s="11"/>
      <c r="K365" s="4"/>
    </row>
    <row r="366" spans="2:11" x14ac:dyDescent="0.25">
      <c r="B366">
        <v>1200</v>
      </c>
      <c r="C366" s="11" t="s">
        <v>12</v>
      </c>
      <c r="D366" s="11"/>
      <c r="E366" s="11"/>
      <c r="F366" s="11"/>
      <c r="G366" s="11"/>
      <c r="K366" s="4"/>
    </row>
    <row r="367" spans="2:11" x14ac:dyDescent="0.25">
      <c r="B367">
        <v>-5700</v>
      </c>
      <c r="C367" s="11" t="s">
        <v>13</v>
      </c>
      <c r="D367" s="11"/>
      <c r="E367" s="11"/>
      <c r="F367" s="11"/>
      <c r="G367" s="11"/>
      <c r="K367" s="4"/>
    </row>
    <row r="368" spans="2:11" x14ac:dyDescent="0.25">
      <c r="B368">
        <v>1200</v>
      </c>
      <c r="C368" s="11" t="s">
        <v>12</v>
      </c>
      <c r="D368" s="11">
        <v>45272</v>
      </c>
      <c r="E368" s="11"/>
      <c r="F368" s="11"/>
      <c r="G368" s="11"/>
      <c r="K368" s="4"/>
    </row>
    <row r="369" spans="2:13" x14ac:dyDescent="0.25">
      <c r="B369">
        <v>-1200</v>
      </c>
      <c r="C369" s="11" t="s">
        <v>13</v>
      </c>
      <c r="D369" s="11"/>
      <c r="E369" s="11"/>
      <c r="F369" s="11"/>
      <c r="G369" s="11"/>
      <c r="K369" s="4"/>
    </row>
    <row r="370" spans="2:13" x14ac:dyDescent="0.25">
      <c r="B370">
        <v>1800</v>
      </c>
      <c r="C370" s="11" t="s">
        <v>12</v>
      </c>
      <c r="D370" s="11">
        <v>45306</v>
      </c>
      <c r="E370" s="11"/>
      <c r="F370" s="11"/>
      <c r="G370" s="11"/>
      <c r="K370" s="4"/>
    </row>
    <row r="371" spans="2:13" x14ac:dyDescent="0.25">
      <c r="B371">
        <v>-1800</v>
      </c>
      <c r="C371" s="11" t="s">
        <v>13</v>
      </c>
      <c r="D371" s="11"/>
      <c r="E371" s="11"/>
      <c r="F371" s="11"/>
      <c r="G371" s="11"/>
      <c r="K371" s="4"/>
    </row>
    <row r="372" spans="2:13" x14ac:dyDescent="0.25">
      <c r="B372">
        <v>1800</v>
      </c>
      <c r="C372" s="11" t="s">
        <v>12</v>
      </c>
      <c r="D372" s="11">
        <v>45308</v>
      </c>
      <c r="E372" s="11"/>
      <c r="F372" s="11"/>
      <c r="G372" s="11"/>
      <c r="K372" s="4"/>
    </row>
    <row r="373" spans="2:13" x14ac:dyDescent="0.25">
      <c r="B373">
        <v>-1800</v>
      </c>
      <c r="C373" s="11" t="s">
        <v>13</v>
      </c>
      <c r="D373" s="11"/>
      <c r="E373" s="11"/>
      <c r="F373" s="11"/>
      <c r="G373" s="11"/>
      <c r="K373" s="4"/>
    </row>
    <row r="374" spans="2:13" x14ac:dyDescent="0.25">
      <c r="B374">
        <v>-30000</v>
      </c>
      <c r="C374" s="11" t="s">
        <v>13</v>
      </c>
      <c r="D374" s="11">
        <v>45351</v>
      </c>
      <c r="E374" s="11"/>
      <c r="F374" s="11"/>
      <c r="G374" s="11"/>
      <c r="K374" s="4"/>
    </row>
    <row r="375" spans="2:13" x14ac:dyDescent="0.25">
      <c r="B375">
        <v>3600</v>
      </c>
      <c r="C375" s="11" t="s">
        <v>12</v>
      </c>
      <c r="D375" s="11">
        <v>45425</v>
      </c>
      <c r="E375" s="11"/>
      <c r="F375" s="11"/>
      <c r="G375" s="11"/>
      <c r="K375" s="4"/>
    </row>
    <row r="376" spans="2:13" x14ac:dyDescent="0.25">
      <c r="B376">
        <v>7200</v>
      </c>
      <c r="C376" s="11" t="s">
        <v>12</v>
      </c>
      <c r="D376" s="11">
        <v>45434</v>
      </c>
      <c r="E376" s="11"/>
      <c r="F376" s="11"/>
      <c r="G376" s="11"/>
      <c r="K376" s="4"/>
    </row>
    <row r="377" spans="2:13" x14ac:dyDescent="0.25">
      <c r="B377">
        <v>22800</v>
      </c>
      <c r="C377" s="11" t="s">
        <v>12</v>
      </c>
      <c r="D377" s="11"/>
      <c r="E377" s="11"/>
      <c r="F377" s="11"/>
      <c r="G377" s="11"/>
      <c r="K377" s="4"/>
    </row>
    <row r="378" spans="2:13" x14ac:dyDescent="0.25">
      <c r="B378">
        <v>-22800</v>
      </c>
      <c r="C378" s="11" t="s">
        <v>13</v>
      </c>
      <c r="D378" s="11"/>
      <c r="E378" s="11"/>
      <c r="F378" s="11"/>
      <c r="G378" s="11"/>
      <c r="K378" s="4"/>
    </row>
    <row r="379" spans="2:13" x14ac:dyDescent="0.25">
      <c r="B379">
        <v>3800</v>
      </c>
      <c r="C379" s="11" t="s">
        <v>12</v>
      </c>
      <c r="D379" s="11"/>
      <c r="E379" s="11"/>
      <c r="F379" s="11"/>
      <c r="G379" s="11"/>
      <c r="K379" s="4"/>
      <c r="M379">
        <v>-183999</v>
      </c>
    </row>
    <row r="380" spans="2:13" x14ac:dyDescent="0.25">
      <c r="B380">
        <v>-3800</v>
      </c>
      <c r="C380" s="11" t="s">
        <v>13</v>
      </c>
      <c r="D380" s="11"/>
      <c r="E380" s="11"/>
      <c r="F380" s="11"/>
      <c r="G380" s="11"/>
      <c r="K380" s="4"/>
    </row>
    <row r="381" spans="2:13" x14ac:dyDescent="0.25">
      <c r="B381">
        <v>17500</v>
      </c>
      <c r="C381" s="11" t="s">
        <v>12</v>
      </c>
      <c r="D381" s="11"/>
      <c r="E381" s="11"/>
      <c r="F381" s="11"/>
      <c r="G381" s="11"/>
      <c r="K381" s="4"/>
    </row>
    <row r="382" spans="2:13" x14ac:dyDescent="0.25">
      <c r="B382">
        <v>-17500</v>
      </c>
      <c r="C382" s="11" t="s">
        <v>13</v>
      </c>
      <c r="D382" s="11"/>
      <c r="E382" s="11"/>
      <c r="F382" s="11"/>
      <c r="G382" s="11"/>
      <c r="K382" s="4"/>
      <c r="M382">
        <v>185.9</v>
      </c>
    </row>
    <row r="383" spans="2:13" x14ac:dyDescent="0.25">
      <c r="B383">
        <v>23500</v>
      </c>
      <c r="C383" s="11" t="s">
        <v>12</v>
      </c>
      <c r="D383" s="11">
        <v>45523</v>
      </c>
      <c r="E383" s="11"/>
      <c r="F383" s="11"/>
      <c r="G383" s="11"/>
      <c r="K383" s="4"/>
    </row>
    <row r="384" spans="2:13" x14ac:dyDescent="0.25">
      <c r="B384">
        <v>-23500</v>
      </c>
      <c r="C384" s="11" t="s">
        <v>13</v>
      </c>
      <c r="D384" s="11"/>
      <c r="E384" s="11"/>
      <c r="F384" s="11"/>
      <c r="G384" s="11"/>
      <c r="K384" s="4"/>
    </row>
    <row r="385" spans="2:11" x14ac:dyDescent="0.25">
      <c r="B385">
        <v>9000</v>
      </c>
      <c r="C385" s="11" t="s">
        <v>12</v>
      </c>
      <c r="D385" s="11">
        <v>45560</v>
      </c>
      <c r="E385" s="11"/>
      <c r="F385" s="11"/>
      <c r="G385" s="11"/>
      <c r="K385" s="4"/>
    </row>
    <row r="386" spans="2:11" x14ac:dyDescent="0.25">
      <c r="B386">
        <v>-40000</v>
      </c>
      <c r="C386" s="11" t="s">
        <v>13</v>
      </c>
      <c r="D386" s="11"/>
      <c r="E386" s="11"/>
      <c r="F386" s="11"/>
      <c r="G386" s="11"/>
      <c r="K386" s="4"/>
    </row>
    <row r="387" spans="2:11" x14ac:dyDescent="0.25">
      <c r="B387">
        <v>34800</v>
      </c>
      <c r="C387" s="11" t="s">
        <v>12</v>
      </c>
      <c r="D387" s="11"/>
      <c r="E387" s="11"/>
      <c r="F387" s="11"/>
      <c r="G387" s="11"/>
      <c r="K387" s="4"/>
    </row>
    <row r="388" spans="2:11" x14ac:dyDescent="0.25">
      <c r="B388">
        <v>-34000</v>
      </c>
      <c r="C388" s="11" t="s">
        <v>13</v>
      </c>
      <c r="D388" s="11">
        <v>45565</v>
      </c>
      <c r="E388" s="11"/>
      <c r="F388" s="11"/>
      <c r="G388" s="11"/>
      <c r="K388" s="4"/>
    </row>
    <row r="389" spans="2:11" x14ac:dyDescent="0.25">
      <c r="B389">
        <v>30300</v>
      </c>
      <c r="C389" s="11" t="s">
        <v>12</v>
      </c>
      <c r="D389" s="11"/>
      <c r="E389" s="11"/>
      <c r="F389" s="11"/>
      <c r="G389" s="11"/>
      <c r="K389" s="4"/>
    </row>
    <row r="390" spans="2:11" x14ac:dyDescent="0.25">
      <c r="B390">
        <v>-30000</v>
      </c>
      <c r="C390" s="11" t="s">
        <v>13</v>
      </c>
      <c r="D390" s="11"/>
      <c r="E390" s="11"/>
      <c r="F390" s="11"/>
      <c r="G390" s="11"/>
      <c r="K390" s="4"/>
    </row>
    <row r="391" spans="2:11" x14ac:dyDescent="0.25">
      <c r="B391">
        <v>19800</v>
      </c>
      <c r="C391" s="11" t="s">
        <v>12</v>
      </c>
      <c r="D391" s="11">
        <v>45575</v>
      </c>
      <c r="E391" s="11"/>
      <c r="F391" s="11"/>
      <c r="G391" s="11"/>
      <c r="K391" s="4"/>
    </row>
    <row r="392" spans="2:11" x14ac:dyDescent="0.25">
      <c r="B392">
        <v>-19000</v>
      </c>
      <c r="C392" s="11" t="s">
        <v>13</v>
      </c>
      <c r="D392" s="11">
        <v>45575</v>
      </c>
      <c r="E392" s="11"/>
      <c r="F392" s="11"/>
      <c r="G392" s="11"/>
      <c r="K392" s="4"/>
    </row>
    <row r="393" spans="2:11" x14ac:dyDescent="0.25">
      <c r="B393">
        <v>4700</v>
      </c>
      <c r="C393" s="11" t="s">
        <v>74</v>
      </c>
      <c r="D393" s="11">
        <v>45587</v>
      </c>
      <c r="E393" s="11"/>
      <c r="F393" s="11"/>
      <c r="G393" s="11"/>
      <c r="K393" s="4"/>
    </row>
    <row r="394" spans="2:11" x14ac:dyDescent="0.25">
      <c r="B394">
        <v>30000</v>
      </c>
      <c r="C394" s="11" t="s">
        <v>266</v>
      </c>
      <c r="D394" s="11">
        <v>45587</v>
      </c>
      <c r="E394" s="11"/>
      <c r="F394" s="11"/>
      <c r="G394" s="11"/>
      <c r="K394" s="4"/>
    </row>
    <row r="395" spans="2:11" x14ac:dyDescent="0.25">
      <c r="B395">
        <v>9400</v>
      </c>
      <c r="C395" s="11" t="s">
        <v>12</v>
      </c>
      <c r="D395" s="11"/>
      <c r="E395" s="11"/>
      <c r="F395" s="11"/>
      <c r="G395" s="11"/>
      <c r="K395" s="4"/>
    </row>
    <row r="396" spans="2:11" x14ac:dyDescent="0.25">
      <c r="B396">
        <v>-9500</v>
      </c>
      <c r="C396" s="11" t="s">
        <v>268</v>
      </c>
      <c r="D396" s="11">
        <v>45596</v>
      </c>
      <c r="E396" s="11"/>
      <c r="F396" s="11"/>
      <c r="G396" s="11"/>
      <c r="K396" s="4"/>
    </row>
    <row r="397" spans="2:11" x14ac:dyDescent="0.25">
      <c r="B397">
        <v>4700</v>
      </c>
      <c r="C397" s="11" t="s">
        <v>138</v>
      </c>
      <c r="D397" s="11">
        <v>45603</v>
      </c>
      <c r="E397" s="11"/>
      <c r="F397" s="11"/>
      <c r="G397" s="11"/>
      <c r="K397" s="4"/>
    </row>
    <row r="398" spans="2:11" x14ac:dyDescent="0.25">
      <c r="B398">
        <v>-4500</v>
      </c>
      <c r="C398" s="11" t="s">
        <v>13</v>
      </c>
      <c r="D398" s="11"/>
      <c r="E398" s="11"/>
      <c r="F398" s="11"/>
      <c r="G398" s="11"/>
      <c r="K398" s="4"/>
    </row>
    <row r="399" spans="2:11" x14ac:dyDescent="0.25">
      <c r="B399">
        <v>10200</v>
      </c>
      <c r="C399" s="11" t="s">
        <v>12</v>
      </c>
      <c r="D399" s="11"/>
      <c r="E399" s="11"/>
      <c r="F399" s="11"/>
      <c r="G399" s="11"/>
      <c r="K399" s="4"/>
    </row>
    <row r="400" spans="2:11" x14ac:dyDescent="0.25">
      <c r="B400">
        <v>-10000</v>
      </c>
      <c r="C400" s="11" t="s">
        <v>13</v>
      </c>
      <c r="D400" s="11">
        <v>45659</v>
      </c>
      <c r="E400" s="11"/>
      <c r="F400" s="11"/>
      <c r="G400" s="11"/>
      <c r="K400" s="4"/>
    </row>
    <row r="401" spans="2:13" x14ac:dyDescent="0.25">
      <c r="B401">
        <v>5100</v>
      </c>
      <c r="C401" s="11" t="s">
        <v>138</v>
      </c>
      <c r="D401" s="11">
        <v>45688</v>
      </c>
      <c r="E401" s="11"/>
      <c r="F401" s="11"/>
      <c r="G401" s="11"/>
      <c r="K401" s="4"/>
    </row>
    <row r="402" spans="2:13" x14ac:dyDescent="0.25">
      <c r="B402">
        <v>-5100</v>
      </c>
      <c r="C402" s="11" t="s">
        <v>13</v>
      </c>
      <c r="D402" s="11"/>
      <c r="E402" s="11"/>
      <c r="F402" s="11"/>
      <c r="G402" s="11"/>
      <c r="K402" s="4"/>
    </row>
    <row r="403" spans="2:13" x14ac:dyDescent="0.25">
      <c r="B403">
        <v>5100</v>
      </c>
      <c r="C403" s="11" t="s">
        <v>138</v>
      </c>
      <c r="D403" s="11"/>
      <c r="E403" s="11"/>
      <c r="F403" s="11"/>
      <c r="G403" s="11"/>
      <c r="K403" s="4"/>
    </row>
    <row r="404" spans="2:13" x14ac:dyDescent="0.25">
      <c r="B404">
        <v>-5500</v>
      </c>
      <c r="C404" s="11" t="s">
        <v>13</v>
      </c>
      <c r="D404" s="11">
        <v>45692</v>
      </c>
      <c r="E404" s="11"/>
      <c r="F404" s="11"/>
      <c r="G404" s="11"/>
      <c r="K404" s="4"/>
    </row>
    <row r="405" spans="2:13" x14ac:dyDescent="0.25">
      <c r="B405">
        <v>41500</v>
      </c>
      <c r="C405" s="11" t="s">
        <v>12</v>
      </c>
      <c r="D405" s="11">
        <v>45771</v>
      </c>
      <c r="E405" s="11"/>
      <c r="F405" s="11"/>
      <c r="G405" s="11"/>
      <c r="K405" s="4"/>
    </row>
    <row r="406" spans="2:13" x14ac:dyDescent="0.25">
      <c r="B406">
        <v>-41500</v>
      </c>
      <c r="C406" s="11" t="s">
        <v>13</v>
      </c>
      <c r="D406" s="11"/>
      <c r="E406" s="11"/>
      <c r="F406" s="11"/>
      <c r="G406" s="11"/>
      <c r="K406" s="4"/>
    </row>
    <row r="407" spans="2:13" x14ac:dyDescent="0.25">
      <c r="B407">
        <v>5100</v>
      </c>
      <c r="C407" s="11" t="s">
        <v>12</v>
      </c>
      <c r="D407" s="11"/>
      <c r="E407" s="11"/>
      <c r="F407" s="11"/>
      <c r="G407" s="11"/>
      <c r="K407" s="4"/>
    </row>
    <row r="408" spans="2:13" x14ac:dyDescent="0.25">
      <c r="B408">
        <v>-10000</v>
      </c>
      <c r="C408" s="11" t="s">
        <v>13</v>
      </c>
      <c r="D408" s="11">
        <v>45839</v>
      </c>
      <c r="E408" s="11"/>
      <c r="F408" s="11"/>
      <c r="G408" s="11"/>
      <c r="K408" s="4"/>
    </row>
    <row r="409" spans="2:13" x14ac:dyDescent="0.25">
      <c r="B409">
        <v>46500</v>
      </c>
      <c r="C409" s="11" t="s">
        <v>138</v>
      </c>
      <c r="D409" s="11">
        <v>45911</v>
      </c>
      <c r="E409" s="4"/>
      <c r="K409" s="4"/>
      <c r="M409">
        <v>16486.66</v>
      </c>
    </row>
    <row r="410" spans="2:13" x14ac:dyDescent="0.25">
      <c r="B410">
        <v>-46500</v>
      </c>
      <c r="C410" s="11" t="s">
        <v>13</v>
      </c>
      <c r="D410" s="11"/>
      <c r="F410" s="11"/>
      <c r="G410" s="11"/>
      <c r="I410" s="173"/>
      <c r="K410" s="4"/>
      <c r="M410">
        <v>23766.66</v>
      </c>
    </row>
    <row r="411" spans="2:13" x14ac:dyDescent="0.25">
      <c r="B411" s="135">
        <f>SUM(B64:B410)</f>
        <v>-20640</v>
      </c>
      <c r="C411" s="11">
        <v>45911</v>
      </c>
      <c r="D411" s="11"/>
      <c r="E411" s="11"/>
      <c r="F411" s="11"/>
      <c r="G411" s="11"/>
      <c r="K411" s="4"/>
      <c r="M411">
        <v>61333</v>
      </c>
    </row>
    <row r="412" spans="2:13" x14ac:dyDescent="0.25">
      <c r="B412" s="11"/>
      <c r="D412" s="11"/>
      <c r="K412" s="4"/>
      <c r="M412">
        <v>61333</v>
      </c>
    </row>
    <row r="413" spans="2:13" x14ac:dyDescent="0.25">
      <c r="B413" s="11"/>
      <c r="E413" s="11"/>
      <c r="F413" s="11"/>
      <c r="G413" s="11"/>
      <c r="K413" s="4"/>
      <c r="M413">
        <v>9100</v>
      </c>
    </row>
    <row r="414" spans="2:13" x14ac:dyDescent="0.25">
      <c r="B414" s="11"/>
      <c r="I414" s="4"/>
      <c r="M414">
        <v>5999.85</v>
      </c>
    </row>
    <row r="415" spans="2:13" x14ac:dyDescent="0.25">
      <c r="B415" s="11"/>
      <c r="E415" s="11"/>
      <c r="F415" s="11"/>
      <c r="G415" s="11"/>
      <c r="K415" s="4"/>
      <c r="M415">
        <v>7200</v>
      </c>
    </row>
    <row r="416" spans="2:13" x14ac:dyDescent="0.25">
      <c r="B416" s="11"/>
      <c r="C416" s="11"/>
      <c r="E416" s="11"/>
      <c r="F416" s="11"/>
      <c r="G416" s="11"/>
      <c r="K416" s="4"/>
      <c r="M416">
        <v>15000</v>
      </c>
    </row>
    <row r="417" spans="2:13" x14ac:dyDescent="0.25">
      <c r="B417" s="11"/>
      <c r="E417" s="11"/>
      <c r="F417" s="11"/>
      <c r="G417" s="11"/>
      <c r="K417" s="4"/>
      <c r="M417">
        <v>14271.33</v>
      </c>
    </row>
    <row r="418" spans="2:13" x14ac:dyDescent="0.25">
      <c r="B418" s="11"/>
      <c r="E418" s="11"/>
      <c r="F418" s="11"/>
      <c r="G418" s="11"/>
      <c r="K418" s="4"/>
      <c r="M418">
        <f>SUM(M378:M417)</f>
        <v>30677.4</v>
      </c>
    </row>
    <row r="419" spans="2:13" x14ac:dyDescent="0.25">
      <c r="B419" s="11"/>
      <c r="E419" s="11"/>
      <c r="F419" s="11"/>
      <c r="G419" s="11"/>
      <c r="K419" s="4"/>
    </row>
    <row r="420" spans="2:13" x14ac:dyDescent="0.25">
      <c r="B420" s="11"/>
      <c r="E420" s="11"/>
      <c r="F420" s="11"/>
      <c r="G420" s="11"/>
      <c r="K420" s="4"/>
    </row>
    <row r="421" spans="2:13" x14ac:dyDescent="0.25">
      <c r="B421" s="11"/>
      <c r="E421" s="11"/>
      <c r="F421" s="11"/>
      <c r="G421" s="11"/>
      <c r="K421" s="4"/>
    </row>
    <row r="422" spans="2:13" x14ac:dyDescent="0.25">
      <c r="B422" s="11"/>
      <c r="E422" s="11"/>
      <c r="F422" s="11"/>
      <c r="G422" s="11"/>
      <c r="K422" s="4"/>
    </row>
    <row r="423" spans="2:13" x14ac:dyDescent="0.25">
      <c r="B423" s="11"/>
      <c r="E423" s="11"/>
      <c r="F423" s="11"/>
      <c r="G423" s="11"/>
      <c r="K423" s="4"/>
    </row>
    <row r="424" spans="2:13" x14ac:dyDescent="0.25">
      <c r="B424" s="11"/>
      <c r="E424" s="11"/>
      <c r="F424" s="11"/>
      <c r="G424" s="11"/>
      <c r="K424" s="4"/>
    </row>
    <row r="425" spans="2:13" x14ac:dyDescent="0.25">
      <c r="B425" s="11"/>
      <c r="E425" s="11"/>
      <c r="F425" s="11"/>
      <c r="G425" s="11"/>
      <c r="K425" s="4"/>
    </row>
    <row r="426" spans="2:13" x14ac:dyDescent="0.25">
      <c r="B426" s="11"/>
      <c r="E426" s="11"/>
      <c r="F426" s="11"/>
      <c r="G426" s="11"/>
      <c r="K426" s="4"/>
    </row>
    <row r="427" spans="2:13" x14ac:dyDescent="0.25">
      <c r="B427" s="11"/>
      <c r="E427" s="11"/>
      <c r="F427" s="11"/>
      <c r="G427" s="11"/>
    </row>
    <row r="428" spans="2:13" x14ac:dyDescent="0.25">
      <c r="B428" s="11"/>
      <c r="D428" s="11"/>
      <c r="E428" s="11"/>
      <c r="F428" s="11"/>
      <c r="G428" s="11"/>
    </row>
    <row r="429" spans="2:13" x14ac:dyDescent="0.25">
      <c r="B429" s="11"/>
      <c r="E429" s="11"/>
      <c r="F429" s="11"/>
      <c r="G429" s="11"/>
    </row>
    <row r="430" spans="2:13" x14ac:dyDescent="0.25">
      <c r="B430" s="11"/>
      <c r="E430" s="11"/>
      <c r="F430" s="11"/>
      <c r="G430" s="11"/>
    </row>
    <row r="431" spans="2:13" x14ac:dyDescent="0.25">
      <c r="B431" s="11"/>
      <c r="E431" s="11"/>
      <c r="F431" s="11"/>
      <c r="G431" s="11"/>
    </row>
    <row r="432" spans="2:13" x14ac:dyDescent="0.25">
      <c r="B432" s="11"/>
      <c r="E432" s="11"/>
      <c r="F432" s="11"/>
      <c r="G432" s="11"/>
    </row>
    <row r="433" spans="2:7" x14ac:dyDescent="0.25">
      <c r="B433" s="11"/>
      <c r="E433" s="11"/>
      <c r="F433" s="11"/>
      <c r="G433" s="11"/>
    </row>
    <row r="434" spans="2:7" x14ac:dyDescent="0.25">
      <c r="B434" s="11"/>
      <c r="E434" s="11"/>
      <c r="F434" s="11"/>
      <c r="G434" s="11"/>
    </row>
    <row r="435" spans="2:7" x14ac:dyDescent="0.25">
      <c r="B435" s="11"/>
      <c r="E435" s="11"/>
      <c r="F435" s="11"/>
      <c r="G435" s="11"/>
    </row>
    <row r="436" spans="2:7" x14ac:dyDescent="0.25">
      <c r="B436" s="11"/>
      <c r="E436" s="11"/>
      <c r="F436" s="11"/>
      <c r="G436" s="11"/>
    </row>
    <row r="437" spans="2:7" x14ac:dyDescent="0.25">
      <c r="B437" s="11"/>
      <c r="E437" s="11"/>
      <c r="F437" s="11"/>
      <c r="G437" s="11"/>
    </row>
    <row r="438" spans="2:7" x14ac:dyDescent="0.25">
      <c r="B438" s="11"/>
      <c r="E438" s="11"/>
      <c r="F438" s="11"/>
      <c r="G438" s="11"/>
    </row>
    <row r="439" spans="2:7" x14ac:dyDescent="0.25">
      <c r="B439" s="11"/>
      <c r="E439" s="11"/>
      <c r="F439" s="11"/>
      <c r="G439" s="11"/>
    </row>
    <row r="440" spans="2:7" x14ac:dyDescent="0.25">
      <c r="B440" s="11"/>
      <c r="E440" s="11"/>
      <c r="F440" s="11"/>
      <c r="G440" s="11"/>
    </row>
    <row r="441" spans="2:7" x14ac:dyDescent="0.25">
      <c r="B441" s="11"/>
      <c r="E441" s="11"/>
      <c r="F441" s="11"/>
      <c r="G441" s="11"/>
    </row>
    <row r="442" spans="2:7" x14ac:dyDescent="0.25">
      <c r="B442" s="11"/>
      <c r="E442" s="11"/>
      <c r="F442" s="11"/>
      <c r="G442" s="11"/>
    </row>
    <row r="443" spans="2:7" x14ac:dyDescent="0.25">
      <c r="B443" s="11"/>
      <c r="E443" s="11"/>
      <c r="F443" s="11"/>
      <c r="G443" s="11"/>
    </row>
    <row r="444" spans="2:7" x14ac:dyDescent="0.25">
      <c r="B444" s="11"/>
      <c r="E444" s="11"/>
      <c r="F444" s="11"/>
      <c r="G444" s="11"/>
    </row>
    <row r="445" spans="2:7" x14ac:dyDescent="0.25">
      <c r="B445" s="11"/>
      <c r="E445" s="11"/>
      <c r="F445" s="11"/>
      <c r="G445" s="11"/>
    </row>
    <row r="446" spans="2:7" x14ac:dyDescent="0.25">
      <c r="B446" s="11"/>
      <c r="E446" s="11"/>
      <c r="F446" s="11"/>
      <c r="G446" s="11"/>
    </row>
    <row r="447" spans="2:7" x14ac:dyDescent="0.25">
      <c r="B447" s="11"/>
      <c r="E447" s="11"/>
      <c r="F447" s="11"/>
      <c r="G447" s="11"/>
    </row>
    <row r="448" spans="2:7" x14ac:dyDescent="0.25">
      <c r="B448" s="11"/>
      <c r="E448" s="11"/>
      <c r="F448" s="11"/>
      <c r="G448" s="11"/>
    </row>
    <row r="449" spans="2:7" x14ac:dyDescent="0.25">
      <c r="B449" s="11"/>
      <c r="E449" s="11"/>
      <c r="F449" s="11"/>
      <c r="G449" s="11"/>
    </row>
    <row r="450" spans="2:7" x14ac:dyDescent="0.25">
      <c r="B450" s="11"/>
    </row>
    <row r="451" spans="2:7" x14ac:dyDescent="0.25">
      <c r="B451" s="1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72"/>
  <sheetViews>
    <sheetView topLeftCell="A34" zoomScale="110" zoomScaleNormal="110" workbookViewId="0">
      <selection activeCell="M12" sqref="M12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28515625" bestFit="1" customWidth="1"/>
    <col min="9" max="9" width="14.42578125" bestFit="1" customWidth="1"/>
    <col min="10" max="10" width="14" bestFit="1" customWidth="1"/>
    <col min="11" max="11" width="12.7109375" bestFit="1" customWidth="1"/>
    <col min="12" max="12" width="11.140625" customWidth="1"/>
  </cols>
  <sheetData>
    <row r="1" spans="1:11" x14ac:dyDescent="0.25">
      <c r="D1" s="172" t="s">
        <v>155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82"/>
      <c r="C3" s="124"/>
      <c r="D3" s="82"/>
      <c r="E3" s="82"/>
      <c r="F3" s="82"/>
      <c r="G3" s="82"/>
      <c r="H3" s="123"/>
      <c r="I3" s="90"/>
      <c r="J3" s="138"/>
      <c r="K3" s="218"/>
    </row>
    <row r="4" spans="1:11" x14ac:dyDescent="0.25">
      <c r="A4" s="91"/>
      <c r="B4" s="82"/>
      <c r="C4" s="124"/>
      <c r="D4" s="82"/>
      <c r="E4" s="82"/>
      <c r="F4" s="82"/>
      <c r="G4" s="82"/>
      <c r="H4" s="123"/>
      <c r="I4" s="90"/>
      <c r="J4" s="138"/>
      <c r="K4" s="218"/>
    </row>
    <row r="5" spans="1:11" x14ac:dyDescent="0.25">
      <c r="A5" s="91"/>
      <c r="B5" s="82"/>
      <c r="C5" s="124"/>
      <c r="D5" s="82"/>
      <c r="E5" s="82"/>
      <c r="F5" s="82"/>
      <c r="G5" s="82"/>
      <c r="H5" s="123"/>
      <c r="I5" s="90"/>
      <c r="J5" s="138"/>
      <c r="K5" s="218"/>
    </row>
    <row r="6" spans="1:11" x14ac:dyDescent="0.25">
      <c r="A6" s="91"/>
      <c r="B6" s="82"/>
      <c r="C6" s="124"/>
      <c r="D6" s="82"/>
      <c r="E6" s="82"/>
      <c r="F6" s="82"/>
      <c r="G6" s="82"/>
      <c r="H6" s="123"/>
      <c r="I6" s="90"/>
      <c r="J6" s="138"/>
      <c r="K6" s="218"/>
    </row>
    <row r="7" spans="1:11" x14ac:dyDescent="0.25">
      <c r="A7" s="91"/>
      <c r="B7" s="82"/>
      <c r="C7" s="124"/>
      <c r="D7" s="82"/>
      <c r="E7" s="82"/>
      <c r="F7" s="82"/>
      <c r="G7" s="82"/>
      <c r="H7" s="123"/>
      <c r="I7" s="90"/>
      <c r="J7" s="138"/>
      <c r="K7" s="218"/>
    </row>
    <row r="8" spans="1:11" x14ac:dyDescent="0.25">
      <c r="A8" s="91"/>
      <c r="B8" s="82"/>
      <c r="C8" s="124"/>
      <c r="D8" s="82"/>
      <c r="E8" s="82"/>
      <c r="F8" s="82"/>
      <c r="G8" s="82"/>
      <c r="H8" s="123"/>
      <c r="I8" s="90"/>
      <c r="J8" s="138"/>
      <c r="K8" s="218"/>
    </row>
    <row r="9" spans="1:11" x14ac:dyDescent="0.25">
      <c r="A9" s="91"/>
      <c r="B9" s="82"/>
      <c r="C9" s="124"/>
      <c r="D9" s="82"/>
      <c r="E9" s="82"/>
      <c r="F9" s="82"/>
      <c r="G9" s="82"/>
      <c r="H9" s="123"/>
      <c r="I9" s="90"/>
      <c r="J9" s="138"/>
      <c r="K9" s="218"/>
    </row>
    <row r="10" spans="1:11" x14ac:dyDescent="0.25">
      <c r="A10" s="91"/>
      <c r="B10" s="82"/>
      <c r="C10" s="124"/>
      <c r="D10" s="82"/>
      <c r="E10" s="82"/>
      <c r="F10" s="82"/>
      <c r="G10" s="82"/>
      <c r="H10" s="123"/>
      <c r="I10" s="90"/>
      <c r="J10" s="138"/>
      <c r="K10" s="218"/>
    </row>
    <row r="11" spans="1:11" x14ac:dyDescent="0.25">
      <c r="A11" s="91"/>
      <c r="B11" s="82"/>
      <c r="C11" s="124"/>
      <c r="D11" s="82"/>
      <c r="E11" s="82"/>
      <c r="F11" s="82"/>
      <c r="G11" s="82"/>
      <c r="H11" s="123"/>
      <c r="I11" s="90"/>
      <c r="J11" s="138"/>
      <c r="K11" s="218"/>
    </row>
    <row r="12" spans="1:11" x14ac:dyDescent="0.25">
      <c r="A12" s="91"/>
      <c r="B12" s="82"/>
      <c r="C12" s="124"/>
      <c r="D12" s="82"/>
      <c r="E12" s="82"/>
      <c r="F12" s="82"/>
      <c r="G12" s="82"/>
      <c r="H12" s="123"/>
      <c r="I12" s="90"/>
      <c r="J12" s="138"/>
      <c r="K12" s="218"/>
    </row>
    <row r="13" spans="1:11" x14ac:dyDescent="0.25">
      <c r="A13" s="91"/>
      <c r="B13" s="82"/>
      <c r="C13" s="124"/>
      <c r="D13" s="82"/>
      <c r="E13" s="82"/>
      <c r="F13" s="82"/>
      <c r="G13" s="82"/>
      <c r="H13" s="123"/>
      <c r="I13" s="90"/>
      <c r="J13" s="138"/>
      <c r="K13" s="218"/>
    </row>
    <row r="14" spans="1:11" x14ac:dyDescent="0.25">
      <c r="A14" s="91"/>
      <c r="B14" s="82"/>
      <c r="C14" s="124"/>
      <c r="D14" s="82"/>
      <c r="E14" s="82"/>
      <c r="F14" s="82"/>
      <c r="G14" s="82"/>
      <c r="H14" s="123"/>
      <c r="I14" s="90"/>
      <c r="J14" s="138"/>
      <c r="K14" s="218"/>
    </row>
    <row r="15" spans="1:11" x14ac:dyDescent="0.25">
      <c r="A15" s="91"/>
      <c r="B15" s="82"/>
      <c r="C15" s="124"/>
      <c r="D15" s="82"/>
      <c r="E15" s="82"/>
      <c r="F15" s="82"/>
      <c r="G15" s="82"/>
      <c r="H15" s="123"/>
      <c r="I15" s="90"/>
      <c r="J15" s="138"/>
      <c r="K15" s="218"/>
    </row>
    <row r="16" spans="1:11" x14ac:dyDescent="0.25">
      <c r="A16" s="91"/>
      <c r="B16" s="82"/>
      <c r="C16" s="124"/>
      <c r="D16" s="82"/>
      <c r="E16" s="82"/>
      <c r="F16" s="82"/>
      <c r="G16" s="82"/>
      <c r="H16" s="123"/>
      <c r="I16" s="90"/>
      <c r="J16" s="138"/>
      <c r="K16" s="218"/>
    </row>
    <row r="17" spans="1:11" x14ac:dyDescent="0.25">
      <c r="A17" s="91"/>
      <c r="B17" s="82"/>
      <c r="C17" s="124"/>
      <c r="D17" s="82"/>
      <c r="E17" s="82"/>
      <c r="F17" s="82"/>
      <c r="G17" s="82"/>
      <c r="H17" s="123"/>
      <c r="I17" s="90"/>
      <c r="J17" s="138"/>
      <c r="K17" s="218"/>
    </row>
    <row r="18" spans="1:11" x14ac:dyDescent="0.25">
      <c r="A18" s="91"/>
      <c r="B18" s="82"/>
      <c r="C18" s="124"/>
      <c r="D18" s="82"/>
      <c r="E18" s="82"/>
      <c r="F18" s="82"/>
      <c r="G18" s="82"/>
      <c r="H18" s="123"/>
      <c r="I18" s="90"/>
      <c r="J18" s="138"/>
      <c r="K18" s="218"/>
    </row>
    <row r="19" spans="1:11" x14ac:dyDescent="0.25">
      <c r="A19" s="91"/>
      <c r="B19" s="82"/>
      <c r="C19" s="124"/>
      <c r="D19" s="82"/>
      <c r="E19" s="82"/>
      <c r="F19" s="82"/>
      <c r="G19" s="82"/>
      <c r="H19" s="123"/>
      <c r="I19" s="90"/>
      <c r="J19" s="138"/>
      <c r="K19" s="218"/>
    </row>
    <row r="20" spans="1:11" x14ac:dyDescent="0.25">
      <c r="A20" s="91"/>
      <c r="B20" s="82"/>
      <c r="C20" s="124"/>
      <c r="D20" s="82"/>
      <c r="E20" s="82"/>
      <c r="F20" s="82"/>
      <c r="G20" s="82"/>
      <c r="H20" s="123"/>
      <c r="I20" s="90"/>
      <c r="J20" s="138"/>
      <c r="K20" s="218"/>
    </row>
    <row r="21" spans="1:11" x14ac:dyDescent="0.25">
      <c r="A21" s="91"/>
      <c r="B21" s="82"/>
      <c r="C21" s="124"/>
      <c r="D21" s="82"/>
      <c r="E21" s="82"/>
      <c r="F21" s="82"/>
      <c r="G21" s="82"/>
      <c r="H21" s="123"/>
      <c r="I21" s="90"/>
      <c r="J21" s="138"/>
      <c r="K21" s="218"/>
    </row>
    <row r="22" spans="1:11" x14ac:dyDescent="0.25">
      <c r="A22" s="91"/>
      <c r="B22" s="82"/>
      <c r="C22" s="124"/>
      <c r="D22" s="82"/>
      <c r="E22" s="82"/>
      <c r="F22" s="82"/>
      <c r="G22" s="82"/>
      <c r="H22" s="123"/>
      <c r="I22" s="90"/>
      <c r="J22" s="138"/>
      <c r="K22" s="218"/>
    </row>
    <row r="23" spans="1:11" x14ac:dyDescent="0.25">
      <c r="A23" s="91"/>
      <c r="B23" s="82"/>
      <c r="C23" s="124"/>
      <c r="D23" s="82"/>
      <c r="E23" s="82"/>
      <c r="F23" s="82"/>
      <c r="G23" s="82"/>
      <c r="H23" s="123"/>
      <c r="I23" s="90"/>
      <c r="J23" s="138"/>
      <c r="K23" s="218"/>
    </row>
    <row r="24" spans="1:11" x14ac:dyDescent="0.25">
      <c r="A24" s="91"/>
      <c r="B24" s="82"/>
      <c r="C24" s="124"/>
      <c r="D24" s="82"/>
      <c r="E24" s="82"/>
      <c r="F24" s="82"/>
      <c r="G24" s="82"/>
      <c r="H24" s="123"/>
      <c r="I24" s="90"/>
      <c r="J24" s="138"/>
      <c r="K24" s="218"/>
    </row>
    <row r="25" spans="1:11" x14ac:dyDescent="0.25">
      <c r="A25" s="91"/>
      <c r="B25" s="82"/>
      <c r="C25" s="124"/>
      <c r="D25" s="82"/>
      <c r="E25" s="82"/>
      <c r="F25" s="82"/>
      <c r="G25" s="82"/>
      <c r="H25" s="123"/>
      <c r="I25" s="90"/>
      <c r="J25" s="138"/>
      <c r="K25" s="218"/>
    </row>
    <row r="26" spans="1:11" x14ac:dyDescent="0.25">
      <c r="A26" s="91"/>
      <c r="B26" s="82"/>
      <c r="C26" s="124"/>
      <c r="D26" s="82"/>
      <c r="E26" s="82"/>
      <c r="F26" s="82"/>
      <c r="G26" s="82"/>
      <c r="H26" s="123"/>
      <c r="I26" s="90"/>
      <c r="J26" s="138"/>
      <c r="K26" s="218"/>
    </row>
    <row r="27" spans="1:11" x14ac:dyDescent="0.25">
      <c r="A27" s="91"/>
      <c r="B27" s="82"/>
      <c r="C27" s="124"/>
      <c r="D27" s="82"/>
      <c r="E27" s="82"/>
      <c r="F27" s="82"/>
      <c r="G27" s="82"/>
      <c r="H27" s="123"/>
      <c r="I27" s="90"/>
      <c r="J27" s="138"/>
      <c r="K27" s="218"/>
    </row>
    <row r="28" spans="1:11" x14ac:dyDescent="0.25">
      <c r="A28" s="91"/>
      <c r="B28" s="82"/>
      <c r="C28" s="124"/>
      <c r="D28" s="82"/>
      <c r="E28" s="82"/>
      <c r="F28" s="82"/>
      <c r="G28" s="82"/>
      <c r="H28" s="123"/>
      <c r="I28" s="90"/>
      <c r="J28" s="138"/>
      <c r="K28" s="218"/>
    </row>
    <row r="29" spans="1:11" x14ac:dyDescent="0.25">
      <c r="A29" s="91">
        <v>46112</v>
      </c>
      <c r="B29" s="82" t="s">
        <v>229</v>
      </c>
      <c r="C29" s="124" t="s">
        <v>9</v>
      </c>
      <c r="D29" s="82">
        <v>500</v>
      </c>
      <c r="E29" s="82"/>
      <c r="F29" s="82">
        <v>34.93</v>
      </c>
      <c r="G29" s="82"/>
      <c r="H29" s="123">
        <v>1062780</v>
      </c>
      <c r="I29" s="90" t="s">
        <v>176</v>
      </c>
      <c r="J29" s="138"/>
      <c r="K29" s="218"/>
    </row>
    <row r="30" spans="1:11" x14ac:dyDescent="0.25">
      <c r="A30" s="91">
        <v>46118</v>
      </c>
      <c r="B30" s="227" t="s">
        <v>9</v>
      </c>
      <c r="C30" s="124" t="s">
        <v>300</v>
      </c>
      <c r="D30" s="82">
        <v>420</v>
      </c>
      <c r="E30" s="82"/>
      <c r="F30" s="82">
        <v>34.78</v>
      </c>
      <c r="G30" s="82"/>
      <c r="H30" s="123">
        <v>619079</v>
      </c>
      <c r="I30" s="90" t="s">
        <v>257</v>
      </c>
      <c r="J30" s="138"/>
      <c r="K30" s="218"/>
    </row>
    <row r="31" spans="1:11" x14ac:dyDescent="0.25">
      <c r="A31" s="91">
        <v>46119</v>
      </c>
      <c r="B31" s="82" t="s">
        <v>300</v>
      </c>
      <c r="C31" s="124" t="s">
        <v>229</v>
      </c>
      <c r="D31" s="82">
        <v>150</v>
      </c>
      <c r="E31" s="82"/>
      <c r="F31" s="82"/>
      <c r="G31" s="82"/>
      <c r="H31" s="83" t="s">
        <v>66</v>
      </c>
      <c r="I31" s="90"/>
      <c r="J31" s="138"/>
      <c r="K31" s="218"/>
    </row>
    <row r="32" spans="1:11" x14ac:dyDescent="0.25">
      <c r="A32" s="91">
        <v>46119</v>
      </c>
      <c r="B32" s="82" t="s">
        <v>229</v>
      </c>
      <c r="C32" s="124" t="s">
        <v>10</v>
      </c>
      <c r="D32" s="82">
        <v>10</v>
      </c>
      <c r="E32" s="82"/>
      <c r="F32" s="82"/>
      <c r="G32" s="82"/>
      <c r="H32" s="90">
        <v>1063740</v>
      </c>
      <c r="I32" s="90" t="s">
        <v>360</v>
      </c>
      <c r="J32" s="138"/>
      <c r="K32" s="218"/>
    </row>
    <row r="33" spans="1:11" x14ac:dyDescent="0.25">
      <c r="A33" s="91">
        <v>46119</v>
      </c>
      <c r="B33" s="82" t="s">
        <v>10</v>
      </c>
      <c r="C33" s="124" t="s">
        <v>229</v>
      </c>
      <c r="D33" s="82">
        <v>10</v>
      </c>
      <c r="E33" s="82"/>
      <c r="F33" s="82"/>
      <c r="G33" s="82"/>
      <c r="H33" s="128" t="s">
        <v>66</v>
      </c>
      <c r="I33" s="90"/>
      <c r="J33" s="138"/>
      <c r="K33" s="218"/>
    </row>
    <row r="34" spans="1:11" x14ac:dyDescent="0.25">
      <c r="A34" s="91">
        <v>46119</v>
      </c>
      <c r="B34" s="82" t="s">
        <v>229</v>
      </c>
      <c r="C34" s="124" t="s">
        <v>10</v>
      </c>
      <c r="D34" s="82">
        <v>10</v>
      </c>
      <c r="E34" s="82"/>
      <c r="F34" s="82"/>
      <c r="G34" s="82"/>
      <c r="H34" s="123">
        <v>1063806</v>
      </c>
      <c r="I34" s="90" t="s">
        <v>360</v>
      </c>
      <c r="J34" s="138"/>
      <c r="K34" s="218"/>
    </row>
    <row r="35" spans="1:11" x14ac:dyDescent="0.25">
      <c r="A35" s="91">
        <v>46119</v>
      </c>
      <c r="B35" s="82" t="s">
        <v>10</v>
      </c>
      <c r="C35" s="124" t="s">
        <v>229</v>
      </c>
      <c r="D35" s="82">
        <v>10</v>
      </c>
      <c r="E35" s="82"/>
      <c r="F35" s="82"/>
      <c r="G35" s="82"/>
      <c r="H35" s="128" t="s">
        <v>66</v>
      </c>
      <c r="I35" s="90"/>
      <c r="J35" s="138"/>
      <c r="K35" s="218"/>
    </row>
    <row r="36" spans="1:11" x14ac:dyDescent="0.25">
      <c r="A36" s="91">
        <v>46120</v>
      </c>
      <c r="B36" s="82" t="s">
        <v>229</v>
      </c>
      <c r="C36" s="124" t="s">
        <v>10</v>
      </c>
      <c r="D36" s="82">
        <v>10</v>
      </c>
      <c r="E36" s="82"/>
      <c r="F36" s="82"/>
      <c r="G36" s="82"/>
      <c r="H36" s="123">
        <v>1063946</v>
      </c>
      <c r="I36" s="90" t="s">
        <v>360</v>
      </c>
      <c r="J36" s="138"/>
      <c r="K36" s="218"/>
    </row>
    <row r="37" spans="1:11" x14ac:dyDescent="0.25">
      <c r="A37" s="91">
        <v>46120</v>
      </c>
      <c r="B37" s="82" t="s">
        <v>10</v>
      </c>
      <c r="C37" s="124" t="s">
        <v>229</v>
      </c>
      <c r="D37" s="82">
        <v>10</v>
      </c>
      <c r="E37" s="82"/>
      <c r="F37" s="82"/>
      <c r="G37" s="82"/>
      <c r="H37" s="128" t="s">
        <v>66</v>
      </c>
      <c r="I37" s="90"/>
      <c r="J37" s="138"/>
      <c r="K37" s="218"/>
    </row>
    <row r="38" spans="1:11" x14ac:dyDescent="0.25">
      <c r="A38" s="91">
        <v>46120</v>
      </c>
      <c r="B38" s="82" t="s">
        <v>229</v>
      </c>
      <c r="C38" s="124" t="s">
        <v>10</v>
      </c>
      <c r="D38" s="82">
        <v>10</v>
      </c>
      <c r="E38" s="82"/>
      <c r="F38" s="82"/>
      <c r="G38" s="82"/>
      <c r="H38" s="123">
        <v>1063984</v>
      </c>
      <c r="I38" s="90" t="s">
        <v>360</v>
      </c>
      <c r="J38" s="138"/>
      <c r="K38" s="218"/>
    </row>
    <row r="39" spans="1:11" x14ac:dyDescent="0.25">
      <c r="A39" s="91">
        <v>46120</v>
      </c>
      <c r="B39" s="82" t="s">
        <v>10</v>
      </c>
      <c r="C39" s="124" t="s">
        <v>229</v>
      </c>
      <c r="D39" s="82">
        <v>10</v>
      </c>
      <c r="E39" s="82"/>
      <c r="F39" s="82"/>
      <c r="G39" s="82"/>
      <c r="H39" s="128" t="s">
        <v>66</v>
      </c>
      <c r="I39" s="90"/>
      <c r="J39" s="138"/>
      <c r="K39" s="218"/>
    </row>
    <row r="40" spans="1:11" x14ac:dyDescent="0.25">
      <c r="A40" s="91">
        <v>46120</v>
      </c>
      <c r="B40" s="82" t="s">
        <v>229</v>
      </c>
      <c r="C40" s="124" t="s">
        <v>10</v>
      </c>
      <c r="D40" s="82">
        <v>10</v>
      </c>
      <c r="E40" s="82"/>
      <c r="F40" s="82"/>
      <c r="G40" s="82"/>
      <c r="H40" s="123">
        <v>1064021</v>
      </c>
      <c r="I40" s="90" t="s">
        <v>360</v>
      </c>
      <c r="J40" s="138"/>
      <c r="K40" s="218"/>
    </row>
    <row r="41" spans="1:11" x14ac:dyDescent="0.25">
      <c r="A41" s="91">
        <v>46121</v>
      </c>
      <c r="B41" s="82" t="s">
        <v>10</v>
      </c>
      <c r="C41" s="124" t="s">
        <v>229</v>
      </c>
      <c r="D41" s="82">
        <v>10</v>
      </c>
      <c r="E41" s="82"/>
      <c r="F41" s="82"/>
      <c r="G41" s="82"/>
      <c r="H41" s="128" t="s">
        <v>66</v>
      </c>
      <c r="I41" s="90"/>
      <c r="J41" s="138"/>
      <c r="K41" s="218"/>
    </row>
    <row r="42" spans="1:11" x14ac:dyDescent="0.25">
      <c r="A42" s="91">
        <v>46121</v>
      </c>
      <c r="B42" s="82" t="s">
        <v>229</v>
      </c>
      <c r="C42" s="124" t="s">
        <v>10</v>
      </c>
      <c r="D42" s="82">
        <v>10</v>
      </c>
      <c r="E42" s="82"/>
      <c r="F42" s="82"/>
      <c r="G42" s="82"/>
      <c r="H42" s="123">
        <v>1064167</v>
      </c>
      <c r="I42" s="90" t="s">
        <v>360</v>
      </c>
      <c r="J42" s="138"/>
      <c r="K42" s="218"/>
    </row>
    <row r="43" spans="1:11" x14ac:dyDescent="0.25">
      <c r="A43" s="91">
        <v>46121</v>
      </c>
      <c r="B43" s="82" t="s">
        <v>10</v>
      </c>
      <c r="C43" s="124" t="s">
        <v>351</v>
      </c>
      <c r="D43" s="82">
        <v>1470</v>
      </c>
      <c r="E43" s="82"/>
      <c r="F43" s="82">
        <v>34.74</v>
      </c>
      <c r="G43" s="82"/>
      <c r="H43" s="90">
        <v>1064266</v>
      </c>
      <c r="I43" s="90" t="s">
        <v>368</v>
      </c>
      <c r="J43" s="138"/>
      <c r="K43" s="218">
        <v>2179217.61</v>
      </c>
    </row>
    <row r="44" spans="1:11" x14ac:dyDescent="0.25">
      <c r="A44" s="91">
        <v>46125</v>
      </c>
      <c r="B44" s="82" t="s">
        <v>351</v>
      </c>
      <c r="C44" s="124" t="s">
        <v>9</v>
      </c>
      <c r="D44" s="82">
        <v>1060</v>
      </c>
      <c r="E44" s="82"/>
      <c r="F44" s="82"/>
      <c r="G44" s="82"/>
      <c r="H44" s="90">
        <v>16405</v>
      </c>
      <c r="I44" s="90" t="s">
        <v>365</v>
      </c>
      <c r="J44" s="138"/>
      <c r="K44" s="218">
        <v>1528749.06</v>
      </c>
    </row>
    <row r="45" spans="1:11" x14ac:dyDescent="0.25">
      <c r="A45" s="91">
        <v>46127</v>
      </c>
      <c r="B45" s="82" t="s">
        <v>9</v>
      </c>
      <c r="C45" s="124" t="s">
        <v>351</v>
      </c>
      <c r="D45" s="82">
        <v>1010</v>
      </c>
      <c r="E45" s="82"/>
      <c r="F45" s="82">
        <v>34.85</v>
      </c>
      <c r="G45" s="82"/>
      <c r="H45" s="90">
        <v>619688</v>
      </c>
      <c r="I45" s="90" t="s">
        <v>257</v>
      </c>
      <c r="J45" s="138"/>
      <c r="K45" s="218"/>
    </row>
    <row r="46" spans="1:11" x14ac:dyDescent="0.25">
      <c r="A46" s="91">
        <v>46128</v>
      </c>
      <c r="B46" s="82" t="s">
        <v>351</v>
      </c>
      <c r="C46" s="124" t="s">
        <v>227</v>
      </c>
      <c r="D46" s="82">
        <v>240</v>
      </c>
      <c r="E46" s="82"/>
      <c r="F46" s="82"/>
      <c r="G46" s="82"/>
      <c r="H46" s="83" t="s">
        <v>66</v>
      </c>
      <c r="I46" s="90"/>
      <c r="J46" s="138"/>
      <c r="K46" s="218"/>
    </row>
    <row r="47" spans="1:11" x14ac:dyDescent="0.25">
      <c r="A47" s="91">
        <v>46128</v>
      </c>
      <c r="B47" s="82" t="s">
        <v>296</v>
      </c>
      <c r="C47" s="124" t="s">
        <v>9</v>
      </c>
      <c r="D47" s="82">
        <v>820</v>
      </c>
      <c r="E47" s="82"/>
      <c r="F47" s="82">
        <v>34</v>
      </c>
      <c r="G47" s="82"/>
      <c r="H47" s="90">
        <v>189643</v>
      </c>
      <c r="I47" s="90" t="s">
        <v>304</v>
      </c>
      <c r="J47" s="138"/>
      <c r="K47" s="218"/>
    </row>
    <row r="48" spans="1:11" x14ac:dyDescent="0.25">
      <c r="A48" s="91">
        <v>46134</v>
      </c>
      <c r="B48" s="82" t="s">
        <v>9</v>
      </c>
      <c r="C48" s="124" t="s">
        <v>351</v>
      </c>
      <c r="D48" s="82">
        <v>1010</v>
      </c>
      <c r="E48" s="82"/>
      <c r="F48" s="82">
        <v>34.78</v>
      </c>
      <c r="G48" s="82"/>
      <c r="H48" s="90">
        <v>620092</v>
      </c>
      <c r="I48" s="90" t="s">
        <v>257</v>
      </c>
      <c r="J48" s="138"/>
      <c r="K48" s="218"/>
    </row>
    <row r="49" spans="1:11" x14ac:dyDescent="0.25">
      <c r="A49" s="91">
        <v>46135</v>
      </c>
      <c r="B49" s="82" t="s">
        <v>351</v>
      </c>
      <c r="C49" s="124" t="s">
        <v>227</v>
      </c>
      <c r="D49" s="82">
        <v>240</v>
      </c>
      <c r="E49" s="82"/>
      <c r="F49" s="82"/>
      <c r="G49" s="82"/>
      <c r="H49" s="83" t="s">
        <v>66</v>
      </c>
      <c r="I49" s="90"/>
      <c r="J49" s="138"/>
      <c r="K49" s="218"/>
    </row>
    <row r="50" spans="1:11" x14ac:dyDescent="0.25">
      <c r="A50" s="91">
        <v>46135</v>
      </c>
      <c r="B50" s="82" t="s">
        <v>296</v>
      </c>
      <c r="C50" s="124" t="s">
        <v>9</v>
      </c>
      <c r="D50" s="82">
        <v>820</v>
      </c>
      <c r="E50" s="82"/>
      <c r="F50" s="82">
        <v>34.9</v>
      </c>
      <c r="G50" s="82"/>
      <c r="H50" s="90">
        <v>189844</v>
      </c>
      <c r="I50" s="90" t="s">
        <v>304</v>
      </c>
      <c r="J50" s="138"/>
      <c r="K50" s="218"/>
    </row>
    <row r="51" spans="1:11" x14ac:dyDescent="0.25">
      <c r="A51" s="91">
        <v>46137</v>
      </c>
      <c r="B51" s="82" t="s">
        <v>9</v>
      </c>
      <c r="C51" s="82" t="s">
        <v>382</v>
      </c>
      <c r="D51" s="82">
        <v>420</v>
      </c>
      <c r="E51" s="82"/>
      <c r="F51" s="82">
        <v>34.96</v>
      </c>
      <c r="G51" s="82"/>
      <c r="H51" s="123">
        <v>294560</v>
      </c>
      <c r="I51" s="90" t="s">
        <v>344</v>
      </c>
      <c r="J51" s="138"/>
      <c r="K51" s="218"/>
    </row>
    <row r="52" spans="1:11" x14ac:dyDescent="0.25">
      <c r="A52" s="91">
        <v>46139</v>
      </c>
      <c r="B52" s="82" t="s">
        <v>352</v>
      </c>
      <c r="C52" s="82" t="s">
        <v>118</v>
      </c>
      <c r="D52" s="82">
        <v>150</v>
      </c>
      <c r="E52" s="82"/>
      <c r="F52" s="82"/>
      <c r="G52" s="82"/>
      <c r="H52" s="128" t="s">
        <v>66</v>
      </c>
      <c r="I52" s="90"/>
      <c r="J52" s="138"/>
      <c r="K52" s="218"/>
    </row>
    <row r="53" spans="1:11" x14ac:dyDescent="0.25">
      <c r="A53" s="91">
        <v>46139</v>
      </c>
      <c r="B53" s="82" t="s">
        <v>118</v>
      </c>
      <c r="C53" s="124" t="s">
        <v>385</v>
      </c>
      <c r="D53" s="82">
        <v>1560</v>
      </c>
      <c r="E53" s="82"/>
      <c r="F53" s="82"/>
      <c r="G53" s="82"/>
      <c r="H53" s="90">
        <v>123493</v>
      </c>
      <c r="I53" s="90" t="s">
        <v>386</v>
      </c>
      <c r="J53" s="138"/>
      <c r="K53" s="218"/>
    </row>
    <row r="54" spans="1:11" x14ac:dyDescent="0.25">
      <c r="A54" s="91"/>
      <c r="B54" s="82"/>
      <c r="C54" s="82"/>
      <c r="D54" s="151" t="s">
        <v>454</v>
      </c>
      <c r="E54" s="82"/>
      <c r="F54" s="82"/>
      <c r="G54" s="82"/>
      <c r="H54" s="128"/>
      <c r="I54" s="90"/>
      <c r="J54" s="138"/>
      <c r="K54" s="218"/>
    </row>
    <row r="55" spans="1:11" x14ac:dyDescent="0.25">
      <c r="A55" s="5"/>
      <c r="B55" s="6"/>
      <c r="C55" s="6"/>
      <c r="D55" s="6"/>
      <c r="E55" s="6"/>
      <c r="F55" s="6"/>
      <c r="G55" s="6"/>
      <c r="H55" s="7"/>
      <c r="I55" s="7"/>
      <c r="J55" s="140"/>
      <c r="K55" s="218"/>
    </row>
    <row r="56" spans="1:11" x14ac:dyDescent="0.25">
      <c r="D56" s="17">
        <f>SUM(D3:D55)</f>
        <v>9980</v>
      </c>
      <c r="E56" s="13"/>
      <c r="F56" s="13">
        <f>AVERAGE(F3:F54)</f>
        <v>34.7425</v>
      </c>
      <c r="G56" s="13"/>
      <c r="J56" s="139">
        <f>SUM(J3:J55)</f>
        <v>0</v>
      </c>
      <c r="K56" s="219">
        <f>SUM(K3:K55)</f>
        <v>3707966.67</v>
      </c>
    </row>
    <row r="58" spans="1:11" x14ac:dyDescent="0.25">
      <c r="B58">
        <v>-2000</v>
      </c>
      <c r="D58" s="11"/>
      <c r="E58" s="11"/>
      <c r="F58" s="11"/>
      <c r="G58" s="11"/>
      <c r="K58" s="4"/>
    </row>
    <row r="59" spans="1:11" x14ac:dyDescent="0.25">
      <c r="B59">
        <v>315</v>
      </c>
      <c r="C59" t="s">
        <v>74</v>
      </c>
      <c r="D59" s="11">
        <v>44095</v>
      </c>
      <c r="E59" s="11"/>
      <c r="F59" s="11"/>
      <c r="G59" s="11"/>
      <c r="K59" s="4"/>
    </row>
    <row r="60" spans="1:11" x14ac:dyDescent="0.25">
      <c r="B60">
        <v>-400</v>
      </c>
      <c r="C60" t="s">
        <v>93</v>
      </c>
      <c r="D60" s="11"/>
      <c r="E60" s="11"/>
      <c r="F60" s="11"/>
      <c r="G60" s="11"/>
      <c r="K60" s="4"/>
    </row>
    <row r="61" spans="1:11" x14ac:dyDescent="0.25">
      <c r="B61">
        <v>160</v>
      </c>
      <c r="C61" t="s">
        <v>74</v>
      </c>
      <c r="D61" s="11"/>
      <c r="E61" s="11"/>
      <c r="F61" s="11"/>
      <c r="G61" s="11"/>
      <c r="K61" s="4"/>
    </row>
    <row r="62" spans="1:11" x14ac:dyDescent="0.25">
      <c r="B62">
        <v>-200</v>
      </c>
      <c r="C62" t="s">
        <v>13</v>
      </c>
      <c r="D62" s="11"/>
      <c r="E62" s="11"/>
      <c r="F62" s="11"/>
      <c r="G62" s="11"/>
      <c r="K62" s="4"/>
    </row>
    <row r="63" spans="1:11" x14ac:dyDescent="0.25">
      <c r="B63">
        <v>160</v>
      </c>
      <c r="C63" t="s">
        <v>74</v>
      </c>
      <c r="D63" s="11"/>
      <c r="E63" s="11"/>
      <c r="F63" s="11"/>
      <c r="G63" s="11"/>
      <c r="K63" s="4"/>
    </row>
    <row r="64" spans="1:11" x14ac:dyDescent="0.25">
      <c r="B64">
        <v>200</v>
      </c>
      <c r="C64" t="s">
        <v>93</v>
      </c>
      <c r="D64" s="11"/>
      <c r="E64" s="11"/>
      <c r="F64" s="11"/>
      <c r="G64" s="11"/>
      <c r="K64" s="4"/>
    </row>
    <row r="65" spans="2:11" x14ac:dyDescent="0.25">
      <c r="B65">
        <v>-200</v>
      </c>
      <c r="C65" t="s">
        <v>93</v>
      </c>
      <c r="D65" s="11"/>
      <c r="E65" s="11"/>
      <c r="F65" s="11"/>
      <c r="G65" s="11"/>
      <c r="K65" s="4"/>
    </row>
    <row r="66" spans="2:11" x14ac:dyDescent="0.25">
      <c r="B66">
        <v>200</v>
      </c>
      <c r="C66" t="s">
        <v>12</v>
      </c>
      <c r="D66" s="11">
        <v>44137</v>
      </c>
      <c r="E66" s="11"/>
      <c r="F66" s="11"/>
      <c r="G66" s="11"/>
      <c r="K66" s="4"/>
    </row>
    <row r="67" spans="2:11" x14ac:dyDescent="0.25">
      <c r="B67">
        <v>-300</v>
      </c>
      <c r="C67" t="s">
        <v>93</v>
      </c>
      <c r="D67" s="11">
        <v>44151</v>
      </c>
      <c r="E67" s="11"/>
      <c r="F67" s="11"/>
      <c r="G67" s="11"/>
      <c r="K67" s="4"/>
    </row>
    <row r="68" spans="2:11" x14ac:dyDescent="0.25">
      <c r="B68">
        <v>515</v>
      </c>
      <c r="C68" t="s">
        <v>74</v>
      </c>
      <c r="D68" s="11">
        <v>44163</v>
      </c>
      <c r="E68" s="11"/>
      <c r="F68" s="11"/>
      <c r="G68" s="11"/>
      <c r="K68" s="4"/>
    </row>
    <row r="69" spans="2:11" x14ac:dyDescent="0.25">
      <c r="B69">
        <v>-500</v>
      </c>
      <c r="C69" t="s">
        <v>93</v>
      </c>
      <c r="D69" s="11"/>
      <c r="E69" s="11"/>
      <c r="F69" s="11"/>
      <c r="G69" s="11"/>
      <c r="K69" s="4"/>
    </row>
    <row r="70" spans="2:11" x14ac:dyDescent="0.25">
      <c r="B70">
        <v>1910</v>
      </c>
      <c r="C70" t="s">
        <v>12</v>
      </c>
      <c r="D70" s="11">
        <v>44168</v>
      </c>
      <c r="E70" s="11"/>
      <c r="F70" s="11"/>
      <c r="G70" s="11"/>
      <c r="K70" s="4"/>
    </row>
    <row r="71" spans="2:11" x14ac:dyDescent="0.25">
      <c r="B71">
        <v>-1900</v>
      </c>
      <c r="C71" t="s">
        <v>13</v>
      </c>
      <c r="D71" s="11"/>
      <c r="E71" s="11"/>
      <c r="F71" s="11"/>
      <c r="G71" s="11"/>
      <c r="K71" s="4"/>
    </row>
    <row r="72" spans="2:11" x14ac:dyDescent="0.25">
      <c r="B72">
        <v>315</v>
      </c>
      <c r="C72" t="s">
        <v>12</v>
      </c>
      <c r="D72" s="11">
        <v>44182</v>
      </c>
      <c r="E72" s="11"/>
      <c r="F72" s="11"/>
      <c r="G72" s="11"/>
      <c r="K72" s="4"/>
    </row>
    <row r="73" spans="2:11" x14ac:dyDescent="0.25">
      <c r="B73">
        <v>-300</v>
      </c>
      <c r="C73" t="s">
        <v>140</v>
      </c>
      <c r="D73" s="11"/>
      <c r="E73" s="11"/>
      <c r="F73" s="11"/>
      <c r="G73" s="11"/>
      <c r="K73" s="4"/>
    </row>
    <row r="74" spans="2:11" x14ac:dyDescent="0.25">
      <c r="B74">
        <v>1660</v>
      </c>
      <c r="C74" t="s">
        <v>74</v>
      </c>
      <c r="D74" s="11"/>
      <c r="E74" s="11"/>
      <c r="F74" s="11"/>
      <c r="G74" s="11"/>
      <c r="K74" s="4"/>
    </row>
    <row r="75" spans="2:11" x14ac:dyDescent="0.25">
      <c r="B75">
        <v>-1700</v>
      </c>
      <c r="D75" s="11"/>
      <c r="E75" s="11"/>
      <c r="F75" s="11"/>
      <c r="G75" s="11"/>
      <c r="K75" s="4"/>
    </row>
    <row r="76" spans="2:11" x14ac:dyDescent="0.25">
      <c r="B76">
        <v>1955</v>
      </c>
      <c r="C76" t="s">
        <v>12</v>
      </c>
      <c r="D76" s="11"/>
      <c r="E76" s="11"/>
      <c r="F76" s="11"/>
      <c r="G76" s="11"/>
      <c r="K76" s="4"/>
    </row>
    <row r="77" spans="2:11" x14ac:dyDescent="0.25">
      <c r="B77">
        <v>-1900</v>
      </c>
      <c r="C77" t="s">
        <v>13</v>
      </c>
      <c r="D77" s="11"/>
      <c r="E77" s="11"/>
      <c r="F77" s="11"/>
      <c r="G77" s="11"/>
      <c r="K77" s="4"/>
    </row>
    <row r="78" spans="2:11" x14ac:dyDescent="0.25">
      <c r="B78">
        <v>315</v>
      </c>
      <c r="C78" t="s">
        <v>74</v>
      </c>
      <c r="D78" s="11"/>
      <c r="E78" s="11"/>
      <c r="F78" s="11"/>
      <c r="G78" s="11"/>
      <c r="K78" s="4"/>
    </row>
    <row r="79" spans="2:11" x14ac:dyDescent="0.25">
      <c r="B79">
        <v>-400</v>
      </c>
      <c r="C79" t="s">
        <v>13</v>
      </c>
      <c r="D79" s="11"/>
      <c r="E79" s="11"/>
      <c r="F79" s="11"/>
      <c r="G79" s="11"/>
      <c r="K79" s="4"/>
    </row>
    <row r="80" spans="2:11" x14ac:dyDescent="0.25">
      <c r="B80">
        <v>300</v>
      </c>
      <c r="C80" t="s">
        <v>74</v>
      </c>
      <c r="D80" s="11"/>
      <c r="E80" s="11"/>
      <c r="F80" s="11"/>
      <c r="G80" s="11"/>
      <c r="K80" s="4"/>
    </row>
    <row r="81" spans="2:11" x14ac:dyDescent="0.25">
      <c r="B81">
        <v>-300</v>
      </c>
      <c r="C81" t="s">
        <v>13</v>
      </c>
      <c r="D81" s="11"/>
      <c r="E81" s="11"/>
      <c r="F81" s="11"/>
      <c r="G81" s="11"/>
      <c r="K81" s="4"/>
    </row>
    <row r="82" spans="2:11" x14ac:dyDescent="0.25">
      <c r="B82">
        <v>490</v>
      </c>
      <c r="C82" t="s">
        <v>12</v>
      </c>
      <c r="D82" s="11">
        <v>44223</v>
      </c>
      <c r="E82" s="11"/>
      <c r="F82" s="11"/>
      <c r="G82" s="11"/>
      <c r="K82" s="4"/>
    </row>
    <row r="83" spans="2:11" x14ac:dyDescent="0.25">
      <c r="B83">
        <v>-400</v>
      </c>
      <c r="C83" t="s">
        <v>13</v>
      </c>
      <c r="D83" s="11">
        <v>44223</v>
      </c>
      <c r="E83" s="11"/>
      <c r="F83" s="11"/>
      <c r="G83" s="11"/>
      <c r="K83" s="4"/>
    </row>
    <row r="84" spans="2:11" x14ac:dyDescent="0.25">
      <c r="B84">
        <v>600</v>
      </c>
      <c r="C84" t="s">
        <v>94</v>
      </c>
      <c r="D84" s="11">
        <v>44299</v>
      </c>
      <c r="E84" s="11"/>
      <c r="F84" s="11"/>
      <c r="G84" s="11"/>
      <c r="K84" s="4"/>
    </row>
    <row r="85" spans="2:11" x14ac:dyDescent="0.25">
      <c r="B85">
        <v>315</v>
      </c>
      <c r="C85" t="s">
        <v>12</v>
      </c>
      <c r="D85" s="11"/>
      <c r="E85" s="11"/>
      <c r="F85" s="11"/>
      <c r="G85" s="11"/>
      <c r="K85" s="4"/>
    </row>
    <row r="86" spans="2:11" x14ac:dyDescent="0.25">
      <c r="B86">
        <v>-1000</v>
      </c>
      <c r="C86" t="s">
        <v>13</v>
      </c>
      <c r="D86" s="11"/>
      <c r="E86" s="11"/>
      <c r="F86" s="11"/>
      <c r="G86" s="11"/>
      <c r="K86" s="4"/>
    </row>
    <row r="87" spans="2:11" x14ac:dyDescent="0.25">
      <c r="B87">
        <v>915</v>
      </c>
      <c r="C87" t="s">
        <v>74</v>
      </c>
      <c r="D87" s="11">
        <v>44307</v>
      </c>
      <c r="E87" s="11"/>
      <c r="F87" s="11"/>
      <c r="G87" s="11"/>
      <c r="K87" s="4"/>
    </row>
    <row r="88" spans="2:11" x14ac:dyDescent="0.25">
      <c r="B88">
        <v>-900</v>
      </c>
      <c r="C88" t="s">
        <v>13</v>
      </c>
      <c r="D88" s="11">
        <v>44307</v>
      </c>
      <c r="E88" s="11"/>
      <c r="F88" s="11"/>
      <c r="G88" s="11"/>
      <c r="K88" s="4"/>
    </row>
    <row r="89" spans="2:11" x14ac:dyDescent="0.25">
      <c r="B89">
        <v>600</v>
      </c>
      <c r="C89" t="s">
        <v>74</v>
      </c>
      <c r="D89" s="11">
        <v>44310</v>
      </c>
      <c r="E89" s="11"/>
      <c r="F89" s="11"/>
      <c r="G89" s="11"/>
      <c r="K89" s="4"/>
    </row>
    <row r="90" spans="2:11" x14ac:dyDescent="0.25">
      <c r="B90">
        <v>-600</v>
      </c>
      <c r="C90" t="s">
        <v>13</v>
      </c>
      <c r="D90" s="11">
        <v>44310</v>
      </c>
      <c r="E90" s="11"/>
      <c r="F90" s="11"/>
      <c r="G90" s="11"/>
      <c r="K90" s="4"/>
    </row>
    <row r="91" spans="2:11" x14ac:dyDescent="0.25">
      <c r="B91">
        <v>915</v>
      </c>
      <c r="C91" t="s">
        <v>74</v>
      </c>
      <c r="D91" s="11">
        <v>44319</v>
      </c>
      <c r="E91" s="11"/>
      <c r="F91" s="11"/>
      <c r="G91" s="11"/>
      <c r="K91" s="4"/>
    </row>
    <row r="92" spans="2:11" x14ac:dyDescent="0.25">
      <c r="B92">
        <v>-900</v>
      </c>
      <c r="C92" t="s">
        <v>93</v>
      </c>
      <c r="D92" s="11">
        <v>44319</v>
      </c>
      <c r="E92" s="11"/>
      <c r="F92" s="11"/>
      <c r="G92" s="11"/>
      <c r="K92" s="4"/>
    </row>
    <row r="93" spans="2:11" x14ac:dyDescent="0.25">
      <c r="B93">
        <v>500</v>
      </c>
      <c r="C93" t="s">
        <v>12</v>
      </c>
      <c r="D93" s="11">
        <v>44356</v>
      </c>
      <c r="E93" s="11"/>
      <c r="F93" s="11"/>
      <c r="G93" s="11"/>
      <c r="K93" s="4"/>
    </row>
    <row r="94" spans="2:11" x14ac:dyDescent="0.25">
      <c r="B94">
        <v>1000</v>
      </c>
      <c r="C94" t="s">
        <v>141</v>
      </c>
      <c r="D94" s="11">
        <v>44356</v>
      </c>
      <c r="E94" s="11"/>
      <c r="F94" s="11"/>
      <c r="G94" s="11"/>
      <c r="K94" s="4"/>
    </row>
    <row r="95" spans="2:11" x14ac:dyDescent="0.25">
      <c r="B95">
        <v>-1500</v>
      </c>
      <c r="C95" t="s">
        <v>13</v>
      </c>
      <c r="D95" s="11">
        <v>44356</v>
      </c>
      <c r="E95" s="11"/>
      <c r="F95" s="11"/>
      <c r="G95" s="11"/>
      <c r="K95" s="4"/>
    </row>
    <row r="96" spans="2:11" x14ac:dyDescent="0.25">
      <c r="B96">
        <v>600</v>
      </c>
      <c r="C96" t="s">
        <v>74</v>
      </c>
      <c r="D96" s="11">
        <v>44378</v>
      </c>
      <c r="E96" s="11"/>
      <c r="F96" s="11"/>
      <c r="G96" s="11"/>
      <c r="K96" s="4"/>
    </row>
    <row r="97" spans="2:11" x14ac:dyDescent="0.25">
      <c r="B97">
        <v>-600</v>
      </c>
      <c r="C97" t="s">
        <v>93</v>
      </c>
      <c r="D97" s="11">
        <v>44378</v>
      </c>
      <c r="E97" s="11"/>
      <c r="F97" s="11"/>
      <c r="G97" s="11"/>
      <c r="K97" s="4"/>
    </row>
    <row r="98" spans="2:11" x14ac:dyDescent="0.25">
      <c r="B98">
        <v>220</v>
      </c>
      <c r="C98" t="s">
        <v>74</v>
      </c>
      <c r="D98" s="11"/>
      <c r="E98" s="11"/>
      <c r="F98" s="11"/>
      <c r="G98" s="11"/>
      <c r="K98" s="4"/>
    </row>
    <row r="99" spans="2:11" x14ac:dyDescent="0.25">
      <c r="B99">
        <v>-500</v>
      </c>
      <c r="C99" t="s">
        <v>13</v>
      </c>
      <c r="D99" s="11">
        <v>44387</v>
      </c>
      <c r="E99" s="11"/>
      <c r="F99" s="11"/>
      <c r="G99" s="11"/>
      <c r="K99" s="4"/>
    </row>
    <row r="100" spans="2:11" x14ac:dyDescent="0.25">
      <c r="B100">
        <v>620</v>
      </c>
      <c r="C100" t="s">
        <v>12</v>
      </c>
      <c r="D100" s="11">
        <v>44421</v>
      </c>
      <c r="E100" s="11"/>
      <c r="F100" s="11"/>
      <c r="G100" s="11"/>
      <c r="K100" s="4"/>
    </row>
    <row r="101" spans="2:11" x14ac:dyDescent="0.25">
      <c r="B101">
        <v>-600</v>
      </c>
      <c r="C101" t="s">
        <v>13</v>
      </c>
      <c r="D101" s="11">
        <v>44421</v>
      </c>
      <c r="E101" s="11"/>
      <c r="F101" s="11"/>
      <c r="G101" s="11"/>
      <c r="K101" s="4"/>
    </row>
    <row r="102" spans="2:11" x14ac:dyDescent="0.25">
      <c r="B102">
        <v>300</v>
      </c>
      <c r="C102" t="s">
        <v>74</v>
      </c>
      <c r="D102" s="11">
        <v>44434</v>
      </c>
      <c r="E102" s="11"/>
      <c r="F102" s="11"/>
      <c r="G102" s="11"/>
      <c r="K102" s="4"/>
    </row>
    <row r="103" spans="2:11" x14ac:dyDescent="0.25">
      <c r="B103">
        <v>1900</v>
      </c>
      <c r="C103" t="s">
        <v>74</v>
      </c>
      <c r="D103" s="11">
        <v>44504</v>
      </c>
      <c r="E103" s="11"/>
      <c r="F103" s="11"/>
      <c r="G103" s="11"/>
      <c r="K103" s="4"/>
    </row>
    <row r="104" spans="2:11" x14ac:dyDescent="0.25">
      <c r="B104">
        <v>-1900</v>
      </c>
      <c r="C104" t="s">
        <v>172</v>
      </c>
      <c r="D104" s="11"/>
      <c r="E104" s="11"/>
      <c r="F104" s="11"/>
      <c r="G104" s="11"/>
      <c r="K104" s="4"/>
    </row>
    <row r="105" spans="2:11" x14ac:dyDescent="0.25">
      <c r="B105">
        <v>1900</v>
      </c>
      <c r="C105" t="s">
        <v>74</v>
      </c>
      <c r="D105" s="11"/>
      <c r="E105" s="11"/>
      <c r="F105" s="11"/>
      <c r="G105" s="11"/>
      <c r="K105" s="4"/>
    </row>
    <row r="106" spans="2:11" x14ac:dyDescent="0.25">
      <c r="B106">
        <v>-1900</v>
      </c>
      <c r="C106" t="s">
        <v>13</v>
      </c>
      <c r="D106" s="11">
        <v>44529</v>
      </c>
      <c r="E106" s="11"/>
      <c r="F106" s="11"/>
      <c r="G106" s="11"/>
      <c r="K106" s="4"/>
    </row>
    <row r="107" spans="2:11" x14ac:dyDescent="0.25">
      <c r="B107">
        <v>-400</v>
      </c>
      <c r="C107" t="s">
        <v>175</v>
      </c>
      <c r="D107" s="11">
        <v>44531</v>
      </c>
      <c r="E107" s="11"/>
      <c r="F107" s="11"/>
      <c r="G107" s="11"/>
      <c r="K107" s="4"/>
    </row>
    <row r="108" spans="2:11" x14ac:dyDescent="0.25">
      <c r="B108">
        <v>520</v>
      </c>
      <c r="C108" t="s">
        <v>12</v>
      </c>
      <c r="D108" s="11">
        <v>44534</v>
      </c>
      <c r="E108" s="11"/>
      <c r="F108" s="11"/>
      <c r="G108" s="11"/>
      <c r="K108" s="4"/>
    </row>
    <row r="109" spans="2:11" x14ac:dyDescent="0.25">
      <c r="B109">
        <v>300</v>
      </c>
      <c r="C109" t="s">
        <v>148</v>
      </c>
      <c r="D109" s="11"/>
      <c r="E109" s="11"/>
      <c r="F109" s="11"/>
      <c r="G109" s="11"/>
      <c r="K109" s="4"/>
    </row>
    <row r="110" spans="2:11" x14ac:dyDescent="0.25">
      <c r="B110">
        <v>-500</v>
      </c>
      <c r="C110" t="s">
        <v>13</v>
      </c>
      <c r="D110" s="11"/>
      <c r="E110" s="11"/>
      <c r="F110" s="11"/>
      <c r="G110" s="11"/>
      <c r="K110" s="4"/>
    </row>
    <row r="111" spans="2:11" x14ac:dyDescent="0.25">
      <c r="B111">
        <v>280</v>
      </c>
      <c r="C111" t="s">
        <v>74</v>
      </c>
      <c r="D111" s="11"/>
      <c r="E111" s="11"/>
      <c r="F111" s="11"/>
      <c r="G111" s="11"/>
      <c r="K111" s="4"/>
    </row>
    <row r="112" spans="2:11" x14ac:dyDescent="0.25">
      <c r="B112">
        <v>-300</v>
      </c>
      <c r="C112" t="s">
        <v>13</v>
      </c>
      <c r="D112" s="11"/>
      <c r="E112" s="11"/>
      <c r="F112" s="11"/>
      <c r="G112" s="11"/>
      <c r="K112" s="4"/>
    </row>
    <row r="113" spans="2:11" x14ac:dyDescent="0.25">
      <c r="B113">
        <v>800</v>
      </c>
      <c r="C113" t="s">
        <v>74</v>
      </c>
      <c r="D113" s="11"/>
      <c r="E113" s="11"/>
      <c r="F113" s="11"/>
      <c r="G113" s="11"/>
      <c r="K113" s="4"/>
    </row>
    <row r="114" spans="2:11" x14ac:dyDescent="0.25">
      <c r="B114">
        <v>-800</v>
      </c>
      <c r="C114" t="s">
        <v>93</v>
      </c>
      <c r="D114" s="11"/>
      <c r="E114" s="11"/>
      <c r="F114" s="11"/>
      <c r="G114" s="11"/>
      <c r="K114" s="4"/>
    </row>
    <row r="115" spans="2:11" x14ac:dyDescent="0.25">
      <c r="B115">
        <v>800</v>
      </c>
      <c r="C115" t="s">
        <v>12</v>
      </c>
      <c r="D115" s="11">
        <v>44652</v>
      </c>
      <c r="E115" s="11"/>
      <c r="F115" s="11"/>
      <c r="G115" s="11"/>
      <c r="K115" s="4"/>
    </row>
    <row r="116" spans="2:11" x14ac:dyDescent="0.25">
      <c r="B116">
        <v>-800</v>
      </c>
      <c r="C116" t="s">
        <v>13</v>
      </c>
      <c r="D116" s="11">
        <v>44652</v>
      </c>
      <c r="E116" s="11"/>
      <c r="F116" s="11"/>
      <c r="G116" s="11"/>
      <c r="K116" s="4"/>
    </row>
    <row r="117" spans="2:11" x14ac:dyDescent="0.25">
      <c r="B117">
        <v>680</v>
      </c>
      <c r="C117" t="s">
        <v>12</v>
      </c>
      <c r="D117" s="11">
        <v>44671</v>
      </c>
      <c r="E117" s="11"/>
      <c r="F117" s="11"/>
      <c r="G117" s="11"/>
      <c r="K117" s="4"/>
    </row>
    <row r="118" spans="2:11" x14ac:dyDescent="0.25">
      <c r="B118">
        <v>1800</v>
      </c>
      <c r="C118" t="s">
        <v>106</v>
      </c>
      <c r="D118" s="11"/>
      <c r="E118" s="11"/>
      <c r="F118" s="11"/>
      <c r="G118" s="11"/>
      <c r="K118" s="4"/>
    </row>
    <row r="119" spans="2:11" x14ac:dyDescent="0.25">
      <c r="B119">
        <v>-2400</v>
      </c>
      <c r="C119" t="s">
        <v>13</v>
      </c>
      <c r="D119" s="11"/>
      <c r="E119" s="11"/>
      <c r="F119" s="11"/>
      <c r="G119" s="11"/>
      <c r="K119" s="4"/>
    </row>
    <row r="120" spans="2:11" x14ac:dyDescent="0.25">
      <c r="B120">
        <v>280</v>
      </c>
      <c r="C120" t="s">
        <v>12</v>
      </c>
      <c r="D120" s="11">
        <v>44677</v>
      </c>
      <c r="E120" s="11"/>
      <c r="F120" s="11"/>
      <c r="G120" s="11"/>
      <c r="K120" s="4"/>
    </row>
    <row r="121" spans="2:11" x14ac:dyDescent="0.25">
      <c r="B121">
        <v>-300</v>
      </c>
      <c r="C121" t="s">
        <v>13</v>
      </c>
      <c r="D121" s="11">
        <v>44677</v>
      </c>
      <c r="E121" s="11"/>
      <c r="F121" s="11"/>
      <c r="G121" s="11"/>
      <c r="K121" s="4"/>
    </row>
    <row r="122" spans="2:11" x14ac:dyDescent="0.25">
      <c r="B122">
        <v>680</v>
      </c>
      <c r="C122" t="s">
        <v>12</v>
      </c>
      <c r="D122" s="11">
        <v>44687</v>
      </c>
      <c r="E122" s="11"/>
      <c r="F122" s="11"/>
      <c r="G122" s="11"/>
      <c r="K122" s="4"/>
    </row>
    <row r="123" spans="2:11" x14ac:dyDescent="0.25">
      <c r="B123">
        <v>-700</v>
      </c>
      <c r="C123" t="s">
        <v>196</v>
      </c>
      <c r="D123" s="11"/>
      <c r="E123" s="11"/>
      <c r="F123" s="11"/>
      <c r="G123" s="11"/>
      <c r="K123" s="4"/>
    </row>
    <row r="124" spans="2:11" x14ac:dyDescent="0.25">
      <c r="B124">
        <v>560</v>
      </c>
      <c r="D124" s="11"/>
      <c r="E124" s="11"/>
      <c r="F124" s="11"/>
      <c r="G124" s="11"/>
      <c r="K124" s="4"/>
    </row>
    <row r="125" spans="2:11" x14ac:dyDescent="0.25">
      <c r="B125">
        <v>-600</v>
      </c>
      <c r="D125" s="11"/>
      <c r="E125" s="11"/>
      <c r="F125" s="11"/>
      <c r="G125" s="11"/>
      <c r="K125" s="4"/>
    </row>
    <row r="126" spans="2:11" x14ac:dyDescent="0.25">
      <c r="B126">
        <v>440</v>
      </c>
      <c r="C126" t="s">
        <v>12</v>
      </c>
      <c r="D126" s="11">
        <v>44700</v>
      </c>
      <c r="E126" s="11"/>
      <c r="F126" s="11"/>
      <c r="G126" s="11"/>
      <c r="K126" s="4"/>
    </row>
    <row r="127" spans="2:11" x14ac:dyDescent="0.25">
      <c r="B127">
        <v>-400</v>
      </c>
      <c r="C127" t="s">
        <v>13</v>
      </c>
      <c r="D127" s="11">
        <v>44700</v>
      </c>
      <c r="E127" s="11"/>
      <c r="F127" s="11"/>
      <c r="G127" s="11"/>
      <c r="K127" s="4"/>
    </row>
    <row r="128" spans="2:11" x14ac:dyDescent="0.25">
      <c r="B128">
        <v>880</v>
      </c>
      <c r="C128" t="s">
        <v>74</v>
      </c>
      <c r="D128" s="11">
        <v>44713</v>
      </c>
      <c r="E128" s="11"/>
      <c r="F128" s="11"/>
      <c r="G128" s="11"/>
      <c r="K128" s="4"/>
    </row>
    <row r="129" spans="2:11" x14ac:dyDescent="0.25">
      <c r="B129">
        <v>-900</v>
      </c>
      <c r="C129" t="s">
        <v>13</v>
      </c>
      <c r="D129" s="11"/>
      <c r="E129" s="11"/>
      <c r="F129" s="11"/>
      <c r="G129" s="11"/>
      <c r="K129" s="4"/>
    </row>
    <row r="130" spans="2:11" x14ac:dyDescent="0.25">
      <c r="B130">
        <v>680</v>
      </c>
      <c r="C130" t="s">
        <v>74</v>
      </c>
      <c r="D130" s="11">
        <v>44735</v>
      </c>
      <c r="E130" s="11"/>
      <c r="F130" s="11"/>
      <c r="G130" s="11"/>
      <c r="K130" s="4"/>
    </row>
    <row r="131" spans="2:11" x14ac:dyDescent="0.25">
      <c r="B131">
        <v>-600</v>
      </c>
      <c r="C131" t="s">
        <v>93</v>
      </c>
      <c r="D131" s="11"/>
      <c r="E131" s="11"/>
      <c r="F131" s="11"/>
      <c r="G131" s="11"/>
      <c r="K131" s="4"/>
    </row>
    <row r="132" spans="2:11" x14ac:dyDescent="0.25">
      <c r="B132">
        <v>880</v>
      </c>
      <c r="C132" t="s">
        <v>12</v>
      </c>
      <c r="D132" s="11">
        <v>44742</v>
      </c>
      <c r="E132" s="11"/>
      <c r="F132" s="11"/>
      <c r="G132" s="11"/>
      <c r="K132" s="4"/>
    </row>
    <row r="133" spans="2:11" x14ac:dyDescent="0.25">
      <c r="B133">
        <v>-900</v>
      </c>
      <c r="C133" t="s">
        <v>13</v>
      </c>
      <c r="D133" s="11"/>
      <c r="E133" s="11"/>
      <c r="F133" s="11"/>
      <c r="G133" s="11"/>
      <c r="K133" s="4"/>
    </row>
    <row r="134" spans="2:11" x14ac:dyDescent="0.25">
      <c r="B134">
        <v>1760</v>
      </c>
      <c r="C134" t="s">
        <v>74</v>
      </c>
      <c r="D134" s="11"/>
      <c r="E134" s="11"/>
      <c r="F134" s="11"/>
      <c r="G134" s="11"/>
      <c r="K134" s="4"/>
    </row>
    <row r="135" spans="2:11" x14ac:dyDescent="0.25">
      <c r="B135">
        <v>-1800</v>
      </c>
      <c r="D135" s="11"/>
      <c r="E135" s="11"/>
      <c r="F135" s="11"/>
      <c r="G135" s="11"/>
      <c r="K135" s="4"/>
    </row>
    <row r="136" spans="2:11" x14ac:dyDescent="0.25">
      <c r="B136">
        <v>1040</v>
      </c>
      <c r="C136" t="s">
        <v>12</v>
      </c>
      <c r="D136" s="11"/>
      <c r="E136" s="11"/>
      <c r="F136" s="11"/>
      <c r="G136" s="11"/>
      <c r="K136" s="4"/>
    </row>
    <row r="137" spans="2:11" x14ac:dyDescent="0.25">
      <c r="B137">
        <v>-1050</v>
      </c>
      <c r="C137" t="s">
        <v>13</v>
      </c>
      <c r="D137" s="11"/>
      <c r="E137" s="11"/>
      <c r="F137" s="11"/>
      <c r="G137" s="11"/>
      <c r="K137" s="4"/>
    </row>
    <row r="138" spans="2:11" x14ac:dyDescent="0.25">
      <c r="B138">
        <v>280</v>
      </c>
      <c r="C138" t="s">
        <v>12</v>
      </c>
      <c r="D138" s="11">
        <v>44774</v>
      </c>
      <c r="E138" s="11"/>
      <c r="F138" s="11"/>
      <c r="G138" s="11"/>
      <c r="K138" s="4"/>
    </row>
    <row r="139" spans="2:11" x14ac:dyDescent="0.25">
      <c r="B139">
        <v>-300</v>
      </c>
      <c r="C139" t="s">
        <v>13</v>
      </c>
      <c r="D139" s="11"/>
      <c r="E139" s="11"/>
      <c r="F139" s="11"/>
      <c r="G139" s="11"/>
      <c r="K139" s="4"/>
    </row>
    <row r="140" spans="2:11" x14ac:dyDescent="0.25">
      <c r="B140">
        <v>480</v>
      </c>
      <c r="C140" t="s">
        <v>12</v>
      </c>
      <c r="D140" s="11">
        <v>44788</v>
      </c>
      <c r="E140" s="11"/>
      <c r="F140" s="11"/>
      <c r="G140" s="11"/>
      <c r="K140" s="4"/>
    </row>
    <row r="141" spans="2:11" x14ac:dyDescent="0.25">
      <c r="B141">
        <v>1160</v>
      </c>
      <c r="C141" t="s">
        <v>12</v>
      </c>
      <c r="D141" s="11">
        <v>44795</v>
      </c>
      <c r="E141" s="11"/>
      <c r="F141" s="11"/>
      <c r="G141" s="11"/>
      <c r="K141" s="4"/>
    </row>
    <row r="142" spans="2:11" x14ac:dyDescent="0.25">
      <c r="B142">
        <v>-1600</v>
      </c>
      <c r="C142" t="s">
        <v>13</v>
      </c>
      <c r="D142" s="11"/>
      <c r="E142" s="11"/>
      <c r="F142" s="11"/>
      <c r="G142" s="11"/>
      <c r="K142" s="4"/>
    </row>
    <row r="143" spans="2:11" x14ac:dyDescent="0.25">
      <c r="B143">
        <v>480</v>
      </c>
      <c r="C143" t="s">
        <v>74</v>
      </c>
      <c r="D143" s="11">
        <v>44802</v>
      </c>
      <c r="E143" s="11"/>
      <c r="F143" s="11"/>
      <c r="G143" s="11"/>
      <c r="K143" s="4"/>
    </row>
    <row r="144" spans="2:11" x14ac:dyDescent="0.25">
      <c r="B144">
        <v>-500</v>
      </c>
      <c r="C144" t="s">
        <v>13</v>
      </c>
      <c r="D144" s="11">
        <v>44802</v>
      </c>
      <c r="E144" s="11"/>
      <c r="F144" s="11"/>
      <c r="G144" s="11"/>
      <c r="K144" s="4"/>
    </row>
    <row r="145" spans="2:11" x14ac:dyDescent="0.25">
      <c r="B145">
        <v>480</v>
      </c>
      <c r="C145" t="s">
        <v>74</v>
      </c>
      <c r="D145" s="11">
        <v>44807</v>
      </c>
      <c r="E145" s="11"/>
      <c r="F145" s="11"/>
      <c r="G145" s="11"/>
      <c r="K145" s="4"/>
    </row>
    <row r="146" spans="2:11" x14ac:dyDescent="0.25">
      <c r="B146">
        <v>-500</v>
      </c>
      <c r="C146" t="s">
        <v>13</v>
      </c>
      <c r="D146" s="11">
        <v>44807</v>
      </c>
      <c r="E146" s="11"/>
      <c r="F146" s="11"/>
      <c r="G146" s="11"/>
      <c r="K146" s="4"/>
    </row>
    <row r="147" spans="2:11" x14ac:dyDescent="0.25">
      <c r="B147">
        <v>1160</v>
      </c>
      <c r="C147" t="s">
        <v>74</v>
      </c>
      <c r="D147" s="11">
        <v>44810</v>
      </c>
      <c r="E147" s="11"/>
      <c r="F147" s="11"/>
      <c r="G147" s="11"/>
      <c r="K147" s="4"/>
    </row>
    <row r="148" spans="2:11" x14ac:dyDescent="0.25">
      <c r="B148">
        <v>-1100</v>
      </c>
      <c r="C148" t="s">
        <v>93</v>
      </c>
      <c r="D148" s="11">
        <v>44810</v>
      </c>
      <c r="E148" s="11"/>
      <c r="F148" s="11"/>
      <c r="G148" s="11"/>
      <c r="K148" s="4"/>
    </row>
    <row r="149" spans="2:11" x14ac:dyDescent="0.25">
      <c r="B149">
        <v>300</v>
      </c>
      <c r="C149" t="s">
        <v>12</v>
      </c>
      <c r="D149" s="11">
        <v>44816</v>
      </c>
      <c r="E149" s="11"/>
      <c r="F149" s="11"/>
      <c r="G149" s="11"/>
      <c r="K149" s="4"/>
    </row>
    <row r="150" spans="2:11" x14ac:dyDescent="0.25">
      <c r="B150">
        <v>-300</v>
      </c>
      <c r="C150" t="s">
        <v>13</v>
      </c>
      <c r="D150" s="11"/>
      <c r="E150" s="11"/>
      <c r="F150" s="11"/>
      <c r="G150" s="11"/>
      <c r="K150" s="4"/>
    </row>
    <row r="151" spans="2:11" x14ac:dyDescent="0.25">
      <c r="B151">
        <v>880</v>
      </c>
      <c r="C151" t="s">
        <v>12</v>
      </c>
      <c r="D151" s="11">
        <v>44819</v>
      </c>
      <c r="E151" s="11"/>
      <c r="F151" s="11"/>
      <c r="G151" s="11"/>
      <c r="K151" s="4"/>
    </row>
    <row r="152" spans="2:11" x14ac:dyDescent="0.25">
      <c r="B152">
        <v>-900</v>
      </c>
      <c r="C152" t="s">
        <v>13</v>
      </c>
      <c r="D152" s="11">
        <v>44819</v>
      </c>
      <c r="E152" s="11"/>
      <c r="F152" s="11"/>
      <c r="G152" s="11"/>
      <c r="K152" s="4"/>
    </row>
    <row r="153" spans="2:11" x14ac:dyDescent="0.25">
      <c r="B153">
        <v>480</v>
      </c>
      <c r="C153" t="s">
        <v>12</v>
      </c>
      <c r="D153" s="11">
        <v>44828</v>
      </c>
      <c r="E153" s="11"/>
      <c r="F153" s="11"/>
      <c r="G153" s="11"/>
      <c r="K153" s="4"/>
    </row>
    <row r="154" spans="2:11" x14ac:dyDescent="0.25">
      <c r="B154">
        <v>-500</v>
      </c>
      <c r="C154" t="s">
        <v>13</v>
      </c>
      <c r="D154" s="11"/>
      <c r="E154" s="11"/>
      <c r="F154" s="11"/>
      <c r="G154" s="11"/>
      <c r="K154" s="4"/>
    </row>
    <row r="155" spans="2:11" x14ac:dyDescent="0.25">
      <c r="B155">
        <v>1160</v>
      </c>
      <c r="C155" t="s">
        <v>12</v>
      </c>
      <c r="D155" s="11">
        <v>44835</v>
      </c>
      <c r="E155" s="11"/>
      <c r="F155" s="11"/>
      <c r="G155" s="11"/>
      <c r="K155" s="4"/>
    </row>
    <row r="156" spans="2:11" x14ac:dyDescent="0.25">
      <c r="B156">
        <v>-1200</v>
      </c>
      <c r="D156" s="11"/>
      <c r="E156" s="11"/>
      <c r="F156" s="11"/>
      <c r="G156" s="11"/>
      <c r="K156" s="4"/>
    </row>
    <row r="157" spans="2:11" x14ac:dyDescent="0.25">
      <c r="B157">
        <v>280</v>
      </c>
      <c r="C157" t="s">
        <v>12</v>
      </c>
      <c r="D157" s="11">
        <v>44840</v>
      </c>
      <c r="E157" s="11"/>
      <c r="F157" s="11"/>
      <c r="G157" s="11"/>
      <c r="K157" s="4"/>
    </row>
    <row r="158" spans="2:11" x14ac:dyDescent="0.25">
      <c r="B158">
        <v>-200</v>
      </c>
      <c r="C158" t="s">
        <v>13</v>
      </c>
      <c r="D158" s="11">
        <v>44840</v>
      </c>
      <c r="E158" s="11"/>
      <c r="F158" s="11"/>
      <c r="G158" s="11"/>
      <c r="K158" s="4"/>
    </row>
    <row r="159" spans="2:11" x14ac:dyDescent="0.25">
      <c r="B159">
        <v>480</v>
      </c>
      <c r="C159" t="s">
        <v>12</v>
      </c>
      <c r="D159" s="11">
        <v>44856</v>
      </c>
      <c r="E159" s="11"/>
      <c r="F159" s="11"/>
      <c r="G159" s="11"/>
      <c r="K159" s="4"/>
    </row>
    <row r="160" spans="2:11" x14ac:dyDescent="0.25">
      <c r="B160">
        <v>-500</v>
      </c>
      <c r="C160" t="s">
        <v>13</v>
      </c>
      <c r="D160" s="11">
        <v>44856</v>
      </c>
      <c r="E160" s="11"/>
      <c r="F160" s="11"/>
      <c r="G160" s="11"/>
      <c r="K160" s="4"/>
    </row>
    <row r="161" spans="2:11" x14ac:dyDescent="0.25">
      <c r="B161">
        <v>-300</v>
      </c>
      <c r="C161" t="s">
        <v>175</v>
      </c>
      <c r="D161" s="11">
        <v>44873</v>
      </c>
      <c r="E161" s="11"/>
      <c r="F161" s="11"/>
      <c r="G161" s="11"/>
      <c r="K161" s="4"/>
    </row>
    <row r="162" spans="2:11" x14ac:dyDescent="0.25">
      <c r="B162">
        <v>2080</v>
      </c>
      <c r="C162" t="s">
        <v>12</v>
      </c>
      <c r="D162" s="11">
        <v>44891</v>
      </c>
      <c r="E162" s="11"/>
      <c r="F162" s="11"/>
      <c r="G162" s="11"/>
      <c r="K162" s="4"/>
    </row>
    <row r="163" spans="2:11" x14ac:dyDescent="0.25">
      <c r="B163">
        <v>-1800</v>
      </c>
      <c r="C163" t="s">
        <v>13</v>
      </c>
      <c r="D163" s="11">
        <v>44891</v>
      </c>
      <c r="E163" s="11"/>
      <c r="F163" s="11"/>
      <c r="G163" s="11"/>
      <c r="K163" s="4"/>
    </row>
    <row r="164" spans="2:11" x14ac:dyDescent="0.25">
      <c r="B164">
        <v>800</v>
      </c>
      <c r="C164" t="s">
        <v>12</v>
      </c>
      <c r="D164" s="11"/>
      <c r="E164" s="11"/>
      <c r="F164" s="11"/>
      <c r="G164" s="11"/>
      <c r="K164" s="4"/>
    </row>
    <row r="165" spans="2:11" x14ac:dyDescent="0.25">
      <c r="B165">
        <v>-800</v>
      </c>
      <c r="C165" t="s">
        <v>13</v>
      </c>
      <c r="D165" s="11"/>
      <c r="E165" s="11"/>
      <c r="F165" s="11"/>
      <c r="G165" s="11"/>
      <c r="K165" s="4"/>
    </row>
    <row r="166" spans="2:11" x14ac:dyDescent="0.25">
      <c r="B166">
        <v>1600</v>
      </c>
      <c r="C166" t="s">
        <v>12</v>
      </c>
      <c r="D166" s="11">
        <v>44912</v>
      </c>
      <c r="E166" s="11"/>
      <c r="F166" s="11"/>
      <c r="G166" s="11"/>
      <c r="K166" s="4"/>
    </row>
    <row r="167" spans="2:11" x14ac:dyDescent="0.25">
      <c r="B167">
        <v>-1600</v>
      </c>
      <c r="C167" t="s">
        <v>13</v>
      </c>
      <c r="D167" s="11">
        <v>44912</v>
      </c>
      <c r="E167" s="11"/>
      <c r="F167" s="11"/>
      <c r="G167" s="11"/>
      <c r="K167" s="4"/>
    </row>
    <row r="168" spans="2:11" x14ac:dyDescent="0.25">
      <c r="B168">
        <v>2800</v>
      </c>
      <c r="C168" t="s">
        <v>12</v>
      </c>
      <c r="D168" s="11">
        <v>44924</v>
      </c>
      <c r="E168" s="11"/>
      <c r="F168" s="11"/>
      <c r="G168" s="11"/>
      <c r="K168" s="4"/>
    </row>
    <row r="169" spans="2:11" x14ac:dyDescent="0.25">
      <c r="B169">
        <v>-2800</v>
      </c>
      <c r="C169" t="s">
        <v>13</v>
      </c>
      <c r="D169" s="11">
        <v>44924</v>
      </c>
      <c r="E169" s="11"/>
      <c r="F169" s="11"/>
      <c r="G169" s="11"/>
      <c r="K169" s="4"/>
    </row>
    <row r="170" spans="2:11" x14ac:dyDescent="0.25">
      <c r="B170">
        <v>1680</v>
      </c>
      <c r="C170" t="s">
        <v>12</v>
      </c>
      <c r="D170" s="11">
        <v>44932</v>
      </c>
      <c r="E170" s="11"/>
      <c r="F170" s="11"/>
      <c r="G170" s="11"/>
      <c r="K170" s="4"/>
    </row>
    <row r="171" spans="2:11" x14ac:dyDescent="0.25">
      <c r="B171">
        <v>-1600</v>
      </c>
      <c r="C171" t="s">
        <v>13</v>
      </c>
      <c r="D171" s="11"/>
      <c r="E171" s="11"/>
      <c r="F171" s="11"/>
      <c r="G171" s="11"/>
      <c r="K171" s="4"/>
    </row>
    <row r="172" spans="2:11" x14ac:dyDescent="0.25">
      <c r="B172">
        <v>400</v>
      </c>
      <c r="C172" t="s">
        <v>12</v>
      </c>
      <c r="D172" s="11">
        <v>44938</v>
      </c>
      <c r="E172" s="11"/>
      <c r="F172" s="11"/>
      <c r="G172" s="11"/>
      <c r="K172" s="4"/>
    </row>
    <row r="173" spans="2:11" x14ac:dyDescent="0.25">
      <c r="B173">
        <v>-400</v>
      </c>
      <c r="C173" t="s">
        <v>13</v>
      </c>
      <c r="D173" s="11">
        <v>44938</v>
      </c>
      <c r="E173" s="11"/>
      <c r="F173" s="11"/>
      <c r="G173" s="11"/>
      <c r="K173" s="4"/>
    </row>
    <row r="174" spans="2:11" x14ac:dyDescent="0.25">
      <c r="B174">
        <v>1280</v>
      </c>
      <c r="C174" t="s">
        <v>12</v>
      </c>
      <c r="D174" s="11"/>
      <c r="E174" s="11"/>
      <c r="F174" s="11"/>
      <c r="G174" s="11"/>
      <c r="K174" s="4"/>
    </row>
    <row r="175" spans="2:11" x14ac:dyDescent="0.25">
      <c r="B175">
        <v>-1300</v>
      </c>
      <c r="C175" t="s">
        <v>13</v>
      </c>
      <c r="D175" s="11"/>
      <c r="E175" s="11"/>
      <c r="F175" s="11"/>
      <c r="G175" s="11"/>
      <c r="K175" s="4"/>
    </row>
    <row r="176" spans="2:11" x14ac:dyDescent="0.25">
      <c r="B176">
        <v>2400</v>
      </c>
      <c r="C176" t="s">
        <v>12</v>
      </c>
      <c r="D176" s="11"/>
      <c r="E176" s="11"/>
      <c r="F176" s="11"/>
      <c r="G176" s="11"/>
      <c r="K176" s="4"/>
    </row>
    <row r="177" spans="2:11" x14ac:dyDescent="0.25">
      <c r="B177">
        <v>-2400</v>
      </c>
      <c r="C177" t="s">
        <v>13</v>
      </c>
      <c r="D177" s="11"/>
      <c r="E177" s="11"/>
      <c r="F177" s="11"/>
      <c r="G177" s="11"/>
      <c r="K177" s="4"/>
    </row>
    <row r="178" spans="2:11" x14ac:dyDescent="0.25">
      <c r="B178">
        <v>1600</v>
      </c>
      <c r="C178" t="s">
        <v>12</v>
      </c>
      <c r="D178" s="11">
        <v>44967</v>
      </c>
      <c r="E178" s="11"/>
      <c r="F178" s="11"/>
      <c r="G178" s="11"/>
      <c r="K178" s="4"/>
    </row>
    <row r="179" spans="2:11" x14ac:dyDescent="0.25">
      <c r="B179">
        <v>-1600</v>
      </c>
      <c r="C179" t="s">
        <v>13</v>
      </c>
      <c r="D179" s="11"/>
      <c r="E179" s="11"/>
      <c r="F179" s="11"/>
      <c r="G179" s="11"/>
      <c r="K179" s="4"/>
    </row>
    <row r="180" spans="2:11" x14ac:dyDescent="0.25">
      <c r="B180">
        <v>2400</v>
      </c>
      <c r="C180" t="s">
        <v>12</v>
      </c>
      <c r="D180" s="11">
        <v>44988</v>
      </c>
      <c r="E180" s="11"/>
      <c r="F180" s="11"/>
      <c r="G180" s="11"/>
      <c r="K180" s="4"/>
    </row>
    <row r="181" spans="2:11" x14ac:dyDescent="0.25">
      <c r="B181">
        <v>-2400</v>
      </c>
      <c r="C181" t="s">
        <v>13</v>
      </c>
      <c r="D181" s="11"/>
      <c r="E181" s="11"/>
      <c r="F181" s="11"/>
      <c r="G181" s="11"/>
      <c r="K181" s="4"/>
    </row>
    <row r="182" spans="2:11" x14ac:dyDescent="0.25">
      <c r="B182">
        <v>400</v>
      </c>
      <c r="C182" t="s">
        <v>12</v>
      </c>
      <c r="D182" s="11">
        <v>45030</v>
      </c>
      <c r="E182" s="11"/>
      <c r="F182" s="11"/>
      <c r="G182" s="11"/>
      <c r="K182" s="4"/>
    </row>
    <row r="183" spans="2:11" x14ac:dyDescent="0.25">
      <c r="B183">
        <v>-400</v>
      </c>
      <c r="C183" t="s">
        <v>13</v>
      </c>
      <c r="D183" s="11"/>
      <c r="E183" s="11"/>
      <c r="F183" s="11"/>
      <c r="G183" s="11"/>
      <c r="K183" s="4"/>
    </row>
    <row r="184" spans="2:11" x14ac:dyDescent="0.25">
      <c r="B184">
        <v>800</v>
      </c>
      <c r="C184" t="s">
        <v>12</v>
      </c>
      <c r="D184" s="11">
        <v>45038</v>
      </c>
      <c r="E184" s="11"/>
      <c r="F184" s="11"/>
      <c r="G184" s="11"/>
      <c r="K184" s="4"/>
    </row>
    <row r="185" spans="2:11" x14ac:dyDescent="0.25">
      <c r="B185">
        <v>-800</v>
      </c>
      <c r="C185" t="s">
        <v>13</v>
      </c>
      <c r="D185" s="11">
        <v>45038</v>
      </c>
      <c r="E185" s="11"/>
      <c r="F185" s="11"/>
      <c r="G185" s="11"/>
      <c r="K185" s="4"/>
    </row>
    <row r="186" spans="2:11" x14ac:dyDescent="0.25">
      <c r="B186">
        <v>1200</v>
      </c>
      <c r="C186" t="s">
        <v>12</v>
      </c>
      <c r="D186" s="11">
        <v>45052</v>
      </c>
      <c r="E186" s="11"/>
      <c r="F186" s="11"/>
      <c r="G186" s="11"/>
      <c r="K186" s="4"/>
    </row>
    <row r="187" spans="2:11" x14ac:dyDescent="0.25">
      <c r="B187">
        <v>-1200</v>
      </c>
      <c r="C187" t="s">
        <v>13</v>
      </c>
      <c r="D187" s="11">
        <v>45052</v>
      </c>
      <c r="E187" s="11"/>
      <c r="F187" s="11"/>
      <c r="G187" s="11"/>
      <c r="K187" s="4"/>
    </row>
    <row r="188" spans="2:11" x14ac:dyDescent="0.25">
      <c r="B188">
        <v>600</v>
      </c>
      <c r="C188" t="s">
        <v>12</v>
      </c>
      <c r="D188" s="11">
        <v>45070</v>
      </c>
      <c r="E188" s="11"/>
      <c r="F188" s="11"/>
      <c r="G188" s="11"/>
      <c r="K188" s="4"/>
    </row>
    <row r="189" spans="2:11" x14ac:dyDescent="0.25">
      <c r="B189">
        <v>-600</v>
      </c>
      <c r="C189" t="s">
        <v>13</v>
      </c>
      <c r="D189" s="11">
        <v>45070</v>
      </c>
      <c r="E189" s="11"/>
      <c r="F189" s="11"/>
      <c r="G189" s="11"/>
      <c r="K189" s="4"/>
    </row>
    <row r="190" spans="2:11" x14ac:dyDescent="0.25">
      <c r="B190">
        <v>600</v>
      </c>
      <c r="C190" t="s">
        <v>12</v>
      </c>
      <c r="D190" s="11">
        <v>45117</v>
      </c>
      <c r="E190" s="11"/>
      <c r="F190" s="11"/>
      <c r="G190" s="11"/>
      <c r="K190" s="4"/>
    </row>
    <row r="191" spans="2:11" x14ac:dyDescent="0.25">
      <c r="B191">
        <v>-600</v>
      </c>
      <c r="C191" t="s">
        <v>13</v>
      </c>
      <c r="D191" s="11">
        <v>45117</v>
      </c>
      <c r="E191" s="11"/>
      <c r="F191" s="11"/>
      <c r="G191" s="11"/>
      <c r="K191" s="4"/>
    </row>
    <row r="192" spans="2:11" x14ac:dyDescent="0.25">
      <c r="B192">
        <v>1800</v>
      </c>
      <c r="C192" t="s">
        <v>12</v>
      </c>
      <c r="D192" s="11">
        <v>45119</v>
      </c>
      <c r="E192" s="11"/>
      <c r="F192" s="11"/>
      <c r="G192" s="11"/>
      <c r="K192" s="4"/>
    </row>
    <row r="193" spans="2:11" x14ac:dyDescent="0.25">
      <c r="B193">
        <v>-1800</v>
      </c>
      <c r="C193" t="s">
        <v>13</v>
      </c>
      <c r="D193" s="11"/>
      <c r="E193" s="11"/>
      <c r="F193" s="11"/>
      <c r="G193" s="11"/>
      <c r="K193" s="4"/>
    </row>
    <row r="194" spans="2:11" x14ac:dyDescent="0.25">
      <c r="B194">
        <v>1200</v>
      </c>
      <c r="C194" t="s">
        <v>12</v>
      </c>
      <c r="D194" s="11"/>
      <c r="E194" s="11"/>
      <c r="F194" s="11"/>
      <c r="G194" s="11"/>
      <c r="K194" s="4"/>
    </row>
    <row r="195" spans="2:11" x14ac:dyDescent="0.25">
      <c r="B195">
        <v>-1200</v>
      </c>
      <c r="C195" t="s">
        <v>13</v>
      </c>
      <c r="D195" s="11">
        <v>45136</v>
      </c>
      <c r="E195" s="11"/>
      <c r="F195" s="11"/>
      <c r="G195" s="11"/>
      <c r="K195" s="4"/>
    </row>
    <row r="196" spans="2:11" x14ac:dyDescent="0.25">
      <c r="B196">
        <v>1600</v>
      </c>
      <c r="C196" t="s">
        <v>74</v>
      </c>
      <c r="D196" s="11"/>
      <c r="E196" s="11"/>
      <c r="F196" s="11"/>
      <c r="G196" s="11"/>
      <c r="K196" s="4"/>
    </row>
    <row r="197" spans="2:11" x14ac:dyDescent="0.25">
      <c r="B197">
        <v>-1600</v>
      </c>
      <c r="C197" t="s">
        <v>93</v>
      </c>
      <c r="D197" s="11"/>
      <c r="E197" s="11"/>
      <c r="F197" s="11"/>
      <c r="G197" s="11"/>
      <c r="K197" s="4"/>
    </row>
    <row r="198" spans="2:11" x14ac:dyDescent="0.25">
      <c r="B198">
        <v>2000</v>
      </c>
      <c r="C198" t="s">
        <v>74</v>
      </c>
      <c r="D198" s="11">
        <v>45160</v>
      </c>
      <c r="E198" s="11"/>
      <c r="F198" s="11"/>
      <c r="G198" s="11"/>
      <c r="K198" s="4"/>
    </row>
    <row r="199" spans="2:11" x14ac:dyDescent="0.25">
      <c r="B199">
        <v>-2000</v>
      </c>
      <c r="C199" t="s">
        <v>93</v>
      </c>
      <c r="D199" s="11">
        <v>45160</v>
      </c>
      <c r="E199" s="11"/>
      <c r="F199" s="11"/>
      <c r="G199" s="11"/>
      <c r="K199" s="4"/>
    </row>
    <row r="200" spans="2:11" x14ac:dyDescent="0.25">
      <c r="B200">
        <v>1600</v>
      </c>
      <c r="C200" t="s">
        <v>12</v>
      </c>
      <c r="D200" s="11">
        <v>45166</v>
      </c>
      <c r="E200" s="11"/>
      <c r="F200" s="11"/>
      <c r="G200" s="11"/>
      <c r="K200" s="4"/>
    </row>
    <row r="201" spans="2:11" x14ac:dyDescent="0.25">
      <c r="B201">
        <v>-1600</v>
      </c>
      <c r="C201" t="s">
        <v>13</v>
      </c>
      <c r="D201" s="11"/>
      <c r="E201" s="11"/>
      <c r="F201" s="11"/>
      <c r="G201" s="11"/>
      <c r="K201" s="4"/>
    </row>
    <row r="202" spans="2:11" x14ac:dyDescent="0.25">
      <c r="B202">
        <v>2000</v>
      </c>
      <c r="C202" t="s">
        <v>12</v>
      </c>
      <c r="D202" s="11">
        <v>45168</v>
      </c>
      <c r="E202" s="11"/>
      <c r="F202" s="11"/>
      <c r="G202" s="11"/>
      <c r="K202" s="4"/>
    </row>
    <row r="203" spans="2:11" x14ac:dyDescent="0.25">
      <c r="B203">
        <v>-2000</v>
      </c>
      <c r="C203" t="s">
        <v>13</v>
      </c>
      <c r="D203" s="11"/>
      <c r="E203" s="11"/>
      <c r="F203" s="11"/>
      <c r="G203" s="11"/>
      <c r="K203" s="4"/>
    </row>
    <row r="204" spans="2:11" x14ac:dyDescent="0.25">
      <c r="B204">
        <v>800</v>
      </c>
      <c r="C204" t="s">
        <v>12</v>
      </c>
      <c r="D204" s="11"/>
      <c r="E204" s="11"/>
      <c r="F204" s="11"/>
      <c r="G204" s="11"/>
      <c r="K204" s="4"/>
    </row>
    <row r="205" spans="2:11" x14ac:dyDescent="0.25">
      <c r="B205">
        <v>-800</v>
      </c>
      <c r="C205" t="s">
        <v>13</v>
      </c>
      <c r="D205" s="11">
        <v>45170</v>
      </c>
      <c r="E205" s="11"/>
      <c r="F205" s="11"/>
      <c r="G205" s="11"/>
      <c r="K205" s="4"/>
    </row>
    <row r="206" spans="2:11" x14ac:dyDescent="0.25">
      <c r="B206">
        <v>2600</v>
      </c>
      <c r="C206" t="s">
        <v>12</v>
      </c>
      <c r="D206" s="11">
        <v>45206</v>
      </c>
      <c r="E206" s="11"/>
      <c r="F206" s="11"/>
      <c r="G206" s="11"/>
      <c r="K206" s="4"/>
    </row>
    <row r="207" spans="2:11" x14ac:dyDescent="0.25">
      <c r="B207">
        <v>-2400</v>
      </c>
      <c r="C207" t="s">
        <v>13</v>
      </c>
      <c r="D207" s="11"/>
      <c r="E207" s="11"/>
      <c r="F207" s="11"/>
      <c r="G207" s="11"/>
      <c r="K207" s="4"/>
    </row>
    <row r="208" spans="2:11" x14ac:dyDescent="0.25">
      <c r="B208">
        <v>-300</v>
      </c>
      <c r="C208" t="s">
        <v>175</v>
      </c>
      <c r="D208" s="11"/>
      <c r="E208" s="11"/>
      <c r="F208" s="11"/>
      <c r="G208" s="11"/>
      <c r="K208" s="4"/>
    </row>
    <row r="209" spans="2:11" x14ac:dyDescent="0.25">
      <c r="B209">
        <v>800</v>
      </c>
      <c r="C209" t="s">
        <v>12</v>
      </c>
      <c r="D209" s="11">
        <v>45216</v>
      </c>
      <c r="E209" s="11"/>
      <c r="F209" s="11"/>
      <c r="G209" s="11"/>
      <c r="K209" s="4"/>
    </row>
    <row r="210" spans="2:11" x14ac:dyDescent="0.25">
      <c r="B210">
        <v>-800</v>
      </c>
      <c r="C210" t="s">
        <v>13</v>
      </c>
      <c r="D210" s="11"/>
      <c r="E210" s="11"/>
      <c r="F210" s="11"/>
      <c r="G210" s="11"/>
      <c r="K210" s="4"/>
    </row>
    <row r="211" spans="2:11" x14ac:dyDescent="0.25">
      <c r="B211">
        <v>3400</v>
      </c>
      <c r="C211" t="s">
        <v>12</v>
      </c>
      <c r="D211" s="11">
        <v>45222</v>
      </c>
      <c r="E211" s="11"/>
      <c r="F211" s="11"/>
      <c r="G211" s="11"/>
      <c r="K211" s="4"/>
    </row>
    <row r="212" spans="2:11" x14ac:dyDescent="0.25">
      <c r="B212">
        <v>-3400</v>
      </c>
      <c r="C212" t="s">
        <v>13</v>
      </c>
      <c r="D212" s="11"/>
      <c r="E212" s="11"/>
      <c r="F212" s="11"/>
      <c r="G212" s="11"/>
      <c r="K212" s="4"/>
    </row>
    <row r="213" spans="2:11" x14ac:dyDescent="0.25">
      <c r="B213">
        <v>1200</v>
      </c>
      <c r="C213" t="s">
        <v>12</v>
      </c>
      <c r="D213" s="11">
        <v>45316</v>
      </c>
      <c r="E213" s="11"/>
      <c r="F213" s="11"/>
      <c r="G213" s="11"/>
      <c r="K213" s="4"/>
    </row>
    <row r="214" spans="2:11" x14ac:dyDescent="0.25">
      <c r="B214">
        <v>-1200</v>
      </c>
      <c r="C214" t="s">
        <v>13</v>
      </c>
      <c r="D214" s="11"/>
      <c r="E214" s="11"/>
      <c r="F214" s="11"/>
      <c r="G214" s="11"/>
      <c r="K214" s="4"/>
    </row>
    <row r="215" spans="2:11" x14ac:dyDescent="0.25">
      <c r="B215">
        <v>3600</v>
      </c>
      <c r="C215" t="s">
        <v>12</v>
      </c>
      <c r="D215" s="11">
        <v>45469</v>
      </c>
      <c r="E215" s="11"/>
      <c r="F215" s="11"/>
      <c r="G215" s="11"/>
      <c r="K215" s="4"/>
    </row>
    <row r="216" spans="2:11" x14ac:dyDescent="0.25">
      <c r="B216">
        <v>-12500</v>
      </c>
      <c r="C216" t="s">
        <v>13</v>
      </c>
      <c r="D216" s="11">
        <v>45469</v>
      </c>
      <c r="E216" s="11"/>
      <c r="F216" s="11"/>
      <c r="G216" s="11"/>
      <c r="K216" s="4"/>
    </row>
    <row r="217" spans="2:11" x14ac:dyDescent="0.25">
      <c r="B217">
        <v>3800</v>
      </c>
      <c r="C217" t="s">
        <v>12</v>
      </c>
      <c r="D217" s="11"/>
      <c r="E217" s="11"/>
      <c r="F217" s="11"/>
      <c r="G217" s="11"/>
      <c r="K217" s="4"/>
    </row>
    <row r="218" spans="2:11" x14ac:dyDescent="0.25">
      <c r="B218">
        <v>-4000</v>
      </c>
      <c r="C218" t="s">
        <v>13</v>
      </c>
      <c r="D218" s="11"/>
      <c r="E218" s="11"/>
      <c r="F218" s="11"/>
      <c r="G218" s="11"/>
      <c r="K218" s="4"/>
    </row>
    <row r="219" spans="2:11" x14ac:dyDescent="0.25">
      <c r="B219">
        <v>4200</v>
      </c>
      <c r="C219" t="s">
        <v>74</v>
      </c>
      <c r="D219" s="11"/>
      <c r="E219" s="11"/>
      <c r="F219" s="11"/>
      <c r="G219" s="11"/>
      <c r="K219" s="4"/>
    </row>
    <row r="220" spans="2:11" x14ac:dyDescent="0.25">
      <c r="B220">
        <v>-4000</v>
      </c>
      <c r="C220" t="s">
        <v>93</v>
      </c>
      <c r="D220" s="11">
        <v>45532</v>
      </c>
      <c r="E220" s="11"/>
      <c r="F220" s="11"/>
      <c r="G220" s="11"/>
      <c r="K220" s="4"/>
    </row>
    <row r="221" spans="2:11" x14ac:dyDescent="0.25">
      <c r="B221">
        <v>-1000</v>
      </c>
      <c r="C221" t="s">
        <v>175</v>
      </c>
      <c r="D221" s="11"/>
      <c r="E221" s="11"/>
      <c r="F221" s="11"/>
      <c r="G221" s="11"/>
      <c r="K221" s="4"/>
    </row>
    <row r="222" spans="2:11" x14ac:dyDescent="0.25">
      <c r="B222">
        <v>37500</v>
      </c>
      <c r="C222" t="s">
        <v>12</v>
      </c>
      <c r="D222" s="11"/>
      <c r="E222" s="11"/>
      <c r="F222" s="11"/>
      <c r="G222" s="11"/>
      <c r="K222" s="4"/>
    </row>
    <row r="223" spans="2:11" x14ac:dyDescent="0.25">
      <c r="B223">
        <v>-37500</v>
      </c>
      <c r="C223" t="s">
        <v>13</v>
      </c>
      <c r="D223" s="11">
        <v>45712</v>
      </c>
      <c r="E223" s="11"/>
      <c r="F223" s="11"/>
      <c r="G223" s="11"/>
      <c r="K223" s="4"/>
    </row>
    <row r="224" spans="2:11" x14ac:dyDescent="0.25">
      <c r="B224">
        <v>-1000</v>
      </c>
      <c r="C224" t="s">
        <v>175</v>
      </c>
      <c r="D224" s="11">
        <v>45888</v>
      </c>
      <c r="E224" s="11"/>
      <c r="F224" s="11"/>
      <c r="G224" s="11"/>
      <c r="K224" s="4"/>
    </row>
    <row r="225" spans="2:11" x14ac:dyDescent="0.25">
      <c r="D225" s="11"/>
      <c r="E225" s="11"/>
      <c r="F225" s="11"/>
      <c r="G225" s="11"/>
      <c r="K225" s="4"/>
    </row>
    <row r="226" spans="2:11" x14ac:dyDescent="0.25">
      <c r="B226" s="135">
        <f>SUM(B58:B224)</f>
        <v>-13030</v>
      </c>
      <c r="C226" s="11">
        <v>45888</v>
      </c>
      <c r="D226" s="11"/>
      <c r="E226" s="11"/>
      <c r="F226" s="11"/>
      <c r="G226" s="11"/>
      <c r="K226" s="4"/>
    </row>
    <row r="227" spans="2:11" x14ac:dyDescent="0.25">
      <c r="B227" s="11"/>
      <c r="C227" t="s">
        <v>54</v>
      </c>
      <c r="D227" s="11"/>
      <c r="E227" s="11"/>
      <c r="F227" s="11"/>
      <c r="G227" s="11"/>
      <c r="K227" s="4"/>
    </row>
    <row r="228" spans="2:11" x14ac:dyDescent="0.25">
      <c r="B228" s="11"/>
      <c r="E228" s="11"/>
      <c r="F228" s="11"/>
      <c r="G228" s="11"/>
      <c r="K228" s="4"/>
    </row>
    <row r="229" spans="2:11" x14ac:dyDescent="0.25">
      <c r="B229" s="11"/>
      <c r="E229" s="11"/>
      <c r="F229" s="11"/>
      <c r="G229" s="11"/>
      <c r="K229" s="4"/>
    </row>
    <row r="230" spans="2:11" x14ac:dyDescent="0.25">
      <c r="B230" s="11"/>
      <c r="E230" s="11"/>
      <c r="F230" s="11"/>
      <c r="G230" s="11"/>
      <c r="K230" s="4"/>
    </row>
    <row r="231" spans="2:11" x14ac:dyDescent="0.25">
      <c r="B231" s="11"/>
      <c r="C231" s="11"/>
      <c r="E231" s="11"/>
      <c r="F231" s="11"/>
      <c r="G231" s="11"/>
      <c r="K231" s="4"/>
    </row>
    <row r="232" spans="2:11" x14ac:dyDescent="0.25">
      <c r="B232" s="11"/>
      <c r="E232" s="4"/>
      <c r="K232" s="4"/>
    </row>
    <row r="233" spans="2:11" x14ac:dyDescent="0.25">
      <c r="B233" s="11"/>
      <c r="F233" s="11"/>
      <c r="G233" s="11"/>
      <c r="I233" s="173"/>
      <c r="K233" s="4"/>
    </row>
    <row r="234" spans="2:11" x14ac:dyDescent="0.25">
      <c r="B234" s="11"/>
      <c r="E234" s="11"/>
      <c r="F234" s="11"/>
      <c r="G234" s="11"/>
      <c r="K234" s="4"/>
    </row>
    <row r="235" spans="2:11" x14ac:dyDescent="0.25">
      <c r="B235" s="11"/>
      <c r="K235" s="4"/>
    </row>
    <row r="236" spans="2:11" x14ac:dyDescent="0.25">
      <c r="B236" s="11"/>
      <c r="E236" s="11"/>
      <c r="F236" s="11"/>
      <c r="G236" s="11"/>
      <c r="K236" s="4"/>
    </row>
    <row r="237" spans="2:11" x14ac:dyDescent="0.25">
      <c r="B237" s="11"/>
      <c r="I237" s="4"/>
    </row>
    <row r="238" spans="2:11" x14ac:dyDescent="0.25">
      <c r="B238" s="11"/>
      <c r="E238" s="11"/>
      <c r="F238" s="11"/>
      <c r="G238" s="11"/>
      <c r="K238" s="4"/>
    </row>
    <row r="239" spans="2:11" x14ac:dyDescent="0.25">
      <c r="B239" s="11"/>
      <c r="E239" s="11"/>
      <c r="F239" s="11"/>
      <c r="G239" s="11"/>
      <c r="K239" s="4"/>
    </row>
    <row r="240" spans="2:11" x14ac:dyDescent="0.25">
      <c r="B240" s="11"/>
      <c r="E240" s="11"/>
      <c r="F240" s="11"/>
      <c r="G240" s="11"/>
      <c r="K240" s="4"/>
    </row>
    <row r="241" spans="2:11" x14ac:dyDescent="0.25">
      <c r="B241" s="11"/>
      <c r="E241" s="11"/>
      <c r="F241" s="11"/>
      <c r="G241" s="11"/>
      <c r="K241" s="4"/>
    </row>
    <row r="242" spans="2:11" x14ac:dyDescent="0.25">
      <c r="B242" s="11"/>
      <c r="E242" s="11"/>
      <c r="F242" s="11"/>
      <c r="G242" s="11"/>
      <c r="K242" s="4"/>
    </row>
    <row r="243" spans="2:11" x14ac:dyDescent="0.25">
      <c r="B243" s="11"/>
      <c r="D243" s="11"/>
      <c r="E243" s="11"/>
      <c r="F243" s="11"/>
      <c r="G243" s="11"/>
      <c r="K243" s="4"/>
    </row>
    <row r="244" spans="2:11" x14ac:dyDescent="0.25">
      <c r="B244" s="11"/>
      <c r="E244" s="11"/>
      <c r="F244" s="11"/>
      <c r="G244" s="11"/>
      <c r="K244" s="4"/>
    </row>
    <row r="245" spans="2:11" x14ac:dyDescent="0.25">
      <c r="B245" s="11"/>
      <c r="E245" s="11"/>
      <c r="F245" s="11"/>
      <c r="G245" s="11"/>
      <c r="K245" s="4"/>
    </row>
    <row r="246" spans="2:11" x14ac:dyDescent="0.25">
      <c r="B246" s="11"/>
      <c r="E246" s="11"/>
      <c r="F246" s="11"/>
      <c r="G246" s="11"/>
      <c r="K246" s="4"/>
    </row>
    <row r="247" spans="2:11" x14ac:dyDescent="0.25">
      <c r="B247" s="11"/>
      <c r="E247" s="11"/>
      <c r="F247" s="11"/>
      <c r="G247" s="11"/>
      <c r="K247" s="4"/>
    </row>
    <row r="248" spans="2:11" x14ac:dyDescent="0.25">
      <c r="B248" s="11"/>
      <c r="E248" s="11"/>
      <c r="F248" s="11"/>
      <c r="G248" s="11"/>
      <c r="K248" s="4"/>
    </row>
    <row r="249" spans="2:11" x14ac:dyDescent="0.25">
      <c r="B249" s="11"/>
      <c r="E249" s="11"/>
      <c r="F249" s="11"/>
      <c r="G249" s="11"/>
      <c r="K249" s="4"/>
    </row>
    <row r="250" spans="2:11" x14ac:dyDescent="0.25">
      <c r="B250" s="11"/>
      <c r="E250" s="11"/>
      <c r="F250" s="11"/>
      <c r="G250" s="11"/>
    </row>
    <row r="251" spans="2:11" x14ac:dyDescent="0.25">
      <c r="B251" s="11"/>
      <c r="E251" s="11"/>
      <c r="F251" s="11"/>
      <c r="G251" s="11"/>
    </row>
    <row r="252" spans="2:11" x14ac:dyDescent="0.25">
      <c r="B252" s="11"/>
      <c r="E252" s="11"/>
      <c r="F252" s="11"/>
      <c r="G252" s="11"/>
    </row>
    <row r="253" spans="2:11" x14ac:dyDescent="0.25">
      <c r="B253" s="11"/>
      <c r="E253" s="11"/>
      <c r="F253" s="11"/>
      <c r="G253" s="11"/>
    </row>
    <row r="254" spans="2:11" x14ac:dyDescent="0.25">
      <c r="B254" s="11"/>
      <c r="E254" s="11"/>
      <c r="F254" s="11"/>
      <c r="G254" s="11"/>
    </row>
    <row r="255" spans="2:11" x14ac:dyDescent="0.25">
      <c r="B255" s="11"/>
      <c r="E255" s="11"/>
      <c r="F255" s="11"/>
      <c r="G255" s="11"/>
    </row>
    <row r="256" spans="2:11" x14ac:dyDescent="0.25">
      <c r="B256" s="11"/>
      <c r="E256" s="11"/>
      <c r="F256" s="11"/>
      <c r="G256" s="11"/>
    </row>
    <row r="257" spans="2:7" x14ac:dyDescent="0.25">
      <c r="B257" s="11"/>
      <c r="E257" s="11"/>
      <c r="F257" s="11"/>
      <c r="G257" s="11"/>
    </row>
    <row r="258" spans="2:7" x14ac:dyDescent="0.25">
      <c r="B258" s="11"/>
      <c r="E258" s="11"/>
      <c r="F258" s="11"/>
      <c r="G258" s="11"/>
    </row>
    <row r="259" spans="2:7" x14ac:dyDescent="0.25">
      <c r="B259" s="11"/>
      <c r="E259" s="11"/>
      <c r="F259" s="11"/>
      <c r="G259" s="11"/>
    </row>
    <row r="260" spans="2:7" x14ac:dyDescent="0.25">
      <c r="B260" s="11"/>
      <c r="E260" s="11"/>
      <c r="F260" s="11"/>
      <c r="G260" s="11"/>
    </row>
    <row r="261" spans="2:7" x14ac:dyDescent="0.25">
      <c r="B261" s="11"/>
      <c r="E261" s="11"/>
      <c r="F261" s="11"/>
      <c r="G261" s="11"/>
    </row>
    <row r="262" spans="2:7" x14ac:dyDescent="0.25">
      <c r="B262" s="11"/>
      <c r="E262" s="11"/>
      <c r="F262" s="11"/>
      <c r="G262" s="11"/>
    </row>
    <row r="263" spans="2:7" x14ac:dyDescent="0.25">
      <c r="B263" s="11"/>
      <c r="E263" s="11"/>
      <c r="F263" s="11"/>
      <c r="G263" s="11"/>
    </row>
    <row r="264" spans="2:7" x14ac:dyDescent="0.25">
      <c r="B264" s="11"/>
      <c r="E264" s="11"/>
      <c r="F264" s="11"/>
      <c r="G264" s="11"/>
    </row>
    <row r="265" spans="2:7" x14ac:dyDescent="0.25">
      <c r="B265" s="11"/>
      <c r="E265" s="11"/>
      <c r="F265" s="11"/>
      <c r="G265" s="11"/>
    </row>
    <row r="266" spans="2:7" x14ac:dyDescent="0.25">
      <c r="B266" s="11"/>
      <c r="E266" s="11"/>
      <c r="F266" s="11"/>
      <c r="G266" s="11"/>
    </row>
    <row r="267" spans="2:7" x14ac:dyDescent="0.25">
      <c r="E267" s="11"/>
      <c r="F267" s="11"/>
      <c r="G267" s="11"/>
    </row>
    <row r="268" spans="2:7" x14ac:dyDescent="0.25">
      <c r="E268" s="11"/>
      <c r="F268" s="11"/>
      <c r="G268" s="11"/>
    </row>
    <row r="269" spans="2:7" x14ac:dyDescent="0.25">
      <c r="E269" s="11"/>
      <c r="F269" s="11"/>
      <c r="G269" s="11"/>
    </row>
    <row r="270" spans="2:7" x14ac:dyDescent="0.25">
      <c r="E270" s="11"/>
      <c r="F270" s="11"/>
      <c r="G270" s="11"/>
    </row>
    <row r="271" spans="2:7" x14ac:dyDescent="0.25">
      <c r="E271" s="11"/>
      <c r="F271" s="11"/>
      <c r="G271" s="11"/>
    </row>
    <row r="272" spans="2:7" x14ac:dyDescent="0.25">
      <c r="E272" s="11"/>
      <c r="F272" s="11"/>
      <c r="G272" s="1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06"/>
  <sheetViews>
    <sheetView topLeftCell="A28" zoomScale="110" zoomScaleNormal="110" workbookViewId="0">
      <selection activeCell="A4" sqref="A4:XFD10"/>
    </sheetView>
  </sheetViews>
  <sheetFormatPr baseColWidth="10" defaultRowHeight="15" x14ac:dyDescent="0.25"/>
  <cols>
    <col min="2" max="2" width="12.42578125" customWidth="1"/>
    <col min="5" max="5" width="11.140625" customWidth="1"/>
    <col min="6" max="6" width="11.140625" style="230" customWidth="1"/>
    <col min="7" max="7" width="12.140625" customWidth="1"/>
    <col min="9" max="9" width="13.28515625" customWidth="1"/>
    <col min="11" max="11" width="12.28515625" customWidth="1"/>
  </cols>
  <sheetData>
    <row r="1" spans="1:11" x14ac:dyDescent="0.25">
      <c r="D1" s="172" t="s">
        <v>160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46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73"/>
      <c r="B3" s="82"/>
      <c r="C3" s="124"/>
      <c r="D3" s="82"/>
      <c r="E3" s="82"/>
      <c r="F3" s="82"/>
      <c r="G3" s="82"/>
      <c r="H3" s="128"/>
      <c r="I3" s="90"/>
      <c r="J3" s="213"/>
      <c r="K3" s="221"/>
    </row>
    <row r="4" spans="1:11" x14ac:dyDescent="0.25">
      <c r="A4" s="273"/>
      <c r="B4" s="82"/>
      <c r="C4" s="124"/>
      <c r="D4" s="82"/>
      <c r="E4" s="82"/>
      <c r="F4" s="82"/>
      <c r="G4" s="82"/>
      <c r="H4" s="128"/>
      <c r="I4" s="90"/>
      <c r="J4" s="213"/>
      <c r="K4" s="221"/>
    </row>
    <row r="5" spans="1:11" x14ac:dyDescent="0.25">
      <c r="A5" s="273"/>
      <c r="B5" s="82"/>
      <c r="C5" s="124"/>
      <c r="D5" s="82"/>
      <c r="E5" s="82"/>
      <c r="F5" s="82"/>
      <c r="G5" s="82"/>
      <c r="H5" s="128"/>
      <c r="I5" s="90"/>
      <c r="J5" s="213"/>
      <c r="K5" s="221"/>
    </row>
    <row r="6" spans="1:11" x14ac:dyDescent="0.25">
      <c r="A6" s="273"/>
      <c r="B6" s="82"/>
      <c r="C6" s="124"/>
      <c r="D6" s="82"/>
      <c r="E6" s="82"/>
      <c r="F6" s="82"/>
      <c r="G6" s="82"/>
      <c r="H6" s="128"/>
      <c r="I6" s="90"/>
      <c r="J6" s="213"/>
      <c r="K6" s="221"/>
    </row>
    <row r="7" spans="1:11" x14ac:dyDescent="0.25">
      <c r="A7" s="273"/>
      <c r="B7" s="82"/>
      <c r="C7" s="124"/>
      <c r="D7" s="82"/>
      <c r="E7" s="82"/>
      <c r="F7" s="82"/>
      <c r="G7" s="82"/>
      <c r="H7" s="128"/>
      <c r="I7" s="90"/>
      <c r="J7" s="213"/>
      <c r="K7" s="221"/>
    </row>
    <row r="8" spans="1:11" x14ac:dyDescent="0.25">
      <c r="A8" s="273"/>
      <c r="B8" s="82"/>
      <c r="C8" s="124"/>
      <c r="D8" s="82"/>
      <c r="E8" s="82"/>
      <c r="F8" s="82"/>
      <c r="G8" s="82"/>
      <c r="H8" s="128"/>
      <c r="I8" s="90"/>
      <c r="J8" s="213"/>
      <c r="K8" s="221"/>
    </row>
    <row r="9" spans="1:11" x14ac:dyDescent="0.25">
      <c r="A9" s="273"/>
      <c r="B9" s="82"/>
      <c r="C9" s="124"/>
      <c r="D9" s="82"/>
      <c r="E9" s="82"/>
      <c r="F9" s="82"/>
      <c r="G9" s="82"/>
      <c r="H9" s="128"/>
      <c r="I9" s="90"/>
      <c r="J9" s="213"/>
      <c r="K9" s="221"/>
    </row>
    <row r="10" spans="1:11" x14ac:dyDescent="0.25">
      <c r="A10" s="273"/>
      <c r="B10" s="82"/>
      <c r="C10" s="124"/>
      <c r="D10" s="82"/>
      <c r="E10" s="82"/>
      <c r="F10" s="82"/>
      <c r="G10" s="82"/>
      <c r="H10" s="128"/>
      <c r="I10" s="90"/>
      <c r="J10" s="213"/>
      <c r="K10" s="221"/>
    </row>
    <row r="11" spans="1:11" x14ac:dyDescent="0.25">
      <c r="A11" s="273"/>
      <c r="B11" s="82"/>
      <c r="C11" s="124"/>
      <c r="D11" s="82"/>
      <c r="E11" s="82"/>
      <c r="F11" s="82"/>
      <c r="G11" s="82"/>
      <c r="H11" s="128"/>
      <c r="I11" s="90"/>
      <c r="J11" s="213"/>
      <c r="K11" s="221"/>
    </row>
    <row r="12" spans="1:11" x14ac:dyDescent="0.25">
      <c r="A12" s="273"/>
      <c r="B12" s="82"/>
      <c r="C12" s="124"/>
      <c r="D12" s="82"/>
      <c r="E12" s="82"/>
      <c r="F12" s="82"/>
      <c r="G12" s="82"/>
      <c r="H12" s="128"/>
      <c r="I12" s="90"/>
      <c r="J12" s="213"/>
      <c r="K12" s="221"/>
    </row>
    <row r="13" spans="1:11" x14ac:dyDescent="0.25">
      <c r="A13" s="273"/>
      <c r="B13" s="82"/>
      <c r="C13" s="124"/>
      <c r="D13" s="82"/>
      <c r="E13" s="82"/>
      <c r="F13" s="82"/>
      <c r="G13" s="82"/>
      <c r="H13" s="128"/>
      <c r="I13" s="90"/>
      <c r="J13" s="213"/>
      <c r="K13" s="221"/>
    </row>
    <row r="14" spans="1:11" x14ac:dyDescent="0.25">
      <c r="A14" s="273"/>
      <c r="B14" s="82"/>
      <c r="C14" s="124"/>
      <c r="D14" s="82"/>
      <c r="E14" s="82"/>
      <c r="F14" s="82"/>
      <c r="G14" s="82"/>
      <c r="H14" s="128"/>
      <c r="I14" s="90"/>
      <c r="J14" s="213"/>
      <c r="K14" s="221"/>
    </row>
    <row r="15" spans="1:11" x14ac:dyDescent="0.25">
      <c r="A15" s="273"/>
      <c r="B15" s="82"/>
      <c r="C15" s="124"/>
      <c r="D15" s="82"/>
      <c r="E15" s="82"/>
      <c r="F15" s="82"/>
      <c r="G15" s="82"/>
      <c r="H15" s="128"/>
      <c r="I15" s="90"/>
      <c r="J15" s="213"/>
      <c r="K15" s="221"/>
    </row>
    <row r="16" spans="1:11" x14ac:dyDescent="0.25">
      <c r="A16" s="273"/>
      <c r="B16" s="82"/>
      <c r="C16" s="124"/>
      <c r="D16" s="82"/>
      <c r="E16" s="82"/>
      <c r="F16" s="82"/>
      <c r="G16" s="82"/>
      <c r="H16" s="128"/>
      <c r="I16" s="90"/>
      <c r="J16" s="213"/>
      <c r="K16" s="221"/>
    </row>
    <row r="17" spans="1:11" x14ac:dyDescent="0.25">
      <c r="A17" s="273"/>
      <c r="B17" s="82"/>
      <c r="C17" s="124"/>
      <c r="D17" s="82"/>
      <c r="E17" s="82"/>
      <c r="F17" s="82"/>
      <c r="G17" s="82"/>
      <c r="H17" s="128"/>
      <c r="I17" s="90"/>
      <c r="J17" s="213"/>
      <c r="K17" s="221"/>
    </row>
    <row r="18" spans="1:11" x14ac:dyDescent="0.25">
      <c r="A18" s="273"/>
      <c r="B18" s="82"/>
      <c r="C18" s="124"/>
      <c r="D18" s="82"/>
      <c r="E18" s="82"/>
      <c r="F18" s="82"/>
      <c r="G18" s="82"/>
      <c r="H18" s="128"/>
      <c r="I18" s="90"/>
      <c r="J18" s="213"/>
      <c r="K18" s="221"/>
    </row>
    <row r="19" spans="1:11" x14ac:dyDescent="0.25">
      <c r="A19" s="273"/>
      <c r="B19" s="82"/>
      <c r="C19" s="124"/>
      <c r="D19" s="82"/>
      <c r="E19" s="82"/>
      <c r="F19" s="82"/>
      <c r="G19" s="82"/>
      <c r="H19" s="128"/>
      <c r="I19" s="90"/>
      <c r="J19" s="213"/>
      <c r="K19" s="221"/>
    </row>
    <row r="20" spans="1:11" x14ac:dyDescent="0.25">
      <c r="A20" s="273"/>
      <c r="B20" s="82"/>
      <c r="C20" s="124"/>
      <c r="D20" s="82"/>
      <c r="E20" s="82"/>
      <c r="F20" s="82"/>
      <c r="G20" s="82"/>
      <c r="H20" s="128"/>
      <c r="I20" s="90"/>
      <c r="J20" s="213"/>
      <c r="K20" s="221"/>
    </row>
    <row r="21" spans="1:11" x14ac:dyDescent="0.25">
      <c r="A21" s="273"/>
      <c r="B21" s="82"/>
      <c r="C21" s="124"/>
      <c r="D21" s="82"/>
      <c r="E21" s="82"/>
      <c r="F21" s="82"/>
      <c r="G21" s="82"/>
      <c r="H21" s="128"/>
      <c r="I21" s="90"/>
      <c r="J21" s="213"/>
      <c r="K21" s="221"/>
    </row>
    <row r="22" spans="1:11" x14ac:dyDescent="0.25">
      <c r="A22" s="273"/>
      <c r="B22" s="82"/>
      <c r="C22" s="124"/>
      <c r="D22" s="82"/>
      <c r="E22" s="82"/>
      <c r="F22" s="82"/>
      <c r="G22" s="82"/>
      <c r="H22" s="128"/>
      <c r="I22" s="90"/>
      <c r="J22" s="213"/>
      <c r="K22" s="221"/>
    </row>
    <row r="23" spans="1:11" x14ac:dyDescent="0.25">
      <c r="A23" s="273"/>
      <c r="B23" s="82"/>
      <c r="C23" s="124"/>
      <c r="D23" s="82"/>
      <c r="E23" s="82"/>
      <c r="F23" s="82"/>
      <c r="G23" s="82"/>
      <c r="H23" s="128"/>
      <c r="I23" s="90"/>
      <c r="J23" s="213"/>
      <c r="K23" s="221"/>
    </row>
    <row r="24" spans="1:11" x14ac:dyDescent="0.25">
      <c r="A24" s="273"/>
      <c r="B24" s="82"/>
      <c r="C24" s="124"/>
      <c r="D24" s="82"/>
      <c r="E24" s="82"/>
      <c r="F24" s="82"/>
      <c r="G24" s="82"/>
      <c r="H24" s="128"/>
      <c r="I24" s="90"/>
      <c r="J24" s="213"/>
      <c r="K24" s="221"/>
    </row>
    <row r="25" spans="1:11" x14ac:dyDescent="0.25">
      <c r="A25" s="273">
        <v>46113</v>
      </c>
      <c r="B25" s="82" t="s">
        <v>75</v>
      </c>
      <c r="C25" s="124" t="s">
        <v>118</v>
      </c>
      <c r="D25" s="82">
        <v>300</v>
      </c>
      <c r="E25" s="82"/>
      <c r="F25" s="82"/>
      <c r="G25" s="82"/>
      <c r="H25" s="128" t="s">
        <v>66</v>
      </c>
      <c r="I25" s="90"/>
      <c r="J25" s="213"/>
      <c r="K25" s="221"/>
    </row>
    <row r="26" spans="1:11" x14ac:dyDescent="0.25">
      <c r="A26" s="273">
        <v>46113</v>
      </c>
      <c r="B26" s="82" t="s">
        <v>118</v>
      </c>
      <c r="C26" s="124" t="s">
        <v>358</v>
      </c>
      <c r="D26" s="82">
        <v>1450</v>
      </c>
      <c r="E26" s="82"/>
      <c r="F26" s="82"/>
      <c r="G26" s="82"/>
      <c r="H26" s="123">
        <v>118679</v>
      </c>
      <c r="I26" s="90" t="s">
        <v>359</v>
      </c>
      <c r="J26" s="213"/>
      <c r="K26" s="221"/>
    </row>
    <row r="27" spans="1:11" x14ac:dyDescent="0.25">
      <c r="A27" s="273">
        <v>46115</v>
      </c>
      <c r="B27" s="82" t="s">
        <v>358</v>
      </c>
      <c r="C27" s="124" t="s">
        <v>9</v>
      </c>
      <c r="D27" s="82">
        <v>970</v>
      </c>
      <c r="E27" s="82"/>
      <c r="F27" s="82"/>
      <c r="G27" s="82"/>
      <c r="H27" s="83" t="s">
        <v>66</v>
      </c>
      <c r="I27" s="90"/>
      <c r="J27" s="213"/>
      <c r="K27" s="221"/>
    </row>
    <row r="28" spans="1:11" x14ac:dyDescent="0.25">
      <c r="A28" s="273">
        <v>46119</v>
      </c>
      <c r="B28" s="227" t="s">
        <v>9</v>
      </c>
      <c r="C28" s="82" t="s">
        <v>300</v>
      </c>
      <c r="D28" s="82">
        <v>420</v>
      </c>
      <c r="E28" s="82"/>
      <c r="F28" s="82">
        <v>34.590000000000003</v>
      </c>
      <c r="G28" s="82"/>
      <c r="H28" s="123">
        <v>619143</v>
      </c>
      <c r="I28" s="90" t="s">
        <v>301</v>
      </c>
      <c r="J28" s="213"/>
      <c r="K28" s="221"/>
    </row>
    <row r="29" spans="1:11" x14ac:dyDescent="0.25">
      <c r="A29" s="273">
        <v>46120</v>
      </c>
      <c r="B29" s="227" t="s">
        <v>300</v>
      </c>
      <c r="C29" s="82" t="s">
        <v>118</v>
      </c>
      <c r="D29" s="82">
        <v>85</v>
      </c>
      <c r="E29" s="82"/>
      <c r="F29" s="82"/>
      <c r="G29" s="82"/>
      <c r="H29" s="128" t="s">
        <v>66</v>
      </c>
      <c r="I29" s="90"/>
      <c r="J29" s="213"/>
      <c r="K29" s="221"/>
    </row>
    <row r="30" spans="1:11" x14ac:dyDescent="0.25">
      <c r="A30" s="273">
        <v>46120</v>
      </c>
      <c r="B30" s="82" t="s">
        <v>118</v>
      </c>
      <c r="C30" s="124" t="s">
        <v>146</v>
      </c>
      <c r="D30" s="82">
        <v>1430</v>
      </c>
      <c r="E30" s="82"/>
      <c r="F30" s="82"/>
      <c r="G30" s="82"/>
      <c r="H30" s="123">
        <v>119935</v>
      </c>
      <c r="I30" s="90" t="s">
        <v>147</v>
      </c>
      <c r="J30" s="213"/>
      <c r="K30" s="221"/>
    </row>
    <row r="31" spans="1:11" x14ac:dyDescent="0.25">
      <c r="A31" s="273">
        <v>46122</v>
      </c>
      <c r="B31" s="82" t="s">
        <v>146</v>
      </c>
      <c r="C31" s="124" t="s">
        <v>9</v>
      </c>
      <c r="D31" s="82">
        <v>940</v>
      </c>
      <c r="E31" s="82"/>
      <c r="F31" s="82"/>
      <c r="G31" s="82"/>
      <c r="H31" s="83" t="s">
        <v>66</v>
      </c>
      <c r="I31" s="90"/>
      <c r="J31" s="213"/>
      <c r="K31" s="221"/>
    </row>
    <row r="32" spans="1:11" x14ac:dyDescent="0.25">
      <c r="A32" s="273">
        <v>46126</v>
      </c>
      <c r="B32" s="82" t="s">
        <v>9</v>
      </c>
      <c r="C32" s="124" t="s">
        <v>351</v>
      </c>
      <c r="D32" s="82">
        <v>1010</v>
      </c>
      <c r="E32" s="82"/>
      <c r="F32" s="82">
        <v>34.19</v>
      </c>
      <c r="G32" s="82"/>
      <c r="H32" s="90">
        <v>619649</v>
      </c>
      <c r="I32" s="90" t="s">
        <v>257</v>
      </c>
      <c r="J32" s="213"/>
      <c r="K32" s="221"/>
    </row>
    <row r="33" spans="1:11" x14ac:dyDescent="0.25">
      <c r="A33" s="273">
        <v>46127</v>
      </c>
      <c r="B33" s="82" t="s">
        <v>351</v>
      </c>
      <c r="C33" s="124" t="s">
        <v>227</v>
      </c>
      <c r="D33" s="82">
        <v>230</v>
      </c>
      <c r="E33" s="82"/>
      <c r="F33" s="82"/>
      <c r="G33" s="82"/>
      <c r="H33" s="83" t="s">
        <v>66</v>
      </c>
      <c r="I33" s="90"/>
      <c r="J33" s="213"/>
      <c r="K33" s="221"/>
    </row>
    <row r="34" spans="1:11" x14ac:dyDescent="0.25">
      <c r="A34" s="273">
        <v>46128</v>
      </c>
      <c r="B34" s="82" t="s">
        <v>296</v>
      </c>
      <c r="C34" s="124" t="s">
        <v>9</v>
      </c>
      <c r="D34" s="82">
        <v>820</v>
      </c>
      <c r="E34" s="82"/>
      <c r="F34" s="82">
        <v>34.799999999999997</v>
      </c>
      <c r="G34" s="82"/>
      <c r="H34" s="90">
        <v>189593</v>
      </c>
      <c r="I34" s="90" t="s">
        <v>304</v>
      </c>
      <c r="J34" s="213"/>
      <c r="K34" s="221"/>
    </row>
    <row r="35" spans="1:11" x14ac:dyDescent="0.25">
      <c r="A35" s="273">
        <v>46130</v>
      </c>
      <c r="B35" s="82" t="s">
        <v>9</v>
      </c>
      <c r="C35" s="124" t="s">
        <v>351</v>
      </c>
      <c r="D35" s="82">
        <v>1010</v>
      </c>
      <c r="E35" s="82"/>
      <c r="F35" s="82">
        <v>34.58</v>
      </c>
      <c r="G35" s="82"/>
      <c r="H35" s="90">
        <v>619979</v>
      </c>
      <c r="I35" s="90" t="s">
        <v>257</v>
      </c>
      <c r="J35" s="213"/>
      <c r="K35" s="221"/>
    </row>
    <row r="36" spans="1:11" x14ac:dyDescent="0.25">
      <c r="A36" s="273">
        <v>46133</v>
      </c>
      <c r="B36" s="82" t="s">
        <v>351</v>
      </c>
      <c r="C36" s="124" t="s">
        <v>227</v>
      </c>
      <c r="D36" s="82">
        <v>240</v>
      </c>
      <c r="E36" s="82"/>
      <c r="F36" s="82"/>
      <c r="G36" s="82"/>
      <c r="H36" s="83" t="s">
        <v>66</v>
      </c>
      <c r="I36" s="90"/>
      <c r="J36" s="213"/>
      <c r="K36" s="221"/>
    </row>
    <row r="37" spans="1:11" x14ac:dyDescent="0.25">
      <c r="A37" s="273">
        <v>46134</v>
      </c>
      <c r="B37" s="82" t="s">
        <v>296</v>
      </c>
      <c r="C37" s="124" t="s">
        <v>9</v>
      </c>
      <c r="D37" s="82">
        <v>820</v>
      </c>
      <c r="E37" s="82"/>
      <c r="F37" s="82">
        <v>34.1</v>
      </c>
      <c r="G37" s="82"/>
      <c r="H37" s="90">
        <v>189808</v>
      </c>
      <c r="I37" s="90" t="s">
        <v>304</v>
      </c>
      <c r="J37" s="213"/>
      <c r="K37" s="221"/>
    </row>
    <row r="38" spans="1:11" x14ac:dyDescent="0.25">
      <c r="A38" s="273">
        <v>46135</v>
      </c>
      <c r="B38" s="82" t="s">
        <v>9</v>
      </c>
      <c r="C38" s="124" t="s">
        <v>85</v>
      </c>
      <c r="D38" s="82">
        <v>380</v>
      </c>
      <c r="E38" s="82"/>
      <c r="F38" s="82"/>
      <c r="G38" s="82"/>
      <c r="H38" s="123">
        <v>767727</v>
      </c>
      <c r="I38" s="90"/>
      <c r="J38" s="213"/>
      <c r="K38" s="221"/>
    </row>
    <row r="39" spans="1:11" x14ac:dyDescent="0.25">
      <c r="A39" s="273">
        <v>46136</v>
      </c>
      <c r="B39" s="82" t="s">
        <v>442</v>
      </c>
      <c r="C39" s="124" t="s">
        <v>220</v>
      </c>
      <c r="D39" s="82">
        <v>200</v>
      </c>
      <c r="E39" s="82"/>
      <c r="F39" s="82"/>
      <c r="G39" s="82"/>
      <c r="H39" s="128" t="s">
        <v>66</v>
      </c>
      <c r="I39" s="90"/>
      <c r="J39" s="213"/>
      <c r="K39" s="221"/>
    </row>
    <row r="40" spans="1:11" x14ac:dyDescent="0.25">
      <c r="A40" s="273">
        <v>46136</v>
      </c>
      <c r="B40" s="82" t="s">
        <v>220</v>
      </c>
      <c r="C40" s="124" t="s">
        <v>10</v>
      </c>
      <c r="D40" s="82">
        <v>300</v>
      </c>
      <c r="E40" s="82"/>
      <c r="F40" s="82"/>
      <c r="G40" s="82"/>
      <c r="H40" s="123">
        <v>5292</v>
      </c>
      <c r="I40" s="90" t="s">
        <v>102</v>
      </c>
      <c r="J40" s="213"/>
      <c r="K40" s="221"/>
    </row>
    <row r="41" spans="1:11" x14ac:dyDescent="0.25">
      <c r="A41" s="273">
        <v>46137</v>
      </c>
      <c r="B41" s="82" t="s">
        <v>10</v>
      </c>
      <c r="C41" s="124" t="s">
        <v>9</v>
      </c>
      <c r="D41" s="82">
        <v>500</v>
      </c>
      <c r="E41" s="82"/>
      <c r="F41" s="82">
        <v>34.880000000000003</v>
      </c>
      <c r="G41" s="82"/>
      <c r="H41" s="123">
        <v>1067076</v>
      </c>
      <c r="I41" s="90" t="s">
        <v>176</v>
      </c>
      <c r="J41" s="213"/>
      <c r="K41" s="221"/>
    </row>
    <row r="42" spans="1:11" x14ac:dyDescent="0.25">
      <c r="A42" s="273">
        <v>46140</v>
      </c>
      <c r="B42" s="82" t="s">
        <v>9</v>
      </c>
      <c r="C42" s="124" t="s">
        <v>10</v>
      </c>
      <c r="D42" s="82">
        <v>500</v>
      </c>
      <c r="E42" s="82"/>
      <c r="F42" s="82"/>
      <c r="G42" s="82"/>
      <c r="H42" s="90">
        <v>620414</v>
      </c>
      <c r="I42" s="90"/>
      <c r="J42" s="213"/>
      <c r="K42" s="221"/>
    </row>
    <row r="43" spans="1:11" x14ac:dyDescent="0.25">
      <c r="A43" s="273">
        <v>46140</v>
      </c>
      <c r="B43" s="82" t="s">
        <v>10</v>
      </c>
      <c r="C43" s="124" t="s">
        <v>229</v>
      </c>
      <c r="D43" s="82">
        <v>10</v>
      </c>
      <c r="E43" s="82"/>
      <c r="F43" s="82"/>
      <c r="G43" s="82"/>
      <c r="H43" s="128" t="s">
        <v>66</v>
      </c>
      <c r="I43" s="90"/>
      <c r="J43" s="213"/>
      <c r="K43" s="221"/>
    </row>
    <row r="44" spans="1:11" x14ac:dyDescent="0.25">
      <c r="A44" s="273">
        <v>46140</v>
      </c>
      <c r="B44" s="82" t="s">
        <v>229</v>
      </c>
      <c r="C44" s="124" t="s">
        <v>10</v>
      </c>
      <c r="D44" s="82">
        <v>10</v>
      </c>
      <c r="E44" s="82"/>
      <c r="F44" s="82"/>
      <c r="G44" s="82"/>
      <c r="H44" s="123">
        <v>1067559</v>
      </c>
      <c r="I44" s="90" t="s">
        <v>360</v>
      </c>
      <c r="J44" s="213"/>
      <c r="K44" s="221"/>
    </row>
    <row r="45" spans="1:11" x14ac:dyDescent="0.25">
      <c r="A45" s="273">
        <v>46141</v>
      </c>
      <c r="B45" s="82" t="s">
        <v>10</v>
      </c>
      <c r="C45" s="124" t="s">
        <v>229</v>
      </c>
      <c r="D45" s="82">
        <v>10</v>
      </c>
      <c r="E45" s="82"/>
      <c r="F45" s="82"/>
      <c r="G45" s="82"/>
      <c r="H45" s="128" t="s">
        <v>66</v>
      </c>
      <c r="I45" s="90"/>
      <c r="J45" s="213"/>
      <c r="K45" s="221"/>
    </row>
    <row r="46" spans="1:11" x14ac:dyDescent="0.25">
      <c r="A46" s="273">
        <v>46141</v>
      </c>
      <c r="B46" s="82" t="s">
        <v>229</v>
      </c>
      <c r="C46" s="124" t="s">
        <v>10</v>
      </c>
      <c r="D46" s="82">
        <v>10</v>
      </c>
      <c r="E46" s="82"/>
      <c r="F46" s="82"/>
      <c r="G46" s="82"/>
      <c r="H46" s="123">
        <v>1067641</v>
      </c>
      <c r="I46" s="90" t="s">
        <v>360</v>
      </c>
      <c r="J46" s="213"/>
      <c r="K46" s="221"/>
    </row>
    <row r="47" spans="1:11" x14ac:dyDescent="0.25">
      <c r="A47" s="273">
        <v>46141</v>
      </c>
      <c r="B47" s="82" t="s">
        <v>10</v>
      </c>
      <c r="C47" s="124" t="s">
        <v>9</v>
      </c>
      <c r="D47" s="82">
        <v>500</v>
      </c>
      <c r="E47" s="82"/>
      <c r="F47" s="82"/>
      <c r="G47" s="82"/>
      <c r="H47" s="123">
        <v>1067674</v>
      </c>
      <c r="I47" s="90" t="s">
        <v>176</v>
      </c>
      <c r="J47" s="213"/>
      <c r="K47" s="221"/>
    </row>
    <row r="48" spans="1:11" x14ac:dyDescent="0.25">
      <c r="A48" s="273">
        <v>46142</v>
      </c>
      <c r="B48" s="82" t="s">
        <v>9</v>
      </c>
      <c r="C48" s="124" t="s">
        <v>457</v>
      </c>
      <c r="D48" s="82">
        <v>130</v>
      </c>
      <c r="E48" s="82"/>
      <c r="F48" s="82" t="s">
        <v>458</v>
      </c>
      <c r="G48" s="82" t="s">
        <v>459</v>
      </c>
      <c r="H48" s="83" t="s">
        <v>460</v>
      </c>
      <c r="I48" s="90"/>
      <c r="J48" s="213"/>
      <c r="K48" s="221"/>
    </row>
    <row r="49" spans="1:12" x14ac:dyDescent="0.25">
      <c r="A49" s="273">
        <v>46142</v>
      </c>
      <c r="B49" s="82" t="s">
        <v>457</v>
      </c>
      <c r="C49" s="124" t="s">
        <v>328</v>
      </c>
      <c r="D49" s="82">
        <v>130</v>
      </c>
      <c r="E49" s="82"/>
      <c r="F49" s="82"/>
      <c r="G49" s="82"/>
      <c r="H49" s="83" t="s">
        <v>66</v>
      </c>
      <c r="I49" s="90"/>
      <c r="J49" s="213"/>
      <c r="K49" s="221"/>
    </row>
    <row r="50" spans="1:12" x14ac:dyDescent="0.25">
      <c r="A50" s="273"/>
      <c r="B50" s="82"/>
      <c r="C50" s="124"/>
      <c r="D50" s="151" t="s">
        <v>453</v>
      </c>
      <c r="E50" s="82"/>
      <c r="F50" s="82"/>
      <c r="G50" s="82"/>
      <c r="H50" s="83"/>
      <c r="I50" s="90"/>
      <c r="J50" s="213"/>
      <c r="K50" s="221"/>
    </row>
    <row r="51" spans="1:12" x14ac:dyDescent="0.25">
      <c r="A51" s="5"/>
      <c r="B51" s="6"/>
      <c r="C51" s="6"/>
      <c r="D51" s="6"/>
      <c r="E51" s="6"/>
      <c r="F51" s="6"/>
      <c r="G51" s="6"/>
      <c r="H51" s="7"/>
      <c r="I51" s="7"/>
      <c r="J51" s="140"/>
      <c r="K51" s="218"/>
    </row>
    <row r="52" spans="1:12" x14ac:dyDescent="0.25">
      <c r="D52" s="17">
        <f>SUM(D3:D51)</f>
        <v>12405</v>
      </c>
      <c r="E52" s="13"/>
      <c r="F52" s="175">
        <f>AVERAGE(F3:F50)</f>
        <v>34.523333333333333</v>
      </c>
      <c r="G52" s="13"/>
      <c r="J52" s="139">
        <f>SUM(J3:J51)</f>
        <v>0</v>
      </c>
      <c r="K52" s="219">
        <f>SUM(K3:K51)</f>
        <v>0</v>
      </c>
      <c r="L52">
        <f>+K52/D52</f>
        <v>0</v>
      </c>
    </row>
    <row r="54" spans="1:12" x14ac:dyDescent="0.25">
      <c r="B54">
        <v>-2000</v>
      </c>
      <c r="D54" s="11"/>
      <c r="E54" s="11"/>
      <c r="F54" s="247"/>
      <c r="G54" s="11"/>
      <c r="K54" s="4"/>
    </row>
    <row r="55" spans="1:12" x14ac:dyDescent="0.25">
      <c r="B55">
        <v>480</v>
      </c>
      <c r="D55" s="11"/>
      <c r="E55" s="11"/>
      <c r="F55" s="247"/>
      <c r="G55" s="11"/>
      <c r="K55" s="4"/>
    </row>
    <row r="56" spans="1:12" x14ac:dyDescent="0.25">
      <c r="B56">
        <v>-500</v>
      </c>
      <c r="D56" s="11"/>
      <c r="E56" s="11"/>
      <c r="F56" s="247"/>
      <c r="G56" s="11"/>
      <c r="K56" s="4"/>
    </row>
    <row r="57" spans="1:12" x14ac:dyDescent="0.25">
      <c r="B57">
        <v>480</v>
      </c>
      <c r="C57" t="s">
        <v>12</v>
      </c>
      <c r="D57" s="11">
        <v>44105</v>
      </c>
      <c r="E57" s="11"/>
      <c r="F57" s="247"/>
      <c r="G57" s="11"/>
      <c r="K57" s="4"/>
    </row>
    <row r="58" spans="1:12" x14ac:dyDescent="0.25">
      <c r="B58">
        <v>-500</v>
      </c>
      <c r="C58" t="s">
        <v>13</v>
      </c>
      <c r="D58" s="11">
        <v>44105</v>
      </c>
      <c r="E58" s="11"/>
      <c r="F58" s="247"/>
      <c r="G58" s="11"/>
      <c r="K58" s="4"/>
    </row>
    <row r="59" spans="1:12" x14ac:dyDescent="0.25">
      <c r="B59">
        <v>480</v>
      </c>
      <c r="C59" t="s">
        <v>12</v>
      </c>
      <c r="D59" s="11">
        <v>44128</v>
      </c>
      <c r="E59" s="11"/>
      <c r="F59" s="247"/>
      <c r="G59" s="11"/>
      <c r="K59" s="4"/>
    </row>
    <row r="60" spans="1:12" x14ac:dyDescent="0.25">
      <c r="B60">
        <v>-500</v>
      </c>
      <c r="C60" t="s">
        <v>13</v>
      </c>
      <c r="D60" s="11">
        <v>44128</v>
      </c>
      <c r="E60" s="11"/>
      <c r="F60" s="247"/>
      <c r="G60" s="11"/>
      <c r="K60" s="4"/>
    </row>
    <row r="61" spans="1:12" x14ac:dyDescent="0.25">
      <c r="B61">
        <v>740</v>
      </c>
      <c r="C61" t="s">
        <v>74</v>
      </c>
      <c r="D61" s="11">
        <v>44184</v>
      </c>
      <c r="E61" s="11"/>
      <c r="F61" s="247"/>
      <c r="G61" s="11"/>
      <c r="K61" s="4"/>
    </row>
    <row r="62" spans="1:12" x14ac:dyDescent="0.25">
      <c r="B62">
        <v>-700</v>
      </c>
      <c r="C62" t="s">
        <v>13</v>
      </c>
      <c r="D62" s="11">
        <v>44184</v>
      </c>
      <c r="E62" s="11"/>
      <c r="F62" s="247"/>
      <c r="G62" s="11"/>
      <c r="K62" s="4"/>
    </row>
    <row r="63" spans="1:12" x14ac:dyDescent="0.25">
      <c r="B63">
        <v>1000</v>
      </c>
      <c r="C63" t="s">
        <v>142</v>
      </c>
      <c r="D63" s="11">
        <v>44188</v>
      </c>
      <c r="E63" s="11"/>
      <c r="F63" s="247"/>
      <c r="G63" s="11"/>
      <c r="K63" s="4"/>
    </row>
    <row r="64" spans="1:12" x14ac:dyDescent="0.25">
      <c r="B64">
        <v>-1000</v>
      </c>
      <c r="C64" t="s">
        <v>13</v>
      </c>
      <c r="D64" s="11"/>
      <c r="E64" s="11"/>
      <c r="F64" s="247"/>
      <c r="G64" s="11"/>
      <c r="K64" s="4"/>
    </row>
    <row r="65" spans="2:11" x14ac:dyDescent="0.25">
      <c r="B65">
        <v>790</v>
      </c>
      <c r="C65" t="s">
        <v>12</v>
      </c>
      <c r="D65" s="11"/>
      <c r="E65" s="11"/>
      <c r="F65" s="247"/>
      <c r="G65" s="11"/>
      <c r="K65" s="4"/>
    </row>
    <row r="66" spans="2:11" x14ac:dyDescent="0.25">
      <c r="B66">
        <v>-800</v>
      </c>
      <c r="C66" t="s">
        <v>13</v>
      </c>
      <c r="D66" s="11"/>
      <c r="E66" s="11"/>
      <c r="F66" s="247"/>
      <c r="G66" s="11"/>
      <c r="K66" s="4"/>
    </row>
    <row r="67" spans="2:11" x14ac:dyDescent="0.25">
      <c r="B67">
        <v>315</v>
      </c>
      <c r="C67" t="s">
        <v>12</v>
      </c>
      <c r="D67" s="11"/>
      <c r="E67" s="11"/>
      <c r="F67" s="247"/>
      <c r="G67" s="11"/>
      <c r="K67" s="4"/>
    </row>
    <row r="68" spans="2:11" x14ac:dyDescent="0.25">
      <c r="B68">
        <v>-300</v>
      </c>
      <c r="C68" t="s">
        <v>13</v>
      </c>
      <c r="D68" s="11"/>
      <c r="E68" s="11"/>
      <c r="F68" s="247"/>
      <c r="G68" s="11"/>
      <c r="K68" s="4"/>
    </row>
    <row r="69" spans="2:11" x14ac:dyDescent="0.25">
      <c r="B69">
        <v>260</v>
      </c>
      <c r="C69" t="s">
        <v>12</v>
      </c>
      <c r="D69" s="11">
        <v>44218</v>
      </c>
      <c r="E69" s="11"/>
      <c r="F69" s="247"/>
      <c r="G69" s="11"/>
      <c r="K69" s="4"/>
    </row>
    <row r="70" spans="2:11" x14ac:dyDescent="0.25">
      <c r="B70">
        <v>-300</v>
      </c>
      <c r="C70" t="s">
        <v>13</v>
      </c>
      <c r="D70" s="11"/>
      <c r="E70" s="11"/>
      <c r="F70" s="247"/>
      <c r="G70" s="11"/>
      <c r="K70" s="4"/>
    </row>
    <row r="71" spans="2:11" x14ac:dyDescent="0.25">
      <c r="B71">
        <v>400</v>
      </c>
      <c r="C71" t="s">
        <v>12</v>
      </c>
      <c r="D71" s="11"/>
      <c r="E71" s="11"/>
      <c r="F71" s="247"/>
      <c r="G71" s="11"/>
      <c r="K71" s="4"/>
    </row>
    <row r="72" spans="2:11" x14ac:dyDescent="0.25">
      <c r="B72">
        <v>-400</v>
      </c>
      <c r="C72" t="s">
        <v>13</v>
      </c>
      <c r="D72" s="11"/>
      <c r="E72" s="11"/>
      <c r="F72" s="247"/>
      <c r="G72" s="11"/>
      <c r="K72" s="4"/>
    </row>
    <row r="73" spans="2:11" x14ac:dyDescent="0.25">
      <c r="B73">
        <v>375</v>
      </c>
      <c r="C73" t="s">
        <v>74</v>
      </c>
      <c r="D73" s="11"/>
      <c r="E73" s="11"/>
      <c r="F73" s="247"/>
      <c r="G73" s="11"/>
      <c r="K73" s="4"/>
    </row>
    <row r="74" spans="2:11" x14ac:dyDescent="0.25">
      <c r="B74">
        <v>-400</v>
      </c>
      <c r="C74" t="s">
        <v>13</v>
      </c>
      <c r="D74" s="11"/>
      <c r="E74" s="11"/>
      <c r="F74" s="247"/>
      <c r="G74" s="11"/>
      <c r="K74" s="4"/>
    </row>
    <row r="75" spans="2:11" x14ac:dyDescent="0.25">
      <c r="B75">
        <v>500</v>
      </c>
      <c r="C75" t="s">
        <v>12</v>
      </c>
      <c r="D75" s="11">
        <v>44268</v>
      </c>
      <c r="E75" s="11"/>
      <c r="F75" s="247"/>
      <c r="G75" s="11"/>
      <c r="K75" s="4"/>
    </row>
    <row r="76" spans="2:11" x14ac:dyDescent="0.25">
      <c r="B76">
        <v>-500</v>
      </c>
      <c r="C76" t="s">
        <v>13</v>
      </c>
      <c r="D76" s="11">
        <v>44268</v>
      </c>
      <c r="E76" s="11"/>
      <c r="F76" s="247"/>
      <c r="G76" s="11"/>
      <c r="K76" s="4"/>
    </row>
    <row r="77" spans="2:11" x14ac:dyDescent="0.25">
      <c r="B77">
        <v>600</v>
      </c>
      <c r="C77" t="s">
        <v>12</v>
      </c>
      <c r="D77" s="11">
        <v>44284</v>
      </c>
      <c r="E77" s="11"/>
      <c r="F77" s="247"/>
      <c r="G77" s="11"/>
      <c r="K77" s="4"/>
    </row>
    <row r="78" spans="2:11" x14ac:dyDescent="0.25">
      <c r="B78">
        <v>-600</v>
      </c>
      <c r="C78" t="s">
        <v>13</v>
      </c>
      <c r="D78" s="11">
        <v>44284</v>
      </c>
      <c r="E78" s="11"/>
      <c r="F78" s="247"/>
      <c r="G78" s="11"/>
      <c r="K78" s="4"/>
    </row>
    <row r="79" spans="2:11" x14ac:dyDescent="0.25">
      <c r="B79">
        <v>670</v>
      </c>
      <c r="C79" t="s">
        <v>12</v>
      </c>
      <c r="D79" s="11">
        <v>44310</v>
      </c>
      <c r="E79" s="11"/>
      <c r="F79" s="247"/>
      <c r="G79" s="11"/>
      <c r="K79" s="4"/>
    </row>
    <row r="80" spans="2:11" x14ac:dyDescent="0.25">
      <c r="B80">
        <v>-600</v>
      </c>
      <c r="C80" t="s">
        <v>13</v>
      </c>
      <c r="D80" s="11">
        <v>44310</v>
      </c>
      <c r="E80" s="11"/>
      <c r="F80" s="247"/>
      <c r="G80" s="11"/>
      <c r="K80" s="4"/>
    </row>
    <row r="81" spans="2:11" x14ac:dyDescent="0.25">
      <c r="B81">
        <v>1325</v>
      </c>
      <c r="C81" t="s">
        <v>12</v>
      </c>
      <c r="D81" s="11"/>
      <c r="E81" s="11"/>
      <c r="F81" s="247"/>
      <c r="G81" s="11"/>
      <c r="K81" s="4"/>
    </row>
    <row r="82" spans="2:11" x14ac:dyDescent="0.25">
      <c r="B82">
        <v>-2000</v>
      </c>
      <c r="C82" t="s">
        <v>13</v>
      </c>
      <c r="D82" s="11"/>
      <c r="E82" s="11"/>
      <c r="F82" s="247"/>
      <c r="G82" s="11"/>
      <c r="K82" s="4"/>
    </row>
    <row r="83" spans="2:11" x14ac:dyDescent="0.25">
      <c r="B83">
        <v>3025</v>
      </c>
      <c r="C83" t="s">
        <v>12</v>
      </c>
      <c r="D83" s="11">
        <v>44351</v>
      </c>
      <c r="E83" s="11"/>
      <c r="F83" s="247"/>
      <c r="G83" s="11"/>
      <c r="K83" s="4"/>
    </row>
    <row r="84" spans="2:11" x14ac:dyDescent="0.25">
      <c r="B84">
        <v>-3340</v>
      </c>
      <c r="C84" t="s">
        <v>13</v>
      </c>
      <c r="D84" s="11">
        <v>44351</v>
      </c>
      <c r="E84" s="11"/>
      <c r="F84" s="247"/>
      <c r="G84" s="11"/>
      <c r="K84" s="4"/>
    </row>
    <row r="85" spans="2:11" x14ac:dyDescent="0.25">
      <c r="B85">
        <v>2550</v>
      </c>
      <c r="C85" t="s">
        <v>74</v>
      </c>
      <c r="D85" s="11"/>
      <c r="E85" s="11"/>
      <c r="F85" s="247"/>
      <c r="G85" s="11"/>
      <c r="K85" s="4"/>
    </row>
    <row r="86" spans="2:11" x14ac:dyDescent="0.25">
      <c r="B86">
        <v>-2600</v>
      </c>
      <c r="C86" t="s">
        <v>93</v>
      </c>
      <c r="D86" s="11">
        <v>44358</v>
      </c>
      <c r="E86" s="11"/>
      <c r="F86" s="247"/>
      <c r="G86" s="11"/>
      <c r="K86" s="4"/>
    </row>
    <row r="87" spans="2:11" x14ac:dyDescent="0.25">
      <c r="B87">
        <v>1900</v>
      </c>
      <c r="C87" t="s">
        <v>12</v>
      </c>
      <c r="D87" s="11">
        <v>44370</v>
      </c>
      <c r="E87" s="11"/>
      <c r="F87" s="247"/>
      <c r="G87" s="11"/>
      <c r="K87" s="4"/>
    </row>
    <row r="88" spans="2:11" x14ac:dyDescent="0.25">
      <c r="B88">
        <v>-1900</v>
      </c>
      <c r="C88" t="s">
        <v>13</v>
      </c>
      <c r="D88" s="11"/>
      <c r="E88" s="11"/>
      <c r="F88" s="247"/>
      <c r="G88" s="11"/>
      <c r="K88" s="4"/>
    </row>
    <row r="89" spans="2:11" x14ac:dyDescent="0.25">
      <c r="B89">
        <v>750</v>
      </c>
      <c r="C89" t="s">
        <v>12</v>
      </c>
      <c r="D89" s="11">
        <v>44380</v>
      </c>
      <c r="E89" s="11"/>
      <c r="F89" s="247"/>
      <c r="G89" s="11"/>
      <c r="K89" s="4"/>
    </row>
    <row r="90" spans="2:11" x14ac:dyDescent="0.25">
      <c r="B90">
        <v>684</v>
      </c>
      <c r="C90" t="s">
        <v>12</v>
      </c>
      <c r="D90" s="11">
        <v>44410</v>
      </c>
      <c r="E90" s="11"/>
      <c r="F90" s="247"/>
      <c r="G90" s="11"/>
      <c r="K90" s="4"/>
    </row>
    <row r="91" spans="2:11" x14ac:dyDescent="0.25">
      <c r="B91">
        <v>-700</v>
      </c>
      <c r="C91" t="s">
        <v>13</v>
      </c>
      <c r="D91" s="11">
        <v>44410</v>
      </c>
      <c r="E91" s="11"/>
      <c r="F91" s="247"/>
      <c r="G91" s="11"/>
      <c r="K91" s="4"/>
    </row>
    <row r="92" spans="2:11" x14ac:dyDescent="0.25">
      <c r="B92">
        <v>620</v>
      </c>
      <c r="C92" t="s">
        <v>12</v>
      </c>
      <c r="D92" s="11">
        <v>44417</v>
      </c>
      <c r="E92" s="11"/>
      <c r="F92" s="247"/>
      <c r="G92" s="11"/>
      <c r="K92" s="4"/>
    </row>
    <row r="93" spans="2:11" x14ac:dyDescent="0.25">
      <c r="B93">
        <v>-400</v>
      </c>
      <c r="C93" t="s">
        <v>13</v>
      </c>
      <c r="D93" s="11">
        <v>44417</v>
      </c>
      <c r="E93" s="11"/>
      <c r="F93" s="247"/>
      <c r="G93" s="11"/>
      <c r="K93" s="4"/>
    </row>
    <row r="94" spans="2:11" x14ac:dyDescent="0.25">
      <c r="B94">
        <v>220</v>
      </c>
      <c r="C94" t="s">
        <v>12</v>
      </c>
      <c r="D94" s="11">
        <v>44473</v>
      </c>
      <c r="E94" s="11"/>
      <c r="F94" s="247"/>
      <c r="G94" s="11"/>
      <c r="K94" s="4"/>
    </row>
    <row r="95" spans="2:11" x14ac:dyDescent="0.25">
      <c r="B95">
        <v>-200</v>
      </c>
      <c r="C95" t="s">
        <v>13</v>
      </c>
      <c r="D95" s="11">
        <v>44473</v>
      </c>
      <c r="E95" s="11"/>
      <c r="F95" s="247"/>
      <c r="G95" s="11"/>
      <c r="K95" s="4"/>
    </row>
    <row r="96" spans="2:11" x14ac:dyDescent="0.25">
      <c r="B96">
        <v>1260</v>
      </c>
      <c r="C96" t="s">
        <v>12</v>
      </c>
      <c r="D96" s="11">
        <v>44475</v>
      </c>
      <c r="E96" s="11"/>
      <c r="F96" s="247"/>
      <c r="G96" s="11"/>
      <c r="K96" s="4"/>
    </row>
    <row r="97" spans="2:11" x14ac:dyDescent="0.25">
      <c r="B97">
        <v>-1300</v>
      </c>
      <c r="C97" t="s">
        <v>13</v>
      </c>
      <c r="D97" s="11">
        <v>44475</v>
      </c>
      <c r="E97" s="11"/>
      <c r="F97" s="247"/>
      <c r="G97" s="11"/>
      <c r="K97" s="4"/>
    </row>
    <row r="98" spans="2:11" x14ac:dyDescent="0.25">
      <c r="B98">
        <v>1700</v>
      </c>
      <c r="C98" t="s">
        <v>12</v>
      </c>
      <c r="D98" s="11">
        <v>44477</v>
      </c>
      <c r="E98" s="11"/>
      <c r="F98" s="247"/>
      <c r="G98" s="11"/>
      <c r="K98" s="4"/>
    </row>
    <row r="99" spans="2:11" x14ac:dyDescent="0.25">
      <c r="B99">
        <v>-1700</v>
      </c>
      <c r="C99" t="s">
        <v>13</v>
      </c>
      <c r="D99" s="11"/>
      <c r="E99" s="11"/>
      <c r="F99" s="247"/>
      <c r="G99" s="11"/>
      <c r="K99" s="4"/>
    </row>
    <row r="100" spans="2:11" x14ac:dyDescent="0.25">
      <c r="B100">
        <v>1420</v>
      </c>
      <c r="C100" t="s">
        <v>12</v>
      </c>
      <c r="D100" s="11">
        <v>44491</v>
      </c>
      <c r="E100" s="11"/>
      <c r="F100" s="247"/>
      <c r="G100" s="11"/>
      <c r="K100" s="4"/>
    </row>
    <row r="101" spans="2:11" x14ac:dyDescent="0.25">
      <c r="B101">
        <v>-1420</v>
      </c>
      <c r="C101" t="s">
        <v>13</v>
      </c>
      <c r="D101" s="11">
        <v>44491</v>
      </c>
      <c r="E101" s="11"/>
      <c r="F101" s="247"/>
      <c r="G101" s="11"/>
      <c r="K101" s="4"/>
    </row>
    <row r="102" spans="2:11" x14ac:dyDescent="0.25">
      <c r="B102">
        <v>3050</v>
      </c>
      <c r="C102" t="s">
        <v>12</v>
      </c>
      <c r="D102" s="11"/>
      <c r="E102" s="11"/>
      <c r="F102" s="247"/>
      <c r="G102" s="11"/>
      <c r="K102" s="4"/>
    </row>
    <row r="103" spans="2:11" x14ac:dyDescent="0.25">
      <c r="B103">
        <v>-4000</v>
      </c>
      <c r="D103" s="11"/>
      <c r="E103" s="11"/>
      <c r="F103" s="247"/>
      <c r="G103" s="11"/>
      <c r="K103" s="4"/>
    </row>
    <row r="104" spans="2:11" x14ac:dyDescent="0.25">
      <c r="B104">
        <v>380</v>
      </c>
      <c r="C104" t="s">
        <v>12</v>
      </c>
      <c r="D104" s="11">
        <v>44517</v>
      </c>
      <c r="E104" s="11"/>
      <c r="F104" s="247"/>
      <c r="G104" s="11"/>
      <c r="K104" s="4"/>
    </row>
    <row r="105" spans="2:11" x14ac:dyDescent="0.25">
      <c r="B105">
        <v>300</v>
      </c>
      <c r="C105" t="s">
        <v>94</v>
      </c>
      <c r="D105" s="11">
        <v>44534</v>
      </c>
      <c r="E105" s="11"/>
      <c r="F105" s="247"/>
      <c r="G105" s="11"/>
      <c r="K105" s="4"/>
    </row>
    <row r="106" spans="2:11" x14ac:dyDescent="0.25">
      <c r="B106">
        <v>300</v>
      </c>
      <c r="C106" t="s">
        <v>94</v>
      </c>
      <c r="D106" s="11"/>
      <c r="E106" s="11"/>
      <c r="F106" s="247"/>
      <c r="G106" s="11"/>
      <c r="K106" s="4"/>
    </row>
    <row r="107" spans="2:11" x14ac:dyDescent="0.25">
      <c r="B107">
        <v>-300</v>
      </c>
      <c r="C107" t="s">
        <v>13</v>
      </c>
      <c r="D107" s="11"/>
      <c r="E107" s="11"/>
      <c r="F107" s="247"/>
      <c r="G107" s="11"/>
      <c r="K107" s="4"/>
    </row>
    <row r="108" spans="2:11" x14ac:dyDescent="0.25">
      <c r="B108">
        <v>360</v>
      </c>
      <c r="C108" t="s">
        <v>12</v>
      </c>
      <c r="D108" s="11">
        <v>44639</v>
      </c>
      <c r="E108" s="11"/>
      <c r="F108" s="247"/>
      <c r="G108" s="11"/>
      <c r="K108" s="4"/>
    </row>
    <row r="109" spans="2:11" x14ac:dyDescent="0.25">
      <c r="B109">
        <v>440</v>
      </c>
      <c r="C109" t="s">
        <v>12</v>
      </c>
      <c r="D109" s="11"/>
      <c r="E109" s="11"/>
      <c r="F109" s="247"/>
      <c r="G109" s="11"/>
      <c r="K109" s="4"/>
    </row>
    <row r="110" spans="2:11" x14ac:dyDescent="0.25">
      <c r="B110">
        <v>-400</v>
      </c>
      <c r="C110" t="s">
        <v>13</v>
      </c>
      <c r="D110" s="11"/>
      <c r="E110" s="11"/>
      <c r="F110" s="247"/>
      <c r="G110" s="11"/>
      <c r="K110" s="4"/>
    </row>
    <row r="111" spans="2:11" x14ac:dyDescent="0.25">
      <c r="B111">
        <v>1680</v>
      </c>
      <c r="C111" t="s">
        <v>12</v>
      </c>
      <c r="D111" s="11"/>
      <c r="E111" s="11"/>
      <c r="F111" s="247"/>
      <c r="G111" s="11"/>
      <c r="K111" s="4"/>
    </row>
    <row r="112" spans="2:11" x14ac:dyDescent="0.25">
      <c r="B112">
        <v>-1600</v>
      </c>
      <c r="C112" t="s">
        <v>13</v>
      </c>
      <c r="D112" s="11"/>
      <c r="E112" s="11"/>
      <c r="F112" s="247"/>
      <c r="G112" s="11"/>
      <c r="K112" s="4"/>
    </row>
    <row r="113" spans="2:11" x14ac:dyDescent="0.25">
      <c r="B113">
        <v>940</v>
      </c>
      <c r="C113" t="s">
        <v>12</v>
      </c>
      <c r="D113" s="11">
        <v>44658</v>
      </c>
      <c r="E113" s="11"/>
      <c r="F113" s="247"/>
      <c r="G113" s="11"/>
      <c r="K113" s="4"/>
    </row>
    <row r="114" spans="2:11" x14ac:dyDescent="0.25">
      <c r="B114">
        <v>-1100</v>
      </c>
      <c r="C114" t="s">
        <v>13</v>
      </c>
      <c r="D114" s="11">
        <v>44658</v>
      </c>
      <c r="E114" s="11"/>
      <c r="F114" s="247"/>
      <c r="G114" s="11"/>
      <c r="K114" s="4"/>
    </row>
    <row r="115" spans="2:11" x14ac:dyDescent="0.25">
      <c r="B115">
        <v>2200</v>
      </c>
      <c r="C115" t="s">
        <v>12</v>
      </c>
      <c r="D115" s="11"/>
      <c r="E115" s="11"/>
      <c r="F115" s="247"/>
      <c r="G115" s="11"/>
      <c r="K115" s="4"/>
    </row>
    <row r="116" spans="2:11" x14ac:dyDescent="0.25">
      <c r="B116">
        <v>-2200</v>
      </c>
      <c r="C116" t="s">
        <v>13</v>
      </c>
      <c r="D116" s="11"/>
      <c r="E116" s="11"/>
      <c r="F116" s="247"/>
      <c r="G116" s="11"/>
      <c r="K116" s="4"/>
    </row>
    <row r="117" spans="2:11" x14ac:dyDescent="0.25">
      <c r="B117">
        <v>680</v>
      </c>
      <c r="C117" t="s">
        <v>12</v>
      </c>
      <c r="D117" s="11">
        <v>44753</v>
      </c>
      <c r="E117" s="11"/>
      <c r="F117" s="247"/>
      <c r="G117" s="11"/>
      <c r="K117" s="4"/>
    </row>
    <row r="118" spans="2:11" x14ac:dyDescent="0.25">
      <c r="B118">
        <v>-700</v>
      </c>
      <c r="C118" t="s">
        <v>13</v>
      </c>
      <c r="D118" s="11">
        <v>44753</v>
      </c>
      <c r="E118" s="11"/>
      <c r="F118" s="247"/>
      <c r="G118" s="11"/>
      <c r="K118" s="4"/>
    </row>
    <row r="119" spans="2:11" x14ac:dyDescent="0.25">
      <c r="B119">
        <v>580</v>
      </c>
      <c r="C119" t="s">
        <v>12</v>
      </c>
      <c r="D119" s="11"/>
      <c r="E119" s="11"/>
      <c r="F119" s="247"/>
      <c r="G119" s="11"/>
      <c r="K119" s="4"/>
    </row>
    <row r="120" spans="2:11" x14ac:dyDescent="0.25">
      <c r="B120">
        <v>-600</v>
      </c>
      <c r="C120" t="s">
        <v>13</v>
      </c>
      <c r="D120" s="11"/>
      <c r="E120" s="11"/>
      <c r="F120" s="247"/>
      <c r="G120" s="11"/>
      <c r="K120" s="4"/>
    </row>
    <row r="121" spans="2:11" x14ac:dyDescent="0.25">
      <c r="B121">
        <v>560</v>
      </c>
      <c r="C121" t="s">
        <v>12</v>
      </c>
      <c r="D121" s="11">
        <v>44774</v>
      </c>
      <c r="E121" s="11"/>
      <c r="F121" s="247"/>
      <c r="G121" s="11"/>
      <c r="K121" s="4"/>
    </row>
    <row r="122" spans="2:11" x14ac:dyDescent="0.25">
      <c r="B122">
        <v>-500</v>
      </c>
      <c r="C122" t="s">
        <v>13</v>
      </c>
      <c r="D122" s="11">
        <v>44774</v>
      </c>
      <c r="E122" s="11"/>
      <c r="F122" s="247"/>
      <c r="G122" s="11"/>
      <c r="K122" s="4"/>
    </row>
    <row r="123" spans="2:11" x14ac:dyDescent="0.25">
      <c r="B123">
        <v>560</v>
      </c>
      <c r="C123" t="s">
        <v>74</v>
      </c>
      <c r="D123" s="11">
        <v>44789</v>
      </c>
      <c r="E123" s="11"/>
      <c r="F123" s="247"/>
      <c r="G123" s="11"/>
      <c r="K123" s="4"/>
    </row>
    <row r="124" spans="2:11" x14ac:dyDescent="0.25">
      <c r="B124">
        <v>1040</v>
      </c>
      <c r="C124" t="s">
        <v>12</v>
      </c>
      <c r="D124" s="11">
        <v>44804</v>
      </c>
      <c r="E124" s="11"/>
      <c r="F124" s="247"/>
      <c r="G124" s="11"/>
      <c r="K124" s="4"/>
    </row>
    <row r="125" spans="2:11" x14ac:dyDescent="0.25">
      <c r="B125">
        <v>-1040</v>
      </c>
      <c r="C125" t="s">
        <v>13</v>
      </c>
      <c r="D125" s="11">
        <v>44804</v>
      </c>
      <c r="E125" s="11"/>
      <c r="F125" s="247"/>
      <c r="G125" s="11"/>
      <c r="K125" s="4"/>
    </row>
    <row r="126" spans="2:11" x14ac:dyDescent="0.25">
      <c r="B126">
        <v>780</v>
      </c>
      <c r="C126" t="s">
        <v>12</v>
      </c>
      <c r="D126" s="11">
        <v>44826</v>
      </c>
      <c r="E126" s="11"/>
      <c r="F126" s="247"/>
      <c r="G126" s="11"/>
      <c r="K126" s="4"/>
    </row>
    <row r="127" spans="2:11" x14ac:dyDescent="0.25">
      <c r="B127">
        <v>-1300</v>
      </c>
      <c r="C127" t="s">
        <v>13</v>
      </c>
      <c r="D127" s="11"/>
      <c r="E127" s="11"/>
      <c r="F127" s="247"/>
      <c r="G127" s="11"/>
      <c r="K127" s="4"/>
    </row>
    <row r="128" spans="2:11" x14ac:dyDescent="0.25">
      <c r="B128">
        <v>460</v>
      </c>
      <c r="C128" t="s">
        <v>12</v>
      </c>
      <c r="D128" s="11">
        <v>44848</v>
      </c>
      <c r="E128" s="11"/>
      <c r="F128" s="247"/>
      <c r="G128" s="11"/>
      <c r="K128" s="4"/>
    </row>
    <row r="129" spans="2:11" x14ac:dyDescent="0.25">
      <c r="B129">
        <v>-500</v>
      </c>
      <c r="C129" t="s">
        <v>13</v>
      </c>
      <c r="D129" s="11">
        <v>44848</v>
      </c>
      <c r="E129" s="11"/>
      <c r="F129" s="247"/>
      <c r="G129" s="11"/>
      <c r="K129" s="4"/>
    </row>
    <row r="130" spans="2:11" x14ac:dyDescent="0.25">
      <c r="B130">
        <v>300</v>
      </c>
      <c r="C130" t="s">
        <v>12</v>
      </c>
      <c r="D130" s="11">
        <v>44851</v>
      </c>
      <c r="E130" s="11"/>
      <c r="F130" s="247"/>
      <c r="G130" s="11"/>
      <c r="K130" s="4"/>
    </row>
    <row r="131" spans="2:11" x14ac:dyDescent="0.25">
      <c r="B131">
        <v>400</v>
      </c>
      <c r="C131" t="s">
        <v>12</v>
      </c>
      <c r="D131" s="11">
        <v>44868</v>
      </c>
      <c r="E131" s="11"/>
      <c r="F131" s="247"/>
      <c r="G131" s="11"/>
      <c r="K131" s="4"/>
    </row>
    <row r="132" spans="2:11" x14ac:dyDescent="0.25">
      <c r="B132">
        <v>800</v>
      </c>
      <c r="C132" t="s">
        <v>12</v>
      </c>
      <c r="D132" s="11"/>
      <c r="E132" s="11"/>
      <c r="F132" s="247"/>
      <c r="G132" s="11"/>
      <c r="K132" s="4"/>
    </row>
    <row r="133" spans="2:11" x14ac:dyDescent="0.25">
      <c r="B133">
        <v>-800</v>
      </c>
      <c r="C133" t="s">
        <v>13</v>
      </c>
      <c r="D133" s="11"/>
      <c r="E133" s="11"/>
      <c r="F133" s="247"/>
      <c r="G133" s="11"/>
      <c r="K133" s="4"/>
    </row>
    <row r="134" spans="2:11" x14ac:dyDescent="0.25">
      <c r="B134">
        <v>-2300</v>
      </c>
      <c r="C134" t="s">
        <v>13</v>
      </c>
      <c r="D134" s="11"/>
      <c r="E134" s="11"/>
      <c r="F134" s="247"/>
      <c r="G134" s="11"/>
      <c r="K134" s="4"/>
    </row>
    <row r="135" spans="2:11" x14ac:dyDescent="0.25">
      <c r="B135">
        <v>1600</v>
      </c>
      <c r="C135" t="s">
        <v>12</v>
      </c>
      <c r="D135" s="11">
        <v>44932</v>
      </c>
      <c r="E135" s="11"/>
      <c r="F135" s="247"/>
      <c r="G135" s="11"/>
      <c r="K135" s="4"/>
    </row>
    <row r="136" spans="2:11" x14ac:dyDescent="0.25">
      <c r="B136">
        <v>800</v>
      </c>
      <c r="C136" t="s">
        <v>12</v>
      </c>
      <c r="D136" s="11"/>
      <c r="E136" s="11"/>
      <c r="F136" s="247"/>
      <c r="G136" s="11"/>
      <c r="K136" s="4"/>
    </row>
    <row r="137" spans="2:11" x14ac:dyDescent="0.25">
      <c r="B137">
        <v>-800</v>
      </c>
      <c r="C137" t="s">
        <v>13</v>
      </c>
      <c r="D137" s="11">
        <v>45033</v>
      </c>
      <c r="E137" s="11"/>
      <c r="F137" s="247"/>
      <c r="G137" s="11"/>
      <c r="K137" s="4"/>
    </row>
    <row r="138" spans="2:11" x14ac:dyDescent="0.25">
      <c r="B138">
        <v>2400</v>
      </c>
      <c r="C138" t="s">
        <v>12</v>
      </c>
      <c r="D138" s="11">
        <v>45038</v>
      </c>
      <c r="E138" s="11"/>
      <c r="F138" s="247"/>
      <c r="G138" s="11"/>
      <c r="K138" s="4"/>
    </row>
    <row r="139" spans="2:11" x14ac:dyDescent="0.25">
      <c r="B139">
        <v>-2400</v>
      </c>
      <c r="C139" t="s">
        <v>13</v>
      </c>
      <c r="D139" s="11">
        <v>45038</v>
      </c>
      <c r="E139" s="11"/>
      <c r="F139" s="247"/>
      <c r="G139" s="11"/>
      <c r="K139" s="4"/>
    </row>
    <row r="140" spans="2:11" x14ac:dyDescent="0.25">
      <c r="B140">
        <v>800</v>
      </c>
      <c r="C140" t="s">
        <v>12</v>
      </c>
      <c r="D140" s="11"/>
      <c r="E140" s="11"/>
      <c r="F140" s="247"/>
      <c r="G140" s="11"/>
      <c r="K140" s="4"/>
    </row>
    <row r="141" spans="2:11" x14ac:dyDescent="0.25">
      <c r="B141">
        <v>-800</v>
      </c>
      <c r="C141" t="s">
        <v>13</v>
      </c>
      <c r="D141" s="11"/>
      <c r="E141" s="11"/>
      <c r="F141" s="247"/>
      <c r="G141" s="11"/>
      <c r="K141" s="4"/>
    </row>
    <row r="142" spans="2:11" x14ac:dyDescent="0.25">
      <c r="B142">
        <v>400</v>
      </c>
      <c r="C142" t="s">
        <v>12</v>
      </c>
      <c r="D142" s="11"/>
      <c r="E142" s="11"/>
      <c r="F142" s="247"/>
      <c r="G142" s="11"/>
      <c r="K142" s="4"/>
    </row>
    <row r="143" spans="2:11" x14ac:dyDescent="0.25">
      <c r="B143">
        <v>-400</v>
      </c>
      <c r="C143" t="s">
        <v>13</v>
      </c>
      <c r="D143" s="11"/>
      <c r="E143" s="11"/>
      <c r="F143" s="247"/>
      <c r="G143" s="11"/>
      <c r="K143" s="4"/>
    </row>
    <row r="144" spans="2:11" x14ac:dyDescent="0.25">
      <c r="B144">
        <v>-300</v>
      </c>
      <c r="C144" t="s">
        <v>175</v>
      </c>
      <c r="D144" s="11">
        <v>45054</v>
      </c>
      <c r="E144" s="11"/>
      <c r="F144" s="247"/>
      <c r="G144" s="11"/>
      <c r="K144" s="4"/>
    </row>
    <row r="145" spans="2:11" x14ac:dyDescent="0.25">
      <c r="B145">
        <v>800</v>
      </c>
      <c r="C145" t="s">
        <v>12</v>
      </c>
      <c r="D145" s="11"/>
      <c r="E145" s="11"/>
      <c r="F145" s="247"/>
      <c r="G145" s="11"/>
      <c r="K145" s="4"/>
    </row>
    <row r="146" spans="2:11" x14ac:dyDescent="0.25">
      <c r="B146">
        <v>-500</v>
      </c>
      <c r="C146" t="s">
        <v>13</v>
      </c>
      <c r="D146" s="11">
        <v>45068</v>
      </c>
      <c r="E146" s="11"/>
      <c r="F146" s="247"/>
      <c r="G146" s="11"/>
      <c r="K146" s="4"/>
    </row>
    <row r="147" spans="2:11" x14ac:dyDescent="0.25">
      <c r="B147">
        <v>3000</v>
      </c>
      <c r="C147" t="s">
        <v>12</v>
      </c>
      <c r="D147" s="11">
        <v>45122</v>
      </c>
      <c r="E147" s="11"/>
      <c r="F147" s="247"/>
      <c r="G147" s="11"/>
      <c r="K147" s="4"/>
    </row>
    <row r="148" spans="2:11" x14ac:dyDescent="0.25">
      <c r="B148">
        <v>-3000</v>
      </c>
      <c r="D148" s="11"/>
      <c r="E148" s="11"/>
      <c r="F148" s="247"/>
      <c r="G148" s="11"/>
      <c r="K148" s="4"/>
    </row>
    <row r="149" spans="2:11" x14ac:dyDescent="0.25">
      <c r="B149">
        <v>2000</v>
      </c>
      <c r="C149" t="s">
        <v>12</v>
      </c>
      <c r="D149" s="11">
        <v>45155</v>
      </c>
      <c r="E149" s="11"/>
      <c r="F149" s="247"/>
      <c r="G149" s="11"/>
      <c r="K149" s="4"/>
    </row>
    <row r="150" spans="2:11" x14ac:dyDescent="0.25">
      <c r="B150">
        <v>-2000</v>
      </c>
      <c r="C150" t="s">
        <v>13</v>
      </c>
      <c r="D150" s="11"/>
      <c r="E150" s="11"/>
      <c r="F150" s="247"/>
      <c r="G150" s="11"/>
      <c r="K150" s="4"/>
    </row>
    <row r="151" spans="2:11" x14ac:dyDescent="0.25">
      <c r="B151">
        <v>2400</v>
      </c>
      <c r="C151" t="s">
        <v>12</v>
      </c>
      <c r="D151" s="11">
        <v>45272</v>
      </c>
      <c r="E151" s="11"/>
      <c r="F151" s="247"/>
      <c r="G151" s="11"/>
      <c r="K151" s="4"/>
    </row>
    <row r="152" spans="2:11" x14ac:dyDescent="0.25">
      <c r="B152">
        <v>-2400</v>
      </c>
      <c r="C152" t="s">
        <v>13</v>
      </c>
      <c r="D152" s="11"/>
      <c r="E152" s="11"/>
      <c r="F152" s="247"/>
      <c r="G152" s="11"/>
      <c r="K152" s="4"/>
    </row>
    <row r="153" spans="2:11" x14ac:dyDescent="0.25">
      <c r="B153">
        <v>30400</v>
      </c>
      <c r="C153" t="s">
        <v>12</v>
      </c>
      <c r="D153" s="11">
        <v>45497</v>
      </c>
      <c r="E153" s="11"/>
      <c r="F153" s="247"/>
      <c r="G153" s="11"/>
      <c r="K153" s="4"/>
    </row>
    <row r="154" spans="2:11" x14ac:dyDescent="0.25">
      <c r="B154">
        <v>-40000</v>
      </c>
      <c r="C154" t="s">
        <v>12</v>
      </c>
      <c r="D154" s="11">
        <v>45497</v>
      </c>
      <c r="E154" s="11"/>
      <c r="F154" s="247"/>
      <c r="G154" s="11"/>
      <c r="K154" s="4"/>
    </row>
    <row r="155" spans="2:11" x14ac:dyDescent="0.25">
      <c r="B155">
        <v>37600</v>
      </c>
      <c r="C155" t="s">
        <v>12</v>
      </c>
      <c r="D155" s="11">
        <v>45604</v>
      </c>
      <c r="E155" s="11"/>
      <c r="F155" s="247"/>
      <c r="G155" s="11"/>
      <c r="K155" s="4"/>
    </row>
    <row r="156" spans="2:11" x14ac:dyDescent="0.25">
      <c r="B156">
        <v>-40000</v>
      </c>
      <c r="C156" t="s">
        <v>13</v>
      </c>
      <c r="D156" s="11">
        <v>45604</v>
      </c>
      <c r="E156" s="11"/>
      <c r="F156" s="247"/>
      <c r="G156" s="11"/>
      <c r="K156" s="4"/>
    </row>
    <row r="157" spans="2:11" x14ac:dyDescent="0.25">
      <c r="B157">
        <v>5100</v>
      </c>
      <c r="C157" t="s">
        <v>12</v>
      </c>
      <c r="D157" s="11">
        <v>45846</v>
      </c>
      <c r="E157" s="11"/>
      <c r="F157" s="247"/>
      <c r="G157" s="11"/>
      <c r="K157" s="4"/>
    </row>
    <row r="158" spans="2:11" x14ac:dyDescent="0.25">
      <c r="B158">
        <v>-5100</v>
      </c>
      <c r="C158" t="s">
        <v>13</v>
      </c>
      <c r="D158" s="11">
        <v>45846</v>
      </c>
      <c r="E158" s="11"/>
      <c r="F158" s="247"/>
      <c r="G158" s="11"/>
      <c r="K158" s="4"/>
    </row>
    <row r="159" spans="2:11" x14ac:dyDescent="0.25">
      <c r="D159" s="11"/>
      <c r="E159" s="11"/>
      <c r="F159" s="247"/>
      <c r="G159" s="11"/>
      <c r="K159" s="4"/>
    </row>
    <row r="160" spans="2:11" x14ac:dyDescent="0.25">
      <c r="B160" s="135">
        <f>SUM(B54:B158)</f>
        <v>-14046</v>
      </c>
      <c r="C160" s="11">
        <v>45846</v>
      </c>
      <c r="D160" s="11"/>
      <c r="E160" s="11"/>
      <c r="F160" s="247"/>
      <c r="G160" s="11"/>
      <c r="K160" s="4"/>
    </row>
    <row r="161" spans="2:11" x14ac:dyDescent="0.25">
      <c r="B161" s="11"/>
      <c r="D161" s="11"/>
      <c r="E161" s="11"/>
      <c r="F161" s="247"/>
      <c r="G161" s="11"/>
      <c r="K161" s="4"/>
    </row>
    <row r="162" spans="2:11" x14ac:dyDescent="0.25">
      <c r="B162" s="11"/>
      <c r="E162" s="11"/>
      <c r="F162" s="247"/>
      <c r="G162" s="11"/>
      <c r="K162" s="4"/>
    </row>
    <row r="163" spans="2:11" x14ac:dyDescent="0.25">
      <c r="B163" s="11"/>
      <c r="E163" s="11"/>
      <c r="F163" s="247"/>
      <c r="G163" s="11"/>
      <c r="K163" s="4"/>
    </row>
    <row r="164" spans="2:11" x14ac:dyDescent="0.25">
      <c r="B164" s="11"/>
      <c r="E164" s="11"/>
      <c r="F164" s="247"/>
      <c r="G164" s="11"/>
      <c r="K164" s="4"/>
    </row>
    <row r="165" spans="2:11" x14ac:dyDescent="0.25">
      <c r="B165" s="11"/>
      <c r="C165" s="11"/>
      <c r="E165" s="11"/>
      <c r="F165" s="247"/>
      <c r="G165" s="11"/>
      <c r="K165" s="4"/>
    </row>
    <row r="166" spans="2:11" x14ac:dyDescent="0.25">
      <c r="B166" s="11"/>
      <c r="E166" s="4"/>
      <c r="K166" s="4"/>
    </row>
    <row r="167" spans="2:11" x14ac:dyDescent="0.25">
      <c r="B167" s="11"/>
      <c r="F167" s="247"/>
      <c r="G167" s="11"/>
      <c r="I167" s="173"/>
      <c r="K167" s="4"/>
    </row>
    <row r="168" spans="2:11" x14ac:dyDescent="0.25">
      <c r="B168" s="11"/>
      <c r="E168" s="11"/>
      <c r="F168" s="247"/>
      <c r="G168" s="11"/>
      <c r="K168" s="4"/>
    </row>
    <row r="169" spans="2:11" x14ac:dyDescent="0.25">
      <c r="B169" s="11"/>
      <c r="K169" s="4"/>
    </row>
    <row r="170" spans="2:11" x14ac:dyDescent="0.25">
      <c r="B170" s="11"/>
      <c r="E170" s="11"/>
      <c r="F170" s="247"/>
      <c r="G170" s="11"/>
      <c r="K170" s="4"/>
    </row>
    <row r="171" spans="2:11" x14ac:dyDescent="0.25">
      <c r="B171" s="11"/>
      <c r="I171" s="4"/>
    </row>
    <row r="172" spans="2:11" x14ac:dyDescent="0.25">
      <c r="B172" s="11"/>
      <c r="E172" s="11"/>
      <c r="F172" s="247"/>
      <c r="G172" s="11"/>
      <c r="K172" s="4"/>
    </row>
    <row r="173" spans="2:11" x14ac:dyDescent="0.25">
      <c r="B173" s="11"/>
      <c r="E173" s="11"/>
      <c r="F173" s="247"/>
      <c r="G173" s="11"/>
      <c r="K173" s="4"/>
    </row>
    <row r="174" spans="2:11" x14ac:dyDescent="0.25">
      <c r="B174" s="11"/>
      <c r="E174" s="11"/>
      <c r="F174" s="247"/>
      <c r="G174" s="11"/>
      <c r="K174" s="4"/>
    </row>
    <row r="175" spans="2:11" x14ac:dyDescent="0.25">
      <c r="B175" s="11"/>
      <c r="E175" s="11"/>
      <c r="F175" s="247"/>
      <c r="G175" s="11"/>
      <c r="K175" s="4"/>
    </row>
    <row r="176" spans="2:11" x14ac:dyDescent="0.25">
      <c r="B176" s="11"/>
      <c r="E176" s="11"/>
      <c r="F176" s="247"/>
      <c r="G176" s="11"/>
      <c r="K176" s="4"/>
    </row>
    <row r="177" spans="2:11" x14ac:dyDescent="0.25">
      <c r="B177" s="11"/>
      <c r="D177" s="11"/>
      <c r="E177" s="11"/>
      <c r="F177" s="247"/>
      <c r="G177" s="11"/>
      <c r="K177" s="4"/>
    </row>
    <row r="178" spans="2:11" x14ac:dyDescent="0.25">
      <c r="B178" s="11"/>
      <c r="E178" s="11"/>
      <c r="F178" s="247"/>
      <c r="G178" s="11"/>
      <c r="K178" s="4"/>
    </row>
    <row r="179" spans="2:11" x14ac:dyDescent="0.25">
      <c r="B179" s="11"/>
      <c r="E179" s="11"/>
      <c r="F179" s="247"/>
      <c r="G179" s="11"/>
      <c r="K179" s="4"/>
    </row>
    <row r="180" spans="2:11" x14ac:dyDescent="0.25">
      <c r="B180" s="11"/>
      <c r="E180" s="11"/>
      <c r="F180" s="247"/>
      <c r="G180" s="11"/>
      <c r="K180" s="4"/>
    </row>
    <row r="181" spans="2:11" x14ac:dyDescent="0.25">
      <c r="B181" s="11"/>
      <c r="E181" s="11"/>
      <c r="F181" s="247"/>
      <c r="G181" s="11"/>
      <c r="K181" s="4"/>
    </row>
    <row r="182" spans="2:11" x14ac:dyDescent="0.25">
      <c r="B182" s="11"/>
      <c r="E182" s="11"/>
      <c r="F182" s="247"/>
      <c r="G182" s="11"/>
      <c r="K182" s="4"/>
    </row>
    <row r="183" spans="2:11" x14ac:dyDescent="0.25">
      <c r="B183" s="11"/>
      <c r="E183" s="11"/>
      <c r="F183" s="247"/>
      <c r="G183" s="11"/>
      <c r="K183" s="4"/>
    </row>
    <row r="184" spans="2:11" x14ac:dyDescent="0.25">
      <c r="B184" s="11"/>
      <c r="E184" s="11"/>
      <c r="F184" s="247"/>
      <c r="G184" s="11"/>
    </row>
    <row r="185" spans="2:11" x14ac:dyDescent="0.25">
      <c r="B185" s="11"/>
      <c r="E185" s="11"/>
      <c r="F185" s="247"/>
      <c r="G185" s="11"/>
    </row>
    <row r="186" spans="2:11" x14ac:dyDescent="0.25">
      <c r="B186" s="11"/>
      <c r="E186" s="11"/>
      <c r="F186" s="247"/>
      <c r="G186" s="11"/>
    </row>
    <row r="187" spans="2:11" x14ac:dyDescent="0.25">
      <c r="B187" s="11"/>
      <c r="E187" s="11"/>
      <c r="F187" s="247"/>
      <c r="G187" s="11"/>
    </row>
    <row r="188" spans="2:11" x14ac:dyDescent="0.25">
      <c r="B188" s="11"/>
      <c r="E188" s="11"/>
      <c r="F188" s="247"/>
      <c r="G188" s="11"/>
    </row>
    <row r="189" spans="2:11" x14ac:dyDescent="0.25">
      <c r="B189" s="11"/>
      <c r="E189" s="11"/>
      <c r="F189" s="247"/>
      <c r="G189" s="11"/>
    </row>
    <row r="190" spans="2:11" x14ac:dyDescent="0.25">
      <c r="B190" s="11"/>
      <c r="E190" s="11"/>
      <c r="F190" s="247"/>
      <c r="G190" s="11"/>
    </row>
    <row r="191" spans="2:11" x14ac:dyDescent="0.25">
      <c r="B191" s="11"/>
      <c r="E191" s="11"/>
      <c r="F191" s="247"/>
      <c r="G191" s="11"/>
    </row>
    <row r="192" spans="2:11" x14ac:dyDescent="0.25">
      <c r="B192" s="11"/>
      <c r="E192" s="11"/>
      <c r="F192" s="247"/>
      <c r="G192" s="11"/>
    </row>
    <row r="193" spans="2:7" x14ac:dyDescent="0.25">
      <c r="B193" s="11"/>
      <c r="E193" s="11"/>
      <c r="F193" s="247"/>
      <c r="G193" s="11"/>
    </row>
    <row r="194" spans="2:7" x14ac:dyDescent="0.25">
      <c r="B194" s="11"/>
      <c r="E194" s="11"/>
      <c r="F194" s="247"/>
      <c r="G194" s="11"/>
    </row>
    <row r="195" spans="2:7" x14ac:dyDescent="0.25">
      <c r="B195" s="11"/>
      <c r="E195" s="11"/>
      <c r="F195" s="247"/>
      <c r="G195" s="11"/>
    </row>
    <row r="196" spans="2:7" x14ac:dyDescent="0.25">
      <c r="B196" s="11"/>
      <c r="E196" s="11"/>
      <c r="F196" s="247"/>
      <c r="G196" s="11"/>
    </row>
    <row r="197" spans="2:7" x14ac:dyDescent="0.25">
      <c r="B197" s="11"/>
      <c r="E197" s="11"/>
      <c r="F197" s="247"/>
      <c r="G197" s="11"/>
    </row>
    <row r="198" spans="2:7" x14ac:dyDescent="0.25">
      <c r="B198" s="11"/>
      <c r="E198" s="11"/>
      <c r="F198" s="247"/>
      <c r="G198" s="11"/>
    </row>
    <row r="199" spans="2:7" x14ac:dyDescent="0.25">
      <c r="B199" s="11"/>
      <c r="E199" s="11"/>
      <c r="F199" s="247"/>
      <c r="G199" s="11"/>
    </row>
    <row r="200" spans="2:7" x14ac:dyDescent="0.25">
      <c r="B200" s="11"/>
      <c r="E200" s="11"/>
      <c r="F200" s="247"/>
      <c r="G200" s="11"/>
    </row>
    <row r="201" spans="2:7" x14ac:dyDescent="0.25">
      <c r="E201" s="11"/>
      <c r="F201" s="247"/>
      <c r="G201" s="11"/>
    </row>
    <row r="202" spans="2:7" x14ac:dyDescent="0.25">
      <c r="E202" s="11"/>
      <c r="F202" s="247"/>
      <c r="G202" s="11"/>
    </row>
    <row r="203" spans="2:7" x14ac:dyDescent="0.25">
      <c r="E203" s="11"/>
      <c r="F203" s="247"/>
      <c r="G203" s="11"/>
    </row>
    <row r="204" spans="2:7" x14ac:dyDescent="0.25">
      <c r="E204" s="11"/>
      <c r="F204" s="247"/>
      <c r="G204" s="11"/>
    </row>
    <row r="205" spans="2:7" x14ac:dyDescent="0.25">
      <c r="E205" s="11"/>
      <c r="F205" s="247"/>
      <c r="G205" s="11"/>
    </row>
    <row r="206" spans="2:7" x14ac:dyDescent="0.25">
      <c r="E206" s="11"/>
      <c r="F206" s="247"/>
      <c r="G206" s="1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80"/>
  <sheetViews>
    <sheetView topLeftCell="A31" zoomScale="110" zoomScaleNormal="110" workbookViewId="0">
      <selection activeCell="A4" sqref="A4:XFD10"/>
    </sheetView>
  </sheetViews>
  <sheetFormatPr baseColWidth="10" defaultRowHeight="15" x14ac:dyDescent="0.25"/>
  <cols>
    <col min="5" max="6" width="11.140625" customWidth="1"/>
    <col min="7" max="7" width="12.140625" customWidth="1"/>
    <col min="9" max="9" width="13.28515625" customWidth="1"/>
    <col min="11" max="11" width="13.42578125" bestFit="1" customWidth="1"/>
  </cols>
  <sheetData>
    <row r="1" spans="1:11" x14ac:dyDescent="0.25">
      <c r="D1" s="172" t="s">
        <v>161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236"/>
      <c r="C3" s="124"/>
      <c r="D3" s="82"/>
      <c r="E3" s="82"/>
      <c r="F3" s="82"/>
      <c r="G3" s="82"/>
      <c r="H3" s="83"/>
      <c r="I3" s="90"/>
      <c r="J3" s="212"/>
      <c r="K3" s="220"/>
    </row>
    <row r="4" spans="1:11" x14ac:dyDescent="0.25">
      <c r="A4" s="91"/>
      <c r="B4" s="236"/>
      <c r="C4" s="124"/>
      <c r="D4" s="82"/>
      <c r="E4" s="82"/>
      <c r="F4" s="82"/>
      <c r="G4" s="82"/>
      <c r="H4" s="83"/>
      <c r="I4" s="90"/>
      <c r="J4" s="212"/>
      <c r="K4" s="220"/>
    </row>
    <row r="5" spans="1:11" x14ac:dyDescent="0.25">
      <c r="A5" s="91"/>
      <c r="B5" s="236"/>
      <c r="C5" s="124"/>
      <c r="D5" s="82"/>
      <c r="E5" s="82"/>
      <c r="F5" s="82"/>
      <c r="G5" s="82"/>
      <c r="H5" s="83"/>
      <c r="I5" s="90"/>
      <c r="J5" s="212"/>
      <c r="K5" s="220"/>
    </row>
    <row r="6" spans="1:11" x14ac:dyDescent="0.25">
      <c r="A6" s="91"/>
      <c r="B6" s="236"/>
      <c r="C6" s="124"/>
      <c r="D6" s="82"/>
      <c r="E6" s="82"/>
      <c r="F6" s="82"/>
      <c r="G6" s="82"/>
      <c r="H6" s="83"/>
      <c r="I6" s="90"/>
      <c r="J6" s="212"/>
      <c r="K6" s="220"/>
    </row>
    <row r="7" spans="1:11" x14ac:dyDescent="0.25">
      <c r="A7" s="91"/>
      <c r="B7" s="236"/>
      <c r="C7" s="124"/>
      <c r="D7" s="82"/>
      <c r="E7" s="82"/>
      <c r="F7" s="82"/>
      <c r="G7" s="82"/>
      <c r="H7" s="83"/>
      <c r="I7" s="90"/>
      <c r="J7" s="212"/>
      <c r="K7" s="220"/>
    </row>
    <row r="8" spans="1:11" x14ac:dyDescent="0.25">
      <c r="A8" s="91"/>
      <c r="B8" s="236"/>
      <c r="C8" s="124"/>
      <c r="D8" s="82"/>
      <c r="E8" s="82"/>
      <c r="F8" s="82"/>
      <c r="G8" s="82"/>
      <c r="H8" s="83"/>
      <c r="I8" s="90"/>
      <c r="J8" s="212"/>
      <c r="K8" s="220"/>
    </row>
    <row r="9" spans="1:11" x14ac:dyDescent="0.25">
      <c r="A9" s="91"/>
      <c r="B9" s="236"/>
      <c r="C9" s="124"/>
      <c r="D9" s="82"/>
      <c r="E9" s="82"/>
      <c r="F9" s="82"/>
      <c r="G9" s="82"/>
      <c r="H9" s="83"/>
      <c r="I9" s="90"/>
      <c r="J9" s="212"/>
      <c r="K9" s="220"/>
    </row>
    <row r="10" spans="1:11" x14ac:dyDescent="0.25">
      <c r="A10" s="91"/>
      <c r="B10" s="236"/>
      <c r="C10" s="124"/>
      <c r="D10" s="82"/>
      <c r="E10" s="82"/>
      <c r="F10" s="82"/>
      <c r="G10" s="82"/>
      <c r="H10" s="83"/>
      <c r="I10" s="90"/>
      <c r="J10" s="212"/>
      <c r="K10" s="220"/>
    </row>
    <row r="11" spans="1:11" x14ac:dyDescent="0.25">
      <c r="A11" s="91"/>
      <c r="B11" s="236"/>
      <c r="C11" s="124"/>
      <c r="D11" s="82"/>
      <c r="E11" s="82"/>
      <c r="F11" s="82"/>
      <c r="G11" s="82"/>
      <c r="H11" s="83"/>
      <c r="I11" s="90"/>
      <c r="J11" s="212"/>
      <c r="K11" s="220"/>
    </row>
    <row r="12" spans="1:11" x14ac:dyDescent="0.25">
      <c r="A12" s="91"/>
      <c r="B12" s="236"/>
      <c r="C12" s="124"/>
      <c r="D12" s="82"/>
      <c r="E12" s="82"/>
      <c r="F12" s="82"/>
      <c r="G12" s="82"/>
      <c r="H12" s="83"/>
      <c r="I12" s="90"/>
      <c r="J12" s="212"/>
      <c r="K12" s="220"/>
    </row>
    <row r="13" spans="1:11" x14ac:dyDescent="0.25">
      <c r="A13" s="91"/>
      <c r="B13" s="236"/>
      <c r="C13" s="124"/>
      <c r="D13" s="82"/>
      <c r="E13" s="82"/>
      <c r="F13" s="82"/>
      <c r="G13" s="82"/>
      <c r="H13" s="83"/>
      <c r="I13" s="90"/>
      <c r="J13" s="212"/>
      <c r="K13" s="220"/>
    </row>
    <row r="14" spans="1:11" x14ac:dyDescent="0.25">
      <c r="A14" s="91"/>
      <c r="B14" s="236"/>
      <c r="C14" s="124"/>
      <c r="D14" s="82"/>
      <c r="E14" s="82"/>
      <c r="F14" s="82"/>
      <c r="G14" s="82"/>
      <c r="H14" s="83"/>
      <c r="I14" s="90"/>
      <c r="J14" s="212"/>
      <c r="K14" s="220"/>
    </row>
    <row r="15" spans="1:11" x14ac:dyDescent="0.25">
      <c r="A15" s="91"/>
      <c r="B15" s="236"/>
      <c r="C15" s="124"/>
      <c r="D15" s="82"/>
      <c r="E15" s="82"/>
      <c r="F15" s="82"/>
      <c r="G15" s="82"/>
      <c r="H15" s="83"/>
      <c r="I15" s="90"/>
      <c r="J15" s="212"/>
      <c r="K15" s="220"/>
    </row>
    <row r="16" spans="1:11" x14ac:dyDescent="0.25">
      <c r="A16" s="91"/>
      <c r="B16" s="236"/>
      <c r="C16" s="124"/>
      <c r="D16" s="82"/>
      <c r="E16" s="82"/>
      <c r="F16" s="82"/>
      <c r="G16" s="82"/>
      <c r="H16" s="83"/>
      <c r="I16" s="90"/>
      <c r="J16" s="212"/>
      <c r="K16" s="220"/>
    </row>
    <row r="17" spans="1:11" x14ac:dyDescent="0.25">
      <c r="A17" s="91"/>
      <c r="B17" s="236"/>
      <c r="C17" s="124"/>
      <c r="D17" s="82"/>
      <c r="E17" s="82"/>
      <c r="F17" s="82"/>
      <c r="G17" s="82"/>
      <c r="H17" s="83"/>
      <c r="I17" s="90"/>
      <c r="J17" s="212"/>
      <c r="K17" s="220"/>
    </row>
    <row r="18" spans="1:11" x14ac:dyDescent="0.25">
      <c r="A18" s="91"/>
      <c r="B18" s="236"/>
      <c r="C18" s="124"/>
      <c r="D18" s="82"/>
      <c r="E18" s="82"/>
      <c r="F18" s="82"/>
      <c r="G18" s="82"/>
      <c r="H18" s="83"/>
      <c r="I18" s="90"/>
      <c r="J18" s="212"/>
      <c r="K18" s="220"/>
    </row>
    <row r="19" spans="1:11" x14ac:dyDescent="0.25">
      <c r="A19" s="91"/>
      <c r="B19" s="236"/>
      <c r="C19" s="124"/>
      <c r="D19" s="82"/>
      <c r="E19" s="82"/>
      <c r="F19" s="82"/>
      <c r="G19" s="82"/>
      <c r="H19" s="83"/>
      <c r="I19" s="90"/>
      <c r="J19" s="212"/>
      <c r="K19" s="220"/>
    </row>
    <row r="20" spans="1:11" x14ac:dyDescent="0.25">
      <c r="A20" s="91"/>
      <c r="B20" s="236"/>
      <c r="C20" s="124"/>
      <c r="D20" s="82"/>
      <c r="E20" s="82"/>
      <c r="F20" s="82"/>
      <c r="G20" s="82"/>
      <c r="H20" s="83"/>
      <c r="I20" s="90"/>
      <c r="J20" s="212"/>
      <c r="K20" s="220"/>
    </row>
    <row r="21" spans="1:11" x14ac:dyDescent="0.25">
      <c r="A21" s="91"/>
      <c r="B21" s="236"/>
      <c r="C21" s="124"/>
      <c r="D21" s="82"/>
      <c r="E21" s="82"/>
      <c r="F21" s="82"/>
      <c r="G21" s="82"/>
      <c r="H21" s="83"/>
      <c r="I21" s="90"/>
      <c r="J21" s="212"/>
      <c r="K21" s="220"/>
    </row>
    <row r="22" spans="1:11" x14ac:dyDescent="0.25">
      <c r="A22" s="91"/>
      <c r="B22" s="236"/>
      <c r="C22" s="124"/>
      <c r="D22" s="82"/>
      <c r="E22" s="82"/>
      <c r="F22" s="82"/>
      <c r="G22" s="82"/>
      <c r="H22" s="83"/>
      <c r="I22" s="90"/>
      <c r="J22" s="212"/>
      <c r="K22" s="220"/>
    </row>
    <row r="23" spans="1:11" x14ac:dyDescent="0.25">
      <c r="A23" s="91"/>
      <c r="B23" s="236"/>
      <c r="C23" s="124"/>
      <c r="D23" s="82"/>
      <c r="E23" s="82"/>
      <c r="F23" s="82"/>
      <c r="G23" s="82"/>
      <c r="H23" s="83"/>
      <c r="I23" s="90"/>
      <c r="J23" s="212"/>
      <c r="K23" s="220"/>
    </row>
    <row r="24" spans="1:11" x14ac:dyDescent="0.25">
      <c r="A24" s="91"/>
      <c r="B24" s="236"/>
      <c r="C24" s="124"/>
      <c r="D24" s="82"/>
      <c r="E24" s="82"/>
      <c r="F24" s="82"/>
      <c r="G24" s="82"/>
      <c r="H24" s="83"/>
      <c r="I24" s="90"/>
      <c r="J24" s="212"/>
      <c r="K24" s="220"/>
    </row>
    <row r="25" spans="1:11" x14ac:dyDescent="0.25">
      <c r="A25" s="91"/>
      <c r="B25" s="236"/>
      <c r="C25" s="124"/>
      <c r="D25" s="82"/>
      <c r="E25" s="82"/>
      <c r="F25" s="82"/>
      <c r="G25" s="82"/>
      <c r="H25" s="83"/>
      <c r="I25" s="90"/>
      <c r="J25" s="212"/>
      <c r="K25" s="220"/>
    </row>
    <row r="26" spans="1:11" x14ac:dyDescent="0.25">
      <c r="A26" s="91"/>
      <c r="B26" s="236"/>
      <c r="C26" s="124"/>
      <c r="D26" s="82"/>
      <c r="E26" s="82"/>
      <c r="F26" s="82"/>
      <c r="G26" s="82"/>
      <c r="H26" s="83"/>
      <c r="I26" s="90"/>
      <c r="J26" s="212"/>
      <c r="K26" s="220"/>
    </row>
    <row r="27" spans="1:11" x14ac:dyDescent="0.25">
      <c r="A27" s="91"/>
      <c r="B27" s="236"/>
      <c r="C27" s="124"/>
      <c r="D27" s="82"/>
      <c r="E27" s="82"/>
      <c r="F27" s="82"/>
      <c r="G27" s="82"/>
      <c r="H27" s="83"/>
      <c r="I27" s="90"/>
      <c r="J27" s="212"/>
      <c r="K27" s="220"/>
    </row>
    <row r="28" spans="1:11" x14ac:dyDescent="0.25">
      <c r="A28" s="91"/>
      <c r="B28" s="236"/>
      <c r="C28" s="124"/>
      <c r="D28" s="82"/>
      <c r="E28" s="82"/>
      <c r="F28" s="82"/>
      <c r="G28" s="82"/>
      <c r="H28" s="83"/>
      <c r="I28" s="90"/>
      <c r="J28" s="212"/>
      <c r="K28" s="220"/>
    </row>
    <row r="29" spans="1:11" x14ac:dyDescent="0.25">
      <c r="A29" s="91"/>
      <c r="B29" s="236"/>
      <c r="C29" s="124"/>
      <c r="D29" s="82"/>
      <c r="E29" s="82"/>
      <c r="F29" s="82"/>
      <c r="G29" s="82"/>
      <c r="H29" s="83"/>
      <c r="I29" s="90"/>
      <c r="J29" s="212"/>
      <c r="K29" s="220"/>
    </row>
    <row r="30" spans="1:11" x14ac:dyDescent="0.25">
      <c r="A30" s="91"/>
      <c r="B30" s="236"/>
      <c r="C30" s="124"/>
      <c r="D30" s="82"/>
      <c r="E30" s="82"/>
      <c r="F30" s="82"/>
      <c r="G30" s="82"/>
      <c r="H30" s="83"/>
      <c r="I30" s="90"/>
      <c r="J30" s="212"/>
      <c r="K30" s="220"/>
    </row>
    <row r="31" spans="1:11" x14ac:dyDescent="0.25">
      <c r="A31" s="91"/>
      <c r="B31" s="236"/>
      <c r="C31" s="124"/>
      <c r="D31" s="82"/>
      <c r="E31" s="82"/>
      <c r="F31" s="82"/>
      <c r="G31" s="82"/>
      <c r="H31" s="83"/>
      <c r="I31" s="90"/>
      <c r="J31" s="212"/>
      <c r="K31" s="220"/>
    </row>
    <row r="32" spans="1:11" x14ac:dyDescent="0.25">
      <c r="A32" s="91"/>
      <c r="B32" s="236"/>
      <c r="C32" s="124"/>
      <c r="D32" s="82"/>
      <c r="E32" s="82"/>
      <c r="F32" s="82"/>
      <c r="G32" s="82"/>
      <c r="H32" s="83"/>
      <c r="I32" s="90"/>
      <c r="J32" s="212"/>
      <c r="K32" s="220"/>
    </row>
    <row r="33" spans="1:11" x14ac:dyDescent="0.25">
      <c r="A33" s="91">
        <v>46113</v>
      </c>
      <c r="B33" s="236" t="s">
        <v>251</v>
      </c>
      <c r="C33" s="124" t="s">
        <v>220</v>
      </c>
      <c r="D33" s="82">
        <v>70</v>
      </c>
      <c r="E33" s="82"/>
      <c r="F33" s="82"/>
      <c r="G33" s="82"/>
      <c r="H33" s="83" t="s">
        <v>66</v>
      </c>
      <c r="I33" s="90"/>
      <c r="J33" s="212"/>
      <c r="K33" s="220"/>
    </row>
    <row r="34" spans="1:11" x14ac:dyDescent="0.25">
      <c r="A34" s="91">
        <v>46113</v>
      </c>
      <c r="B34" s="236" t="s">
        <v>220</v>
      </c>
      <c r="C34" s="124" t="s">
        <v>302</v>
      </c>
      <c r="D34" s="82">
        <v>610</v>
      </c>
      <c r="E34" s="82"/>
      <c r="F34" s="82"/>
      <c r="G34" s="82"/>
      <c r="H34" s="90">
        <v>894728</v>
      </c>
      <c r="I34" s="90"/>
      <c r="J34" s="212"/>
      <c r="K34" s="220">
        <v>1076388.3600000001</v>
      </c>
    </row>
    <row r="35" spans="1:11" x14ac:dyDescent="0.25">
      <c r="A35" s="91">
        <v>46118</v>
      </c>
      <c r="B35" s="236" t="s">
        <v>302</v>
      </c>
      <c r="C35" s="124" t="s">
        <v>9</v>
      </c>
      <c r="D35" s="82">
        <v>310</v>
      </c>
      <c r="E35" s="82"/>
      <c r="F35" s="82"/>
      <c r="G35" s="82"/>
      <c r="H35" s="83" t="s">
        <v>66</v>
      </c>
      <c r="I35" s="90"/>
      <c r="J35" s="212"/>
      <c r="K35" s="220"/>
    </row>
    <row r="36" spans="1:11" x14ac:dyDescent="0.25">
      <c r="A36" s="91">
        <v>46119</v>
      </c>
      <c r="B36" s="236" t="s">
        <v>9</v>
      </c>
      <c r="C36" s="124" t="s">
        <v>251</v>
      </c>
      <c r="D36" s="82">
        <v>360</v>
      </c>
      <c r="E36" s="82"/>
      <c r="F36" s="82">
        <v>35.049999999999997</v>
      </c>
      <c r="G36" s="82"/>
      <c r="H36" s="90">
        <v>765047</v>
      </c>
      <c r="I36" s="90"/>
      <c r="J36" s="212"/>
      <c r="K36" s="220">
        <v>1174368.6000000001</v>
      </c>
    </row>
    <row r="37" spans="1:11" x14ac:dyDescent="0.25">
      <c r="A37" s="91">
        <v>46120</v>
      </c>
      <c r="B37" s="236" t="s">
        <v>251</v>
      </c>
      <c r="C37" s="124" t="s">
        <v>242</v>
      </c>
      <c r="D37" s="82">
        <v>70</v>
      </c>
      <c r="E37" s="82"/>
      <c r="F37" s="82"/>
      <c r="G37" s="82"/>
      <c r="H37" s="83" t="s">
        <v>384</v>
      </c>
      <c r="I37" s="90"/>
      <c r="J37" s="212"/>
      <c r="K37" s="220"/>
    </row>
    <row r="38" spans="1:11" x14ac:dyDescent="0.25">
      <c r="A38" s="91">
        <v>46121</v>
      </c>
      <c r="B38" s="227" t="s">
        <v>242</v>
      </c>
      <c r="C38" s="82" t="s">
        <v>220</v>
      </c>
      <c r="D38" s="82">
        <v>130</v>
      </c>
      <c r="E38" s="82"/>
      <c r="F38" s="82"/>
      <c r="G38" s="82"/>
      <c r="H38" s="128" t="s">
        <v>66</v>
      </c>
      <c r="I38" s="90"/>
      <c r="J38" s="212"/>
      <c r="K38" s="220"/>
    </row>
    <row r="39" spans="1:11" x14ac:dyDescent="0.25">
      <c r="A39" s="91">
        <v>46121</v>
      </c>
      <c r="B39" s="236" t="s">
        <v>220</v>
      </c>
      <c r="C39" s="124" t="s">
        <v>10</v>
      </c>
      <c r="D39" s="82">
        <v>300</v>
      </c>
      <c r="E39" s="82"/>
      <c r="F39" s="82"/>
      <c r="G39" s="82"/>
      <c r="H39" s="90">
        <v>895495</v>
      </c>
      <c r="I39" s="90"/>
      <c r="J39" s="212"/>
      <c r="K39" s="220"/>
    </row>
    <row r="40" spans="1:11" x14ac:dyDescent="0.25">
      <c r="A40" s="91">
        <v>46122</v>
      </c>
      <c r="B40" s="236" t="s">
        <v>10</v>
      </c>
      <c r="C40" s="124" t="s">
        <v>242</v>
      </c>
      <c r="D40" s="82">
        <v>185</v>
      </c>
      <c r="E40" s="82"/>
      <c r="F40" s="82">
        <v>35.24</v>
      </c>
      <c r="G40" s="82"/>
      <c r="H40" s="90">
        <v>278830</v>
      </c>
      <c r="I40" s="90" t="s">
        <v>176</v>
      </c>
      <c r="J40" s="212"/>
      <c r="K40" s="220"/>
    </row>
    <row r="41" spans="1:11" x14ac:dyDescent="0.25">
      <c r="A41" s="91">
        <v>46122</v>
      </c>
      <c r="B41" s="227" t="s">
        <v>242</v>
      </c>
      <c r="C41" s="82" t="s">
        <v>220</v>
      </c>
      <c r="D41" s="82">
        <v>130</v>
      </c>
      <c r="E41" s="82"/>
      <c r="F41" s="82"/>
      <c r="G41" s="82"/>
      <c r="H41" s="128" t="s">
        <v>66</v>
      </c>
      <c r="I41" s="90"/>
      <c r="J41" s="212"/>
      <c r="K41" s="220"/>
    </row>
    <row r="42" spans="1:11" x14ac:dyDescent="0.25">
      <c r="A42" s="91">
        <v>46122</v>
      </c>
      <c r="B42" s="236" t="s">
        <v>220</v>
      </c>
      <c r="C42" s="124" t="s">
        <v>302</v>
      </c>
      <c r="D42" s="82">
        <v>610</v>
      </c>
      <c r="E42" s="82"/>
      <c r="F42" s="82"/>
      <c r="G42" s="82"/>
      <c r="H42" s="90">
        <v>895692</v>
      </c>
      <c r="I42" s="90"/>
      <c r="J42" s="212"/>
      <c r="K42" s="220">
        <v>1076388.3600000001</v>
      </c>
    </row>
    <row r="43" spans="1:11" x14ac:dyDescent="0.25">
      <c r="A43" s="91">
        <v>46125</v>
      </c>
      <c r="B43" s="236" t="s">
        <v>302</v>
      </c>
      <c r="C43" s="124" t="s">
        <v>9</v>
      </c>
      <c r="D43" s="82">
        <v>310</v>
      </c>
      <c r="E43" s="82"/>
      <c r="F43" s="82"/>
      <c r="G43" s="82"/>
      <c r="H43" s="83" t="s">
        <v>66</v>
      </c>
      <c r="I43" s="90"/>
      <c r="J43" s="212"/>
      <c r="K43" s="220"/>
    </row>
    <row r="44" spans="1:11" x14ac:dyDescent="0.25">
      <c r="A44" s="91">
        <v>46125</v>
      </c>
      <c r="B44" s="236" t="s">
        <v>9</v>
      </c>
      <c r="C44" s="124" t="s">
        <v>251</v>
      </c>
      <c r="D44" s="82">
        <v>360</v>
      </c>
      <c r="E44" s="82"/>
      <c r="F44" s="82">
        <v>34.979999999999997</v>
      </c>
      <c r="G44" s="82"/>
      <c r="H44" s="90">
        <v>766068</v>
      </c>
      <c r="I44" s="90"/>
      <c r="J44" s="212"/>
      <c r="K44" s="220">
        <v>1171020.9099999999</v>
      </c>
    </row>
    <row r="45" spans="1:11" x14ac:dyDescent="0.25">
      <c r="A45" s="91">
        <v>46127</v>
      </c>
      <c r="B45" s="236" t="s">
        <v>251</v>
      </c>
      <c r="C45" s="124" t="s">
        <v>220</v>
      </c>
      <c r="D45" s="82">
        <v>70</v>
      </c>
      <c r="E45" s="82"/>
      <c r="F45" s="82"/>
      <c r="G45" s="82"/>
      <c r="H45" s="83" t="s">
        <v>66</v>
      </c>
      <c r="I45" s="90"/>
      <c r="J45" s="212"/>
      <c r="K45" s="220"/>
    </row>
    <row r="46" spans="1:11" x14ac:dyDescent="0.25">
      <c r="A46" s="91">
        <v>46128</v>
      </c>
      <c r="B46" s="236" t="s">
        <v>220</v>
      </c>
      <c r="C46" s="124" t="s">
        <v>10</v>
      </c>
      <c r="D46" s="82">
        <v>300</v>
      </c>
      <c r="E46" s="82"/>
      <c r="F46" s="82">
        <v>35</v>
      </c>
      <c r="G46" s="82"/>
      <c r="H46" s="90">
        <v>896493</v>
      </c>
      <c r="I46" s="90"/>
      <c r="J46" s="212"/>
      <c r="K46" s="220"/>
    </row>
    <row r="47" spans="1:11" x14ac:dyDescent="0.25">
      <c r="A47" s="91">
        <v>46128</v>
      </c>
      <c r="B47" s="236" t="s">
        <v>10</v>
      </c>
      <c r="C47" s="124" t="s">
        <v>220</v>
      </c>
      <c r="D47" s="82">
        <v>300</v>
      </c>
      <c r="E47" s="82"/>
      <c r="F47" s="82">
        <v>35.020000000000003</v>
      </c>
      <c r="G47" s="82"/>
      <c r="H47" s="90">
        <v>279076</v>
      </c>
      <c r="I47" s="90" t="s">
        <v>176</v>
      </c>
      <c r="J47" s="212"/>
      <c r="K47" s="220"/>
    </row>
    <row r="48" spans="1:11" x14ac:dyDescent="0.25">
      <c r="A48" s="91">
        <v>46139</v>
      </c>
      <c r="B48" s="236" t="s">
        <v>220</v>
      </c>
      <c r="C48" s="124" t="s">
        <v>302</v>
      </c>
      <c r="D48" s="82">
        <v>610</v>
      </c>
      <c r="E48" s="82"/>
      <c r="F48" s="82"/>
      <c r="G48" s="82"/>
      <c r="H48" s="90">
        <v>896758</v>
      </c>
      <c r="I48" s="90"/>
      <c r="J48" s="212"/>
      <c r="K48" s="220"/>
    </row>
    <row r="49" spans="1:11" x14ac:dyDescent="0.25">
      <c r="A49" s="91">
        <v>46131</v>
      </c>
      <c r="B49" s="236" t="s">
        <v>302</v>
      </c>
      <c r="C49" s="124" t="s">
        <v>9</v>
      </c>
      <c r="D49" s="82">
        <v>310</v>
      </c>
      <c r="E49" s="82"/>
      <c r="F49" s="82"/>
      <c r="G49" s="82"/>
      <c r="H49" s="83" t="s">
        <v>66</v>
      </c>
      <c r="I49" s="90"/>
      <c r="J49" s="212"/>
      <c r="K49" s="220"/>
    </row>
    <row r="50" spans="1:11" x14ac:dyDescent="0.25">
      <c r="A50" s="91">
        <v>46132</v>
      </c>
      <c r="B50" s="236" t="s">
        <v>9</v>
      </c>
      <c r="C50" s="124" t="s">
        <v>251</v>
      </c>
      <c r="D50" s="82">
        <v>360</v>
      </c>
      <c r="E50" s="82"/>
      <c r="F50" s="82">
        <v>34.9</v>
      </c>
      <c r="G50" s="82"/>
      <c r="H50" s="90">
        <v>767180</v>
      </c>
      <c r="I50" s="90"/>
      <c r="J50" s="212"/>
      <c r="K50" s="220"/>
    </row>
    <row r="51" spans="1:11" x14ac:dyDescent="0.25">
      <c r="A51" s="91">
        <v>46134</v>
      </c>
      <c r="B51" s="236" t="s">
        <v>251</v>
      </c>
      <c r="C51" s="124" t="s">
        <v>220</v>
      </c>
      <c r="D51" s="82">
        <v>70</v>
      </c>
      <c r="E51" s="82"/>
      <c r="F51" s="82"/>
      <c r="G51" s="82"/>
      <c r="H51" s="83" t="s">
        <v>66</v>
      </c>
      <c r="I51" s="90"/>
      <c r="J51" s="212"/>
      <c r="K51" s="220"/>
    </row>
    <row r="52" spans="1:11" x14ac:dyDescent="0.25">
      <c r="A52" s="91">
        <v>46135</v>
      </c>
      <c r="B52" s="236" t="s">
        <v>220</v>
      </c>
      <c r="C52" s="124" t="s">
        <v>10</v>
      </c>
      <c r="D52" s="82">
        <v>300</v>
      </c>
      <c r="E52" s="82"/>
      <c r="F52" s="82"/>
      <c r="G52" s="82"/>
      <c r="H52" s="90">
        <v>897555</v>
      </c>
      <c r="I52" s="90"/>
      <c r="J52" s="212"/>
      <c r="K52" s="220"/>
    </row>
    <row r="53" spans="1:11" x14ac:dyDescent="0.25">
      <c r="A53" s="91">
        <v>46135</v>
      </c>
      <c r="B53" s="236" t="s">
        <v>10</v>
      </c>
      <c r="C53" s="124" t="s">
        <v>220</v>
      </c>
      <c r="D53" s="82">
        <v>300</v>
      </c>
      <c r="E53" s="82"/>
      <c r="F53" s="82">
        <v>35.28</v>
      </c>
      <c r="G53" s="82"/>
      <c r="H53" s="90">
        <v>279337</v>
      </c>
      <c r="I53" s="90" t="s">
        <v>176</v>
      </c>
      <c r="J53" s="212"/>
      <c r="K53" s="220"/>
    </row>
    <row r="54" spans="1:11" x14ac:dyDescent="0.25">
      <c r="A54" s="91">
        <v>46136</v>
      </c>
      <c r="B54" s="236" t="s">
        <v>220</v>
      </c>
      <c r="C54" s="124" t="s">
        <v>302</v>
      </c>
      <c r="D54" s="82">
        <v>610</v>
      </c>
      <c r="E54" s="82"/>
      <c r="F54" s="82"/>
      <c r="G54" s="82"/>
      <c r="H54" s="90">
        <v>897821</v>
      </c>
      <c r="I54" s="90"/>
      <c r="J54" s="212"/>
      <c r="K54" s="220"/>
    </row>
    <row r="55" spans="1:11" x14ac:dyDescent="0.25">
      <c r="A55" s="91">
        <v>46142</v>
      </c>
      <c r="B55" s="236" t="s">
        <v>302</v>
      </c>
      <c r="C55" s="124" t="s">
        <v>9</v>
      </c>
      <c r="D55" s="82">
        <v>310</v>
      </c>
      <c r="E55" s="82"/>
      <c r="F55" s="82"/>
      <c r="G55" s="82"/>
      <c r="H55" s="83" t="s">
        <v>66</v>
      </c>
      <c r="I55" s="90"/>
      <c r="J55" s="212"/>
      <c r="K55" s="220"/>
    </row>
    <row r="56" spans="1:11" x14ac:dyDescent="0.25">
      <c r="A56" s="91"/>
      <c r="B56" s="236"/>
      <c r="C56" s="124"/>
      <c r="D56" s="151" t="s">
        <v>461</v>
      </c>
      <c r="E56" s="82"/>
      <c r="F56" s="82"/>
      <c r="G56" s="82"/>
      <c r="H56" s="83"/>
      <c r="I56" s="90"/>
      <c r="J56" s="212"/>
      <c r="K56" s="220"/>
    </row>
    <row r="57" spans="1:11" x14ac:dyDescent="0.25">
      <c r="A57" s="5"/>
      <c r="B57" s="6"/>
      <c r="C57" s="6"/>
      <c r="D57" s="6"/>
      <c r="E57" s="6"/>
      <c r="F57" s="6"/>
      <c r="G57" s="6"/>
      <c r="H57" s="7"/>
      <c r="I57" s="7"/>
      <c r="J57" s="140"/>
      <c r="K57" s="218"/>
    </row>
    <row r="58" spans="1:11" x14ac:dyDescent="0.25">
      <c r="D58" s="17">
        <f>SUM(D3:D57)</f>
        <v>6985</v>
      </c>
      <c r="E58" s="13"/>
      <c r="F58" s="13">
        <f>AVERAGE(F3:F56)</f>
        <v>35.067142857142855</v>
      </c>
      <c r="G58" s="13"/>
      <c r="J58" s="139">
        <f>SUM(J3:J57)</f>
        <v>0</v>
      </c>
      <c r="K58" s="219">
        <f>SUM(K3:K57)</f>
        <v>4498166.2300000004</v>
      </c>
    </row>
    <row r="60" spans="1:11" x14ac:dyDescent="0.25">
      <c r="B60">
        <v>-2000</v>
      </c>
      <c r="D60" s="11"/>
      <c r="E60" s="11"/>
      <c r="F60" s="11"/>
      <c r="G60" s="11"/>
      <c r="K60" s="4"/>
    </row>
    <row r="61" spans="1:11" x14ac:dyDescent="0.25">
      <c r="B61">
        <v>300</v>
      </c>
      <c r="D61" s="11"/>
      <c r="E61" s="11"/>
      <c r="F61" s="11"/>
      <c r="G61" s="11"/>
      <c r="K61" s="4"/>
    </row>
    <row r="62" spans="1:11" x14ac:dyDescent="0.25">
      <c r="B62">
        <v>-300</v>
      </c>
      <c r="C62" t="s">
        <v>13</v>
      </c>
      <c r="D62" s="11">
        <v>44229</v>
      </c>
      <c r="E62" s="11"/>
      <c r="F62" s="11"/>
      <c r="G62" s="11"/>
      <c r="K62" s="4"/>
    </row>
    <row r="63" spans="1:11" x14ac:dyDescent="0.25">
      <c r="B63">
        <v>300</v>
      </c>
      <c r="C63" t="s">
        <v>138</v>
      </c>
      <c r="D63" s="11"/>
      <c r="E63" s="11"/>
      <c r="F63" s="11"/>
      <c r="G63" s="11"/>
      <c r="K63" s="4"/>
    </row>
    <row r="64" spans="1:11" x14ac:dyDescent="0.25">
      <c r="B64">
        <v>-300</v>
      </c>
      <c r="C64" t="s">
        <v>13</v>
      </c>
      <c r="D64" s="11"/>
      <c r="E64" s="11"/>
      <c r="F64" s="11"/>
      <c r="G64" s="11"/>
      <c r="K64" s="4"/>
    </row>
    <row r="65" spans="2:11" x14ac:dyDescent="0.25">
      <c r="B65">
        <v>200</v>
      </c>
      <c r="C65" t="s">
        <v>138</v>
      </c>
      <c r="D65" s="11">
        <v>44279</v>
      </c>
      <c r="E65" s="11"/>
      <c r="F65" s="11"/>
      <c r="G65" s="11"/>
      <c r="K65" s="4"/>
    </row>
    <row r="66" spans="2:11" x14ac:dyDescent="0.25">
      <c r="B66">
        <v>300</v>
      </c>
      <c r="C66" t="s">
        <v>94</v>
      </c>
      <c r="D66" s="11"/>
      <c r="E66" s="11"/>
      <c r="F66" s="11"/>
      <c r="G66" s="11"/>
      <c r="K66" s="4"/>
    </row>
    <row r="67" spans="2:11" x14ac:dyDescent="0.25">
      <c r="B67">
        <v>-500</v>
      </c>
      <c r="C67" t="s">
        <v>71</v>
      </c>
      <c r="D67" s="11"/>
      <c r="E67" s="11"/>
      <c r="F67" s="11"/>
      <c r="G67" s="11"/>
      <c r="K67" s="4"/>
    </row>
    <row r="68" spans="2:11" x14ac:dyDescent="0.25">
      <c r="B68">
        <v>345</v>
      </c>
      <c r="C68" t="s">
        <v>138</v>
      </c>
      <c r="D68" s="11">
        <v>44300</v>
      </c>
      <c r="E68" s="11"/>
      <c r="F68" s="11"/>
      <c r="G68" s="11"/>
      <c r="K68" s="4"/>
    </row>
    <row r="69" spans="2:11" x14ac:dyDescent="0.25">
      <c r="B69">
        <v>-400</v>
      </c>
      <c r="C69" t="s">
        <v>13</v>
      </c>
      <c r="D69" s="11"/>
      <c r="E69" s="11"/>
      <c r="F69" s="11"/>
      <c r="G69" s="11"/>
      <c r="K69" s="4"/>
    </row>
    <row r="70" spans="2:11" x14ac:dyDescent="0.25">
      <c r="B70">
        <v>615</v>
      </c>
      <c r="C70" t="s">
        <v>138</v>
      </c>
      <c r="D70" s="11">
        <v>44324</v>
      </c>
      <c r="E70" s="11"/>
      <c r="F70" s="11"/>
      <c r="G70" s="11"/>
      <c r="K70" s="4"/>
    </row>
    <row r="71" spans="2:11" x14ac:dyDescent="0.25">
      <c r="B71">
        <v>-600</v>
      </c>
      <c r="C71" t="s">
        <v>13</v>
      </c>
      <c r="D71" s="11"/>
      <c r="E71" s="11"/>
      <c r="F71" s="11"/>
      <c r="G71" s="11"/>
      <c r="K71" s="4"/>
    </row>
    <row r="72" spans="2:11" x14ac:dyDescent="0.25">
      <c r="B72">
        <v>1000</v>
      </c>
      <c r="C72" t="s">
        <v>95</v>
      </c>
      <c r="D72" s="11">
        <v>44329</v>
      </c>
      <c r="E72" s="11"/>
      <c r="F72" s="11"/>
      <c r="G72" s="11"/>
      <c r="K72" s="4"/>
    </row>
    <row r="73" spans="2:11" x14ac:dyDescent="0.25">
      <c r="B73">
        <v>-1000</v>
      </c>
      <c r="C73" t="s">
        <v>93</v>
      </c>
      <c r="D73" s="11">
        <v>44329</v>
      </c>
      <c r="E73" s="11"/>
      <c r="F73" s="11"/>
      <c r="G73" s="11"/>
      <c r="K73" s="4"/>
    </row>
    <row r="74" spans="2:11" x14ac:dyDescent="0.25">
      <c r="B74">
        <v>630</v>
      </c>
      <c r="C74" t="s">
        <v>12</v>
      </c>
      <c r="D74" s="11">
        <v>44350</v>
      </c>
      <c r="E74" s="11"/>
      <c r="F74" s="11"/>
      <c r="G74" s="11"/>
      <c r="K74" s="4"/>
    </row>
    <row r="75" spans="2:11" x14ac:dyDescent="0.25">
      <c r="B75">
        <v>-600</v>
      </c>
      <c r="C75" t="s">
        <v>71</v>
      </c>
      <c r="D75" s="11"/>
      <c r="E75" s="11"/>
      <c r="F75" s="11"/>
      <c r="G75" s="11"/>
      <c r="K75" s="4"/>
    </row>
    <row r="76" spans="2:11" x14ac:dyDescent="0.25">
      <c r="B76">
        <v>1750</v>
      </c>
      <c r="C76" t="s">
        <v>166</v>
      </c>
      <c r="D76" s="11"/>
      <c r="E76" s="11"/>
      <c r="F76" s="11"/>
      <c r="G76" s="11"/>
      <c r="K76" s="4"/>
    </row>
    <row r="77" spans="2:11" x14ac:dyDescent="0.25">
      <c r="B77">
        <v>-1800</v>
      </c>
      <c r="C77" t="s">
        <v>13</v>
      </c>
      <c r="D77" s="11">
        <v>44373</v>
      </c>
      <c r="E77" s="11"/>
      <c r="F77" s="11"/>
      <c r="G77" s="11"/>
      <c r="K77" s="4"/>
    </row>
    <row r="78" spans="2:11" x14ac:dyDescent="0.25">
      <c r="B78">
        <v>200</v>
      </c>
      <c r="C78" t="s">
        <v>12</v>
      </c>
      <c r="D78" s="11">
        <v>44389</v>
      </c>
      <c r="E78" s="11"/>
      <c r="F78" s="11"/>
      <c r="G78" s="11"/>
      <c r="K78" s="4"/>
    </row>
    <row r="79" spans="2:11" x14ac:dyDescent="0.25">
      <c r="B79">
        <v>300</v>
      </c>
      <c r="C79" t="s">
        <v>12</v>
      </c>
      <c r="D79" s="11">
        <v>44398</v>
      </c>
      <c r="E79" s="11"/>
      <c r="F79" s="11"/>
      <c r="G79" s="11"/>
      <c r="K79" s="4"/>
    </row>
    <row r="80" spans="2:11" x14ac:dyDescent="0.25">
      <c r="B80">
        <v>-500</v>
      </c>
      <c r="C80" t="s">
        <v>13</v>
      </c>
      <c r="D80" s="11">
        <v>44398</v>
      </c>
      <c r="E80" s="11"/>
      <c r="F80" s="11"/>
      <c r="G80" s="11"/>
      <c r="K80" s="4"/>
    </row>
    <row r="81" spans="2:11" x14ac:dyDescent="0.25">
      <c r="B81">
        <v>740</v>
      </c>
      <c r="C81" t="s">
        <v>12</v>
      </c>
      <c r="D81" s="11"/>
      <c r="E81" s="11"/>
      <c r="F81" s="11"/>
      <c r="G81" s="11"/>
      <c r="K81" s="4"/>
    </row>
    <row r="82" spans="2:11" x14ac:dyDescent="0.25">
      <c r="B82">
        <v>-700</v>
      </c>
      <c r="C82" t="s">
        <v>13</v>
      </c>
      <c r="D82" s="11"/>
      <c r="E82" s="11"/>
      <c r="F82" s="11"/>
      <c r="G82" s="11"/>
      <c r="K82" s="4"/>
    </row>
    <row r="83" spans="2:11" x14ac:dyDescent="0.25">
      <c r="B83">
        <v>1000</v>
      </c>
      <c r="C83" t="s">
        <v>167</v>
      </c>
      <c r="D83" s="11"/>
      <c r="E83" s="11"/>
      <c r="F83" s="11"/>
      <c r="G83" s="11"/>
      <c r="K83" s="4"/>
    </row>
    <row r="84" spans="2:11" x14ac:dyDescent="0.25">
      <c r="B84">
        <v>-1000</v>
      </c>
      <c r="C84" t="s">
        <v>13</v>
      </c>
      <c r="D84" s="11"/>
      <c r="E84" s="11"/>
      <c r="F84" s="11"/>
      <c r="G84" s="11"/>
      <c r="K84" s="4"/>
    </row>
    <row r="85" spans="2:11" x14ac:dyDescent="0.25">
      <c r="B85">
        <v>300</v>
      </c>
      <c r="C85" t="s">
        <v>12</v>
      </c>
      <c r="D85" s="11"/>
      <c r="E85" s="11"/>
      <c r="F85" s="11"/>
      <c r="G85" s="11"/>
      <c r="K85" s="4"/>
    </row>
    <row r="86" spans="2:11" x14ac:dyDescent="0.25">
      <c r="B86">
        <v>-300</v>
      </c>
      <c r="C86" t="s">
        <v>13</v>
      </c>
      <c r="D86" s="11"/>
      <c r="E86" s="11"/>
      <c r="F86" s="11"/>
      <c r="G86" s="11"/>
      <c r="K86" s="4"/>
    </row>
    <row r="87" spans="2:11" x14ac:dyDescent="0.25">
      <c r="B87">
        <v>300</v>
      </c>
      <c r="C87" t="s">
        <v>12</v>
      </c>
      <c r="D87" s="11">
        <v>44422</v>
      </c>
      <c r="E87" s="11"/>
      <c r="F87" s="11"/>
      <c r="G87" s="11"/>
      <c r="K87" s="4"/>
    </row>
    <row r="88" spans="2:11" x14ac:dyDescent="0.25">
      <c r="B88">
        <v>-300</v>
      </c>
      <c r="C88" t="s">
        <v>169</v>
      </c>
      <c r="D88" s="11">
        <v>44422</v>
      </c>
      <c r="E88" s="11"/>
      <c r="F88" s="11"/>
      <c r="G88" s="11"/>
      <c r="K88" s="4"/>
    </row>
    <row r="89" spans="2:11" x14ac:dyDescent="0.25">
      <c r="B89">
        <v>520</v>
      </c>
      <c r="C89" t="s">
        <v>74</v>
      </c>
      <c r="D89" s="11">
        <v>44439</v>
      </c>
      <c r="E89" s="11"/>
      <c r="F89" s="11"/>
      <c r="G89" s="11"/>
      <c r="K89" s="4"/>
    </row>
    <row r="90" spans="2:11" x14ac:dyDescent="0.25">
      <c r="B90">
        <v>-500</v>
      </c>
      <c r="C90" t="s">
        <v>93</v>
      </c>
      <c r="D90" s="11">
        <v>44439</v>
      </c>
      <c r="E90" s="11"/>
      <c r="F90" s="11"/>
      <c r="G90" s="11"/>
      <c r="K90" s="4"/>
    </row>
    <row r="91" spans="2:11" x14ac:dyDescent="0.25">
      <c r="B91">
        <v>520</v>
      </c>
      <c r="C91" t="s">
        <v>170</v>
      </c>
      <c r="D91" s="11">
        <v>44461</v>
      </c>
      <c r="E91" s="11"/>
      <c r="F91" s="11"/>
      <c r="G91" s="11"/>
      <c r="K91" s="4"/>
    </row>
    <row r="92" spans="2:11" x14ac:dyDescent="0.25">
      <c r="B92">
        <v>-600</v>
      </c>
      <c r="C92" t="s">
        <v>13</v>
      </c>
      <c r="D92" s="11"/>
      <c r="E92" s="11"/>
      <c r="F92" s="11"/>
      <c r="G92" s="11"/>
      <c r="K92" s="4"/>
    </row>
    <row r="93" spans="2:11" x14ac:dyDescent="0.25">
      <c r="B93">
        <v>520</v>
      </c>
      <c r="C93" t="s">
        <v>74</v>
      </c>
      <c r="D93" s="11"/>
      <c r="E93" s="11"/>
      <c r="F93" s="11"/>
      <c r="G93" s="11"/>
      <c r="K93" s="4"/>
    </row>
    <row r="94" spans="2:11" x14ac:dyDescent="0.25">
      <c r="B94">
        <v>-500</v>
      </c>
      <c r="C94" t="s">
        <v>93</v>
      </c>
      <c r="D94" s="11"/>
      <c r="E94" s="11"/>
      <c r="F94" s="11"/>
      <c r="G94" s="11"/>
      <c r="K94" s="4"/>
    </row>
    <row r="95" spans="2:11" x14ac:dyDescent="0.25">
      <c r="B95">
        <v>220</v>
      </c>
      <c r="C95" t="s">
        <v>74</v>
      </c>
      <c r="D95" s="11">
        <v>44474</v>
      </c>
      <c r="E95" s="11"/>
      <c r="F95" s="11"/>
      <c r="G95" s="11"/>
      <c r="K95" s="4"/>
    </row>
    <row r="96" spans="2:11" x14ac:dyDescent="0.25">
      <c r="B96">
        <v>-200</v>
      </c>
      <c r="C96" t="s">
        <v>93</v>
      </c>
      <c r="D96" s="11">
        <v>44474</v>
      </c>
      <c r="E96" s="11"/>
      <c r="F96" s="11"/>
      <c r="G96" s="11"/>
      <c r="K96" s="4"/>
    </row>
    <row r="97" spans="2:11" x14ac:dyDescent="0.25">
      <c r="B97">
        <v>300</v>
      </c>
      <c r="C97" t="s">
        <v>138</v>
      </c>
      <c r="D97" s="11"/>
      <c r="E97" s="11"/>
      <c r="F97" s="11"/>
      <c r="G97" s="11"/>
      <c r="K97" s="4"/>
    </row>
    <row r="98" spans="2:11" x14ac:dyDescent="0.25">
      <c r="B98">
        <v>-300</v>
      </c>
      <c r="C98" t="s">
        <v>13</v>
      </c>
      <c r="D98" s="11"/>
      <c r="E98" s="11"/>
      <c r="F98" s="11"/>
      <c r="G98" s="11"/>
      <c r="K98" s="4"/>
    </row>
    <row r="99" spans="2:11" x14ac:dyDescent="0.25">
      <c r="B99">
        <v>520</v>
      </c>
      <c r="C99" t="s">
        <v>171</v>
      </c>
      <c r="D99" s="11">
        <v>44498</v>
      </c>
      <c r="E99" s="11"/>
      <c r="F99" s="11"/>
      <c r="G99" s="11"/>
      <c r="K99" s="4"/>
    </row>
    <row r="100" spans="2:11" x14ac:dyDescent="0.25">
      <c r="B100">
        <v>-520</v>
      </c>
      <c r="C100" t="s">
        <v>13</v>
      </c>
      <c r="D100" s="11"/>
      <c r="E100" s="11"/>
      <c r="F100" s="11"/>
      <c r="G100" s="11"/>
      <c r="K100" s="4"/>
    </row>
    <row r="101" spans="2:11" x14ac:dyDescent="0.25">
      <c r="B101">
        <v>220</v>
      </c>
      <c r="C101" t="s">
        <v>12</v>
      </c>
      <c r="D101" s="11">
        <v>44516</v>
      </c>
      <c r="E101" s="11"/>
      <c r="F101" s="11"/>
      <c r="G101" s="11"/>
      <c r="K101" s="4"/>
    </row>
    <row r="102" spans="2:11" x14ac:dyDescent="0.25">
      <c r="B102">
        <v>-220</v>
      </c>
      <c r="C102" t="s">
        <v>13</v>
      </c>
      <c r="D102" s="11">
        <v>44516</v>
      </c>
      <c r="E102" s="11"/>
      <c r="F102" s="11"/>
      <c r="G102" s="11"/>
      <c r="K102" s="4"/>
    </row>
    <row r="103" spans="2:11" x14ac:dyDescent="0.25">
      <c r="B103">
        <v>-500</v>
      </c>
      <c r="C103" t="s">
        <v>13</v>
      </c>
      <c r="D103" s="11"/>
      <c r="E103" s="11"/>
      <c r="F103" s="11"/>
      <c r="G103" s="11"/>
      <c r="K103" s="4"/>
    </row>
    <row r="104" spans="2:11" x14ac:dyDescent="0.25">
      <c r="B104">
        <v>520</v>
      </c>
      <c r="C104" t="s">
        <v>12</v>
      </c>
      <c r="D104" s="11"/>
      <c r="E104" s="11"/>
      <c r="F104" s="11"/>
      <c r="G104" s="11"/>
      <c r="K104" s="4"/>
    </row>
    <row r="105" spans="2:11" x14ac:dyDescent="0.25">
      <c r="B105">
        <v>220</v>
      </c>
      <c r="C105" t="s">
        <v>74</v>
      </c>
      <c r="D105" s="11"/>
      <c r="E105" s="11"/>
      <c r="F105" s="11"/>
      <c r="G105" s="11"/>
      <c r="K105" s="4"/>
    </row>
    <row r="106" spans="2:11" x14ac:dyDescent="0.25">
      <c r="B106">
        <v>-200</v>
      </c>
      <c r="C106" t="s">
        <v>93</v>
      </c>
      <c r="D106" s="11">
        <v>44526</v>
      </c>
      <c r="E106" s="11"/>
      <c r="F106" s="11"/>
      <c r="G106" s="11"/>
      <c r="K106" s="4"/>
    </row>
    <row r="107" spans="2:11" x14ac:dyDescent="0.25">
      <c r="B107">
        <v>220</v>
      </c>
      <c r="C107" t="s">
        <v>12</v>
      </c>
      <c r="D107" s="11">
        <v>44534</v>
      </c>
      <c r="E107" s="11"/>
      <c r="F107" s="11"/>
      <c r="G107" s="11"/>
      <c r="K107" s="4"/>
    </row>
    <row r="108" spans="2:11" x14ac:dyDescent="0.25">
      <c r="B108">
        <v>-300</v>
      </c>
      <c r="C108" t="s">
        <v>13</v>
      </c>
      <c r="D108" s="11"/>
      <c r="E108" s="11"/>
      <c r="F108" s="11"/>
      <c r="G108" s="11"/>
      <c r="K108" s="4"/>
    </row>
    <row r="109" spans="2:11" x14ac:dyDescent="0.25">
      <c r="B109">
        <v>520</v>
      </c>
      <c r="C109" t="s">
        <v>74</v>
      </c>
      <c r="D109" s="11">
        <v>44545</v>
      </c>
      <c r="E109" s="11"/>
      <c r="F109" s="11"/>
      <c r="G109" s="11"/>
      <c r="K109" s="4"/>
    </row>
    <row r="110" spans="2:11" x14ac:dyDescent="0.25">
      <c r="B110">
        <v>-520</v>
      </c>
      <c r="C110" t="s">
        <v>93</v>
      </c>
      <c r="D110" s="11">
        <v>44545</v>
      </c>
      <c r="E110" s="11"/>
      <c r="F110" s="11"/>
      <c r="G110" s="11"/>
      <c r="K110" s="4"/>
    </row>
    <row r="111" spans="2:11" x14ac:dyDescent="0.25">
      <c r="B111">
        <v>1506</v>
      </c>
      <c r="C111" t="s">
        <v>12</v>
      </c>
      <c r="D111" s="11">
        <v>44567</v>
      </c>
      <c r="E111" s="11"/>
      <c r="F111" s="11"/>
      <c r="G111" s="11"/>
      <c r="K111" s="4"/>
    </row>
    <row r="112" spans="2:11" x14ac:dyDescent="0.25">
      <c r="B112">
        <v>-1500</v>
      </c>
      <c r="C112" t="s">
        <v>13</v>
      </c>
      <c r="D112" s="11"/>
      <c r="E112" s="11"/>
      <c r="F112" s="11"/>
      <c r="G112" s="11"/>
      <c r="K112" s="4"/>
    </row>
    <row r="113" spans="2:11" x14ac:dyDescent="0.25">
      <c r="B113">
        <v>190</v>
      </c>
      <c r="C113" t="s">
        <v>12</v>
      </c>
      <c r="D113" s="11"/>
      <c r="E113" s="11"/>
      <c r="F113" s="11"/>
      <c r="G113" s="11"/>
      <c r="K113" s="4"/>
    </row>
    <row r="114" spans="2:11" x14ac:dyDescent="0.25">
      <c r="B114">
        <v>-200</v>
      </c>
      <c r="C114" t="s">
        <v>13</v>
      </c>
      <c r="D114" s="11"/>
      <c r="E114" s="11"/>
      <c r="F114" s="11"/>
      <c r="G114" s="11"/>
      <c r="K114" s="4"/>
    </row>
    <row r="115" spans="2:11" x14ac:dyDescent="0.25">
      <c r="B115">
        <v>420</v>
      </c>
      <c r="C115" t="s">
        <v>138</v>
      </c>
      <c r="D115" s="11"/>
      <c r="E115" s="11"/>
      <c r="F115" s="11"/>
      <c r="G115" s="11"/>
      <c r="K115" s="4"/>
    </row>
    <row r="116" spans="2:11" x14ac:dyDescent="0.25">
      <c r="B116">
        <v>-400</v>
      </c>
      <c r="C116" t="s">
        <v>13</v>
      </c>
      <c r="D116" s="11"/>
      <c r="E116" s="11"/>
      <c r="F116" s="11"/>
      <c r="G116" s="11"/>
      <c r="K116" s="4"/>
    </row>
    <row r="117" spans="2:11" x14ac:dyDescent="0.25">
      <c r="B117">
        <v>220</v>
      </c>
      <c r="C117" t="s">
        <v>12</v>
      </c>
      <c r="D117" s="11">
        <v>44576</v>
      </c>
      <c r="E117" s="11"/>
      <c r="F117" s="11"/>
      <c r="G117" s="11"/>
      <c r="K117" s="4"/>
    </row>
    <row r="118" spans="2:11" x14ac:dyDescent="0.25">
      <c r="B118">
        <v>-200</v>
      </c>
      <c r="C118" t="s">
        <v>13</v>
      </c>
      <c r="D118" s="11"/>
      <c r="E118" s="11"/>
      <c r="F118" s="11"/>
      <c r="G118" s="11"/>
      <c r="K118" s="4"/>
    </row>
    <row r="119" spans="2:11" x14ac:dyDescent="0.25">
      <c r="B119">
        <v>220</v>
      </c>
      <c r="C119" t="s">
        <v>137</v>
      </c>
      <c r="D119" s="11"/>
      <c r="E119" s="11"/>
      <c r="F119" s="11"/>
      <c r="G119" s="11"/>
      <c r="K119" s="4"/>
    </row>
    <row r="120" spans="2:11" x14ac:dyDescent="0.25">
      <c r="B120">
        <v>-220</v>
      </c>
      <c r="C120" t="s">
        <v>93</v>
      </c>
      <c r="D120" s="11">
        <v>44583</v>
      </c>
      <c r="E120" s="11"/>
      <c r="F120" s="11"/>
      <c r="G120" s="11"/>
      <c r="K120" s="4"/>
    </row>
    <row r="121" spans="2:11" x14ac:dyDescent="0.25">
      <c r="B121">
        <v>220</v>
      </c>
      <c r="C121" t="s">
        <v>74</v>
      </c>
      <c r="D121" s="11"/>
      <c r="E121" s="11"/>
      <c r="F121" s="11"/>
      <c r="G121" s="11"/>
      <c r="K121" s="4"/>
    </row>
    <row r="122" spans="2:11" x14ac:dyDescent="0.25">
      <c r="B122">
        <v>-200</v>
      </c>
      <c r="C122" t="s">
        <v>93</v>
      </c>
      <c r="D122" s="11"/>
      <c r="E122" s="11"/>
      <c r="F122" s="11"/>
      <c r="G122" s="11"/>
      <c r="K122" s="4"/>
    </row>
    <row r="123" spans="2:11" x14ac:dyDescent="0.25">
      <c r="B123">
        <v>220</v>
      </c>
      <c r="C123" t="s">
        <v>12</v>
      </c>
      <c r="D123" s="11">
        <v>44597</v>
      </c>
      <c r="E123" s="11"/>
      <c r="F123" s="11"/>
      <c r="G123" s="11"/>
      <c r="K123" s="4"/>
    </row>
    <row r="124" spans="2:11" x14ac:dyDescent="0.25">
      <c r="B124">
        <v>-200</v>
      </c>
      <c r="C124" t="s">
        <v>13</v>
      </c>
      <c r="D124" s="11"/>
      <c r="E124" s="11"/>
      <c r="F124" s="11"/>
      <c r="G124" s="11"/>
      <c r="K124" s="4"/>
    </row>
    <row r="125" spans="2:11" x14ac:dyDescent="0.25">
      <c r="B125">
        <v>280</v>
      </c>
      <c r="C125" t="s">
        <v>138</v>
      </c>
      <c r="D125" s="11">
        <v>44610</v>
      </c>
      <c r="E125" s="11"/>
      <c r="F125" s="11"/>
      <c r="G125" s="11"/>
      <c r="K125" s="4"/>
    </row>
    <row r="126" spans="2:11" x14ac:dyDescent="0.25">
      <c r="B126">
        <v>-300</v>
      </c>
      <c r="C126" t="s">
        <v>13</v>
      </c>
      <c r="D126" s="11"/>
      <c r="E126" s="11"/>
      <c r="F126" s="11"/>
      <c r="G126" s="11"/>
      <c r="K126" s="4"/>
    </row>
    <row r="127" spans="2:11" x14ac:dyDescent="0.25">
      <c r="B127">
        <v>800</v>
      </c>
      <c r="C127" t="s">
        <v>12</v>
      </c>
      <c r="D127" s="11">
        <v>44636</v>
      </c>
      <c r="E127" s="11"/>
      <c r="F127" s="11"/>
      <c r="G127" s="11"/>
      <c r="K127" s="4"/>
    </row>
    <row r="128" spans="2:11" x14ac:dyDescent="0.25">
      <c r="B128">
        <v>-800</v>
      </c>
      <c r="C128" t="s">
        <v>13</v>
      </c>
      <c r="D128" s="11">
        <v>44636</v>
      </c>
      <c r="E128" s="11"/>
      <c r="F128" s="11"/>
      <c r="G128" s="11"/>
      <c r="K128" s="4"/>
    </row>
    <row r="129" spans="2:11" x14ac:dyDescent="0.25">
      <c r="B129">
        <v>800</v>
      </c>
      <c r="C129" t="s">
        <v>12</v>
      </c>
      <c r="D129" s="11">
        <v>44639</v>
      </c>
      <c r="E129" s="11"/>
      <c r="F129" s="11"/>
      <c r="G129" s="11"/>
      <c r="K129" s="4"/>
    </row>
    <row r="130" spans="2:11" x14ac:dyDescent="0.25">
      <c r="B130">
        <v>-800</v>
      </c>
      <c r="C130" t="s">
        <v>13</v>
      </c>
      <c r="D130" s="11"/>
      <c r="E130" s="11"/>
      <c r="F130" s="11"/>
      <c r="G130" s="11"/>
      <c r="K130" s="4"/>
    </row>
    <row r="131" spans="2:11" x14ac:dyDescent="0.25">
      <c r="B131">
        <v>800</v>
      </c>
      <c r="C131" t="s">
        <v>94</v>
      </c>
      <c r="D131" s="11"/>
      <c r="E131" s="11"/>
      <c r="F131" s="11"/>
      <c r="G131" s="11"/>
      <c r="K131" s="4"/>
    </row>
    <row r="132" spans="2:11" x14ac:dyDescent="0.25">
      <c r="B132">
        <v>-800</v>
      </c>
      <c r="C132" t="s">
        <v>13</v>
      </c>
      <c r="D132" s="11">
        <v>44644</v>
      </c>
      <c r="E132" s="11"/>
      <c r="F132" s="11"/>
      <c r="G132" s="11"/>
      <c r="K132" s="4"/>
    </row>
    <row r="133" spans="2:11" x14ac:dyDescent="0.25">
      <c r="B133">
        <v>1580</v>
      </c>
      <c r="C133" t="s">
        <v>12</v>
      </c>
      <c r="D133" s="11">
        <v>44645</v>
      </c>
      <c r="E133" s="11"/>
      <c r="F133" s="11"/>
      <c r="G133" s="11"/>
      <c r="K133" s="4"/>
    </row>
    <row r="134" spans="2:11" x14ac:dyDescent="0.25">
      <c r="B134">
        <v>-1600</v>
      </c>
      <c r="C134" t="s">
        <v>13</v>
      </c>
      <c r="D134" s="11">
        <v>44645</v>
      </c>
      <c r="E134" s="11"/>
      <c r="F134" s="11"/>
      <c r="G134" s="11"/>
      <c r="K134" s="4"/>
    </row>
    <row r="135" spans="2:11" x14ac:dyDescent="0.25">
      <c r="B135">
        <v>3120</v>
      </c>
      <c r="C135" t="s">
        <v>12</v>
      </c>
      <c r="D135" s="11">
        <v>44645</v>
      </c>
      <c r="E135" s="11"/>
      <c r="F135" s="11"/>
      <c r="G135" s="11"/>
      <c r="K135" s="4"/>
    </row>
    <row r="136" spans="2:11" x14ac:dyDescent="0.25">
      <c r="B136">
        <v>-3100</v>
      </c>
      <c r="C136" t="s">
        <v>13</v>
      </c>
      <c r="D136" s="11">
        <v>44645</v>
      </c>
      <c r="E136" s="11"/>
      <c r="F136" s="11"/>
      <c r="G136" s="11"/>
      <c r="K136" s="4"/>
    </row>
    <row r="137" spans="2:11" x14ac:dyDescent="0.25">
      <c r="B137">
        <v>880</v>
      </c>
      <c r="C137" t="s">
        <v>12</v>
      </c>
      <c r="D137" s="11">
        <v>44657</v>
      </c>
      <c r="E137" s="11"/>
      <c r="F137" s="11"/>
      <c r="G137" s="11"/>
      <c r="K137" s="4"/>
    </row>
    <row r="138" spans="2:11" x14ac:dyDescent="0.25">
      <c r="B138">
        <v>-900</v>
      </c>
      <c r="C138" t="s">
        <v>13</v>
      </c>
      <c r="D138" s="11"/>
      <c r="E138" s="11"/>
      <c r="F138" s="11"/>
      <c r="G138" s="11"/>
      <c r="K138" s="4"/>
    </row>
    <row r="139" spans="2:11" x14ac:dyDescent="0.25">
      <c r="B139">
        <v>280</v>
      </c>
      <c r="C139" t="s">
        <v>74</v>
      </c>
      <c r="D139" s="11">
        <v>44664</v>
      </c>
      <c r="E139" s="11"/>
      <c r="F139" s="11"/>
      <c r="G139" s="11"/>
      <c r="K139" s="4"/>
    </row>
    <row r="140" spans="2:11" x14ac:dyDescent="0.25">
      <c r="B140">
        <v>-300</v>
      </c>
      <c r="C140" t="s">
        <v>93</v>
      </c>
      <c r="D140" s="11">
        <v>44664</v>
      </c>
      <c r="E140" s="11"/>
      <c r="F140" s="11"/>
      <c r="G140" s="11"/>
      <c r="K140" s="4"/>
    </row>
    <row r="141" spans="2:11" x14ac:dyDescent="0.25">
      <c r="B141">
        <v>280</v>
      </c>
      <c r="C141" t="s">
        <v>12</v>
      </c>
      <c r="D141" s="11">
        <v>44671</v>
      </c>
      <c r="E141" s="11"/>
      <c r="F141" s="11"/>
      <c r="G141" s="11"/>
      <c r="K141" s="4"/>
    </row>
    <row r="142" spans="2:11" x14ac:dyDescent="0.25">
      <c r="B142">
        <v>-300</v>
      </c>
      <c r="C142" t="s">
        <v>13</v>
      </c>
      <c r="D142" s="11"/>
      <c r="E142" s="11"/>
      <c r="F142" s="11"/>
      <c r="G142" s="11"/>
      <c r="K142" s="4"/>
    </row>
    <row r="143" spans="2:11" x14ac:dyDescent="0.25">
      <c r="B143">
        <v>280</v>
      </c>
      <c r="C143" t="s">
        <v>12</v>
      </c>
      <c r="D143" s="11">
        <v>44676</v>
      </c>
      <c r="E143" s="11"/>
      <c r="F143" s="11"/>
      <c r="G143" s="11"/>
      <c r="K143" s="4"/>
    </row>
    <row r="144" spans="2:11" x14ac:dyDescent="0.25">
      <c r="B144">
        <v>-300</v>
      </c>
      <c r="C144" t="s">
        <v>13</v>
      </c>
      <c r="D144" s="11">
        <v>44676</v>
      </c>
      <c r="E144" s="11"/>
      <c r="F144" s="11"/>
      <c r="G144" s="11"/>
      <c r="K144" s="4"/>
    </row>
    <row r="145" spans="2:11" x14ac:dyDescent="0.25">
      <c r="B145">
        <v>1320</v>
      </c>
      <c r="C145" t="s">
        <v>12</v>
      </c>
      <c r="D145" s="11">
        <v>44679</v>
      </c>
      <c r="E145" s="11"/>
      <c r="F145" s="11"/>
      <c r="G145" s="11"/>
      <c r="K145" s="4"/>
    </row>
    <row r="146" spans="2:11" x14ac:dyDescent="0.25">
      <c r="B146">
        <v>-1300</v>
      </c>
      <c r="C146" t="s">
        <v>13</v>
      </c>
      <c r="D146" s="11"/>
      <c r="E146" s="11"/>
      <c r="F146" s="11"/>
      <c r="G146" s="11"/>
      <c r="K146" s="4"/>
    </row>
    <row r="147" spans="2:11" x14ac:dyDescent="0.25">
      <c r="B147">
        <v>1320</v>
      </c>
      <c r="C147" t="s">
        <v>12</v>
      </c>
      <c r="D147" s="11">
        <v>44685</v>
      </c>
      <c r="E147" s="11"/>
      <c r="F147" s="11"/>
      <c r="G147" s="11"/>
      <c r="K147" s="4"/>
    </row>
    <row r="148" spans="2:11" x14ac:dyDescent="0.25">
      <c r="B148">
        <v>-1300</v>
      </c>
      <c r="C148" t="s">
        <v>13</v>
      </c>
      <c r="D148" s="11">
        <v>44685</v>
      </c>
      <c r="E148" s="11"/>
      <c r="F148" s="11"/>
      <c r="G148" s="11"/>
      <c r="K148" s="4"/>
    </row>
    <row r="149" spans="2:11" x14ac:dyDescent="0.25">
      <c r="B149">
        <v>680</v>
      </c>
      <c r="C149" t="s">
        <v>12</v>
      </c>
      <c r="D149" s="11">
        <v>44693</v>
      </c>
      <c r="E149" s="11"/>
      <c r="F149" s="11"/>
      <c r="G149" s="11"/>
      <c r="K149" s="4"/>
    </row>
    <row r="150" spans="2:11" x14ac:dyDescent="0.25">
      <c r="B150">
        <v>-700</v>
      </c>
      <c r="C150" t="s">
        <v>13</v>
      </c>
      <c r="D150" s="11"/>
      <c r="E150" s="11"/>
      <c r="F150" s="11"/>
      <c r="G150" s="11"/>
      <c r="K150" s="4"/>
    </row>
    <row r="151" spans="2:11" x14ac:dyDescent="0.25">
      <c r="B151">
        <v>880</v>
      </c>
      <c r="C151" t="s">
        <v>12</v>
      </c>
      <c r="D151" s="11">
        <v>44701</v>
      </c>
      <c r="E151" s="11"/>
      <c r="F151" s="11"/>
      <c r="G151" s="11"/>
      <c r="K151" s="4"/>
    </row>
    <row r="152" spans="2:11" x14ac:dyDescent="0.25">
      <c r="B152">
        <v>-800</v>
      </c>
      <c r="C152" t="s">
        <v>13</v>
      </c>
      <c r="D152" s="11"/>
      <c r="E152" s="11"/>
      <c r="F152" s="11"/>
      <c r="G152" s="11"/>
      <c r="K152" s="4"/>
    </row>
    <row r="153" spans="2:11" x14ac:dyDescent="0.25">
      <c r="B153">
        <v>730</v>
      </c>
      <c r="C153" t="s">
        <v>138</v>
      </c>
      <c r="D153" s="11">
        <v>44713</v>
      </c>
      <c r="E153" s="11"/>
      <c r="F153" s="11"/>
      <c r="G153" s="11"/>
      <c r="K153" s="4"/>
    </row>
    <row r="154" spans="2:11" x14ac:dyDescent="0.25">
      <c r="B154">
        <v>-800</v>
      </c>
      <c r="C154" t="s">
        <v>13</v>
      </c>
      <c r="D154" s="11"/>
      <c r="E154" s="11"/>
      <c r="F154" s="11"/>
      <c r="G154" s="11"/>
      <c r="K154" s="4"/>
    </row>
    <row r="155" spans="2:11" x14ac:dyDescent="0.25">
      <c r="B155">
        <v>680</v>
      </c>
      <c r="C155" t="s">
        <v>12</v>
      </c>
      <c r="D155" s="11">
        <v>44721</v>
      </c>
      <c r="E155" s="11"/>
      <c r="F155" s="11"/>
      <c r="G155" s="11"/>
      <c r="K155" s="4"/>
    </row>
    <row r="156" spans="2:11" x14ac:dyDescent="0.25">
      <c r="B156">
        <v>-700</v>
      </c>
      <c r="C156" t="s">
        <v>13</v>
      </c>
      <c r="D156" s="11">
        <v>44721</v>
      </c>
      <c r="E156" s="11"/>
      <c r="F156" s="11"/>
      <c r="G156" s="11"/>
      <c r="K156" s="4"/>
    </row>
    <row r="157" spans="2:11" x14ac:dyDescent="0.25">
      <c r="B157">
        <v>880</v>
      </c>
      <c r="C157" t="s">
        <v>12</v>
      </c>
      <c r="D157" s="11">
        <v>44727</v>
      </c>
      <c r="E157" s="11"/>
      <c r="F157" s="11"/>
      <c r="G157" s="11"/>
      <c r="K157" s="4"/>
    </row>
    <row r="158" spans="2:11" x14ac:dyDescent="0.25">
      <c r="B158">
        <v>-800</v>
      </c>
      <c r="C158" t="s">
        <v>13</v>
      </c>
      <c r="D158" s="11" t="s">
        <v>182</v>
      </c>
      <c r="E158" s="11"/>
      <c r="F158" s="11"/>
      <c r="G158" s="11"/>
      <c r="K158" s="4"/>
    </row>
    <row r="159" spans="2:11" x14ac:dyDescent="0.25">
      <c r="B159">
        <v>730</v>
      </c>
      <c r="C159" t="s">
        <v>12</v>
      </c>
      <c r="D159" s="11"/>
      <c r="E159" s="11"/>
      <c r="F159" s="11"/>
      <c r="G159" s="11"/>
      <c r="K159" s="4"/>
    </row>
    <row r="160" spans="2:11" x14ac:dyDescent="0.25">
      <c r="B160">
        <v>-730</v>
      </c>
      <c r="C160" t="s">
        <v>13</v>
      </c>
      <c r="D160" s="11"/>
      <c r="E160" s="11"/>
      <c r="F160" s="11"/>
      <c r="G160" s="11"/>
      <c r="K160" s="4"/>
    </row>
    <row r="161" spans="2:11" x14ac:dyDescent="0.25">
      <c r="B161">
        <v>280</v>
      </c>
      <c r="C161" t="s">
        <v>74</v>
      </c>
      <c r="D161" s="11">
        <v>44774</v>
      </c>
      <c r="E161" s="11"/>
      <c r="F161" s="11"/>
      <c r="G161" s="11"/>
      <c r="K161" s="4"/>
    </row>
    <row r="162" spans="2:11" x14ac:dyDescent="0.25">
      <c r="B162">
        <v>-300</v>
      </c>
      <c r="C162" t="s">
        <v>93</v>
      </c>
      <c r="D162" s="11">
        <v>44774</v>
      </c>
      <c r="E162" s="11"/>
      <c r="F162" s="11"/>
      <c r="G162" s="11"/>
      <c r="K162" s="4"/>
    </row>
    <row r="163" spans="2:11" x14ac:dyDescent="0.25">
      <c r="B163">
        <v>480</v>
      </c>
      <c r="C163" t="s">
        <v>12</v>
      </c>
      <c r="D163" s="11"/>
      <c r="E163" s="11"/>
      <c r="F163" s="11"/>
      <c r="G163" s="11"/>
      <c r="K163" s="4"/>
    </row>
    <row r="164" spans="2:11" x14ac:dyDescent="0.25">
      <c r="B164">
        <v>-500</v>
      </c>
      <c r="C164" t="s">
        <v>13</v>
      </c>
      <c r="D164" s="11"/>
      <c r="E164" s="11"/>
      <c r="F164" s="11"/>
      <c r="G164" s="11"/>
      <c r="K164" s="4"/>
    </row>
    <row r="165" spans="2:11" x14ac:dyDescent="0.25">
      <c r="B165">
        <v>1200</v>
      </c>
      <c r="C165" t="s">
        <v>94</v>
      </c>
      <c r="D165" s="11">
        <v>44814</v>
      </c>
      <c r="E165" s="11"/>
      <c r="F165" s="11"/>
      <c r="G165" s="11"/>
      <c r="K165" s="4"/>
    </row>
    <row r="166" spans="2:11" x14ac:dyDescent="0.25">
      <c r="B166">
        <v>-1200</v>
      </c>
      <c r="C166" t="s">
        <v>208</v>
      </c>
      <c r="D166" s="11"/>
      <c r="E166" s="11"/>
      <c r="F166" s="11"/>
      <c r="G166" s="11"/>
      <c r="K166" s="4"/>
    </row>
    <row r="167" spans="2:11" x14ac:dyDescent="0.25">
      <c r="B167">
        <v>1980</v>
      </c>
      <c r="C167" t="s">
        <v>12</v>
      </c>
      <c r="D167" s="11">
        <v>44823</v>
      </c>
      <c r="E167" s="11"/>
      <c r="F167" s="11"/>
      <c r="G167" s="11"/>
      <c r="K167" s="4"/>
    </row>
    <row r="168" spans="2:11" x14ac:dyDescent="0.25">
      <c r="B168">
        <v>-2000</v>
      </c>
      <c r="C168" t="s">
        <v>13</v>
      </c>
      <c r="D168" s="11">
        <v>44823</v>
      </c>
      <c r="E168" s="11"/>
      <c r="F168" s="11"/>
      <c r="G168" s="11"/>
      <c r="K168" s="4"/>
    </row>
    <row r="169" spans="2:11" x14ac:dyDescent="0.25">
      <c r="B169">
        <v>480</v>
      </c>
      <c r="C169" t="s">
        <v>12</v>
      </c>
      <c r="D169" s="11">
        <v>44828</v>
      </c>
      <c r="E169" s="11"/>
      <c r="F169" s="11"/>
      <c r="G169" s="11"/>
      <c r="K169" s="4"/>
    </row>
    <row r="170" spans="2:11" x14ac:dyDescent="0.25">
      <c r="B170">
        <v>-500</v>
      </c>
      <c r="C170" t="s">
        <v>13</v>
      </c>
      <c r="D170" s="11"/>
      <c r="E170" s="11"/>
      <c r="F170" s="11"/>
      <c r="G170" s="11"/>
      <c r="K170" s="4"/>
    </row>
    <row r="171" spans="2:11" x14ac:dyDescent="0.25">
      <c r="B171">
        <v>2570</v>
      </c>
      <c r="C171" t="s">
        <v>74</v>
      </c>
      <c r="D171" s="11"/>
      <c r="E171" s="11"/>
      <c r="F171" s="11"/>
      <c r="G171" s="11"/>
      <c r="K171" s="4"/>
    </row>
    <row r="172" spans="2:11" x14ac:dyDescent="0.25">
      <c r="B172">
        <v>-2500</v>
      </c>
      <c r="C172" t="s">
        <v>93</v>
      </c>
      <c r="D172" s="11"/>
      <c r="E172" s="11"/>
      <c r="F172" s="11"/>
      <c r="G172" s="11"/>
      <c r="K172" s="4"/>
    </row>
    <row r="173" spans="2:11" x14ac:dyDescent="0.25">
      <c r="B173">
        <v>1750</v>
      </c>
      <c r="C173" t="s">
        <v>12</v>
      </c>
      <c r="D173" s="11">
        <v>44848</v>
      </c>
      <c r="E173" s="11"/>
      <c r="F173" s="11"/>
      <c r="G173" s="11"/>
      <c r="K173" s="4"/>
    </row>
    <row r="174" spans="2:11" x14ac:dyDescent="0.25">
      <c r="B174">
        <v>-1800</v>
      </c>
      <c r="C174" t="s">
        <v>13</v>
      </c>
      <c r="D174" s="11"/>
      <c r="E174" s="11"/>
      <c r="F174" s="11"/>
      <c r="G174" s="11"/>
      <c r="K174" s="4"/>
    </row>
    <row r="175" spans="2:11" x14ac:dyDescent="0.25">
      <c r="B175">
        <v>2500</v>
      </c>
      <c r="C175" t="s">
        <v>218</v>
      </c>
      <c r="D175" s="11">
        <v>44870</v>
      </c>
      <c r="E175" s="11"/>
      <c r="F175" s="11"/>
      <c r="G175" s="11"/>
      <c r="K175" s="4"/>
    </row>
    <row r="176" spans="2:11" x14ac:dyDescent="0.25">
      <c r="B176">
        <v>-2500</v>
      </c>
      <c r="C176" t="s">
        <v>93</v>
      </c>
      <c r="D176" s="11">
        <v>44870</v>
      </c>
      <c r="E176" s="11"/>
      <c r="F176" s="11"/>
      <c r="G176" s="11"/>
      <c r="K176" s="4"/>
    </row>
    <row r="177" spans="2:11" x14ac:dyDescent="0.25">
      <c r="B177">
        <v>2000</v>
      </c>
      <c r="C177" t="s">
        <v>12</v>
      </c>
      <c r="D177" s="11">
        <v>44884</v>
      </c>
      <c r="E177" s="11"/>
      <c r="F177" s="11"/>
      <c r="G177" s="11"/>
      <c r="K177" s="4"/>
    </row>
    <row r="178" spans="2:11" x14ac:dyDescent="0.25">
      <c r="B178">
        <v>-2000</v>
      </c>
      <c r="C178" t="s">
        <v>13</v>
      </c>
      <c r="D178" s="11"/>
      <c r="E178" s="11"/>
      <c r="F178" s="11"/>
      <c r="G178" s="11"/>
      <c r="K178" s="4"/>
    </row>
    <row r="179" spans="2:11" x14ac:dyDescent="0.25">
      <c r="B179">
        <v>800</v>
      </c>
      <c r="C179" t="s">
        <v>12</v>
      </c>
      <c r="D179" s="11">
        <v>44912</v>
      </c>
      <c r="E179" s="11"/>
      <c r="F179" s="11"/>
      <c r="G179" s="11"/>
      <c r="K179" s="4"/>
    </row>
    <row r="180" spans="2:11" x14ac:dyDescent="0.25">
      <c r="B180">
        <v>-800</v>
      </c>
      <c r="C180" t="s">
        <v>13</v>
      </c>
      <c r="D180" s="11"/>
      <c r="E180" s="11"/>
      <c r="F180" s="11"/>
      <c r="G180" s="11"/>
      <c r="K180" s="4"/>
    </row>
    <row r="181" spans="2:11" x14ac:dyDescent="0.25">
      <c r="B181">
        <v>1600</v>
      </c>
      <c r="C181" t="s">
        <v>12</v>
      </c>
      <c r="D181" s="11"/>
      <c r="E181" s="11"/>
      <c r="F181" s="11"/>
      <c r="G181" s="11"/>
      <c r="K181" s="4"/>
    </row>
    <row r="182" spans="2:11" x14ac:dyDescent="0.25">
      <c r="B182">
        <v>-1700</v>
      </c>
      <c r="C182" s="11" t="s">
        <v>13</v>
      </c>
      <c r="D182" s="11"/>
      <c r="E182" s="11"/>
      <c r="F182" s="11"/>
      <c r="G182" s="11"/>
      <c r="K182" s="4"/>
    </row>
    <row r="183" spans="2:11" x14ac:dyDescent="0.25">
      <c r="B183">
        <v>-300</v>
      </c>
      <c r="C183" s="11" t="s">
        <v>175</v>
      </c>
      <c r="D183" s="11"/>
      <c r="E183" s="11"/>
      <c r="F183" s="11"/>
      <c r="G183" s="11"/>
      <c r="K183" s="4"/>
    </row>
    <row r="184" spans="2:11" x14ac:dyDescent="0.25">
      <c r="B184">
        <v>1600</v>
      </c>
      <c r="C184" s="11" t="s">
        <v>12</v>
      </c>
      <c r="D184" s="11">
        <v>44967</v>
      </c>
      <c r="E184" s="11"/>
      <c r="F184" s="11"/>
      <c r="G184" s="11"/>
      <c r="K184" s="4"/>
    </row>
    <row r="185" spans="2:11" x14ac:dyDescent="0.25">
      <c r="B185">
        <v>-1200</v>
      </c>
      <c r="C185" s="11" t="s">
        <v>13</v>
      </c>
      <c r="D185" s="11">
        <v>44972</v>
      </c>
      <c r="E185" s="11"/>
      <c r="F185" s="11"/>
      <c r="G185" s="11"/>
      <c r="K185" s="4"/>
    </row>
    <row r="186" spans="2:11" x14ac:dyDescent="0.25">
      <c r="B186">
        <v>1600</v>
      </c>
      <c r="C186" s="11" t="s">
        <v>12</v>
      </c>
      <c r="D186" s="11">
        <v>44978</v>
      </c>
      <c r="E186" s="11"/>
      <c r="F186" s="11"/>
      <c r="G186" s="11"/>
      <c r="K186" s="4"/>
    </row>
    <row r="187" spans="2:11" x14ac:dyDescent="0.25">
      <c r="B187">
        <v>-1600</v>
      </c>
      <c r="C187" s="11" t="s">
        <v>13</v>
      </c>
      <c r="D187" s="11">
        <v>44978</v>
      </c>
      <c r="E187" s="11"/>
      <c r="F187" s="11"/>
      <c r="G187" s="11"/>
      <c r="K187" s="4"/>
    </row>
    <row r="188" spans="2:11" x14ac:dyDescent="0.25">
      <c r="B188">
        <v>400</v>
      </c>
      <c r="C188" s="11" t="s">
        <v>12</v>
      </c>
      <c r="D188" s="11">
        <v>45000</v>
      </c>
      <c r="E188" s="11"/>
      <c r="F188" s="11"/>
      <c r="G188" s="11"/>
      <c r="K188" s="4"/>
    </row>
    <row r="189" spans="2:11" x14ac:dyDescent="0.25">
      <c r="B189">
        <v>-400</v>
      </c>
      <c r="C189" s="11" t="s">
        <v>13</v>
      </c>
      <c r="D189" s="11">
        <v>45009</v>
      </c>
      <c r="E189" s="11"/>
      <c r="F189" s="11"/>
      <c r="G189" s="11"/>
      <c r="K189" s="4"/>
    </row>
    <row r="190" spans="2:11" x14ac:dyDescent="0.25">
      <c r="B190">
        <v>1600</v>
      </c>
      <c r="C190" s="11" t="s">
        <v>12</v>
      </c>
      <c r="D190" s="11">
        <v>45040</v>
      </c>
      <c r="E190" s="11"/>
      <c r="F190" s="11"/>
      <c r="G190" s="11"/>
      <c r="K190" s="4"/>
    </row>
    <row r="191" spans="2:11" x14ac:dyDescent="0.25">
      <c r="B191">
        <v>-1600</v>
      </c>
      <c r="C191" s="11" t="s">
        <v>71</v>
      </c>
      <c r="D191" s="11"/>
      <c r="E191" s="11"/>
      <c r="F191" s="11"/>
      <c r="G191" s="11"/>
      <c r="K191" s="4"/>
    </row>
    <row r="192" spans="2:11" x14ac:dyDescent="0.25">
      <c r="B192">
        <v>800</v>
      </c>
      <c r="C192" s="11" t="s">
        <v>12</v>
      </c>
      <c r="D192" s="11">
        <v>45058</v>
      </c>
      <c r="E192" s="11"/>
      <c r="F192" s="11"/>
      <c r="G192" s="11"/>
      <c r="K192" s="4"/>
    </row>
    <row r="193" spans="2:11" x14ac:dyDescent="0.25">
      <c r="B193">
        <v>-800</v>
      </c>
      <c r="C193" s="11" t="s">
        <v>13</v>
      </c>
      <c r="D193" s="11"/>
      <c r="E193" s="11"/>
      <c r="F193" s="11"/>
      <c r="G193" s="11"/>
      <c r="K193" s="4"/>
    </row>
    <row r="194" spans="2:11" x14ac:dyDescent="0.25">
      <c r="B194">
        <v>600</v>
      </c>
      <c r="C194" s="11" t="s">
        <v>12</v>
      </c>
      <c r="D194" s="11">
        <v>45061</v>
      </c>
      <c r="E194" s="11"/>
      <c r="F194" s="11"/>
      <c r="G194" s="11"/>
      <c r="K194" s="4"/>
    </row>
    <row r="195" spans="2:11" x14ac:dyDescent="0.25">
      <c r="B195">
        <v>-600</v>
      </c>
      <c r="C195" s="11" t="s">
        <v>13</v>
      </c>
      <c r="D195" s="11">
        <v>45061</v>
      </c>
      <c r="E195" s="11"/>
      <c r="F195" s="11"/>
      <c r="G195" s="11"/>
      <c r="K195" s="4"/>
    </row>
    <row r="196" spans="2:11" x14ac:dyDescent="0.25">
      <c r="B196">
        <v>1000</v>
      </c>
      <c r="C196" s="11" t="s">
        <v>235</v>
      </c>
      <c r="D196" s="11">
        <v>45075</v>
      </c>
      <c r="E196" s="11"/>
      <c r="F196" s="11"/>
      <c r="G196" s="11"/>
      <c r="K196" s="4"/>
    </row>
    <row r="197" spans="2:11" x14ac:dyDescent="0.25">
      <c r="B197">
        <v>1200</v>
      </c>
      <c r="C197" s="11" t="s">
        <v>12</v>
      </c>
      <c r="D197" s="11">
        <v>45083</v>
      </c>
      <c r="E197" s="11"/>
      <c r="F197" s="11"/>
      <c r="G197" s="11"/>
      <c r="K197" s="4"/>
    </row>
    <row r="198" spans="2:11" x14ac:dyDescent="0.25">
      <c r="B198">
        <v>-2200</v>
      </c>
      <c r="C198" s="11" t="s">
        <v>13</v>
      </c>
      <c r="D198" s="11"/>
      <c r="E198" s="11"/>
      <c r="F198" s="11"/>
      <c r="G198" s="11"/>
      <c r="K198" s="4"/>
    </row>
    <row r="199" spans="2:11" x14ac:dyDescent="0.25">
      <c r="B199">
        <v>600</v>
      </c>
      <c r="C199" s="11" t="s">
        <v>74</v>
      </c>
      <c r="D199" s="11">
        <v>45088</v>
      </c>
      <c r="E199" s="11"/>
      <c r="F199" s="11"/>
      <c r="G199" s="11"/>
      <c r="K199" s="4"/>
    </row>
    <row r="200" spans="2:11" x14ac:dyDescent="0.25">
      <c r="B200">
        <v>-600</v>
      </c>
      <c r="C200" s="11" t="s">
        <v>93</v>
      </c>
      <c r="D200" s="11"/>
      <c r="E200" s="11"/>
      <c r="F200" s="11"/>
      <c r="G200" s="11"/>
      <c r="K200" s="4"/>
    </row>
    <row r="201" spans="2:11" x14ac:dyDescent="0.25">
      <c r="B201">
        <v>1300</v>
      </c>
      <c r="C201" s="11" t="s">
        <v>74</v>
      </c>
      <c r="D201" s="11">
        <v>45108</v>
      </c>
      <c r="E201" s="11"/>
      <c r="F201" s="11"/>
      <c r="G201" s="11"/>
      <c r="K201" s="4"/>
    </row>
    <row r="202" spans="2:11" x14ac:dyDescent="0.25">
      <c r="B202">
        <v>-1300</v>
      </c>
      <c r="C202" s="11" t="s">
        <v>93</v>
      </c>
      <c r="D202" s="11">
        <v>45108</v>
      </c>
      <c r="E202" s="11"/>
      <c r="F202" s="11"/>
      <c r="G202" s="11"/>
      <c r="K202" s="4"/>
    </row>
    <row r="203" spans="2:11" x14ac:dyDescent="0.25">
      <c r="B203">
        <v>1800</v>
      </c>
      <c r="C203" s="11" t="s">
        <v>12</v>
      </c>
      <c r="D203" s="11"/>
      <c r="E203" s="11"/>
      <c r="F203" s="11"/>
      <c r="G203" s="11"/>
      <c r="K203" s="4"/>
    </row>
    <row r="204" spans="2:11" x14ac:dyDescent="0.25">
      <c r="B204">
        <v>-1800</v>
      </c>
      <c r="C204" s="11" t="s">
        <v>13</v>
      </c>
      <c r="D204" s="11"/>
      <c r="E204" s="11"/>
      <c r="F204" s="11"/>
      <c r="G204" s="11"/>
      <c r="K204" s="4"/>
    </row>
    <row r="205" spans="2:11" x14ac:dyDescent="0.25">
      <c r="B205">
        <v>1200</v>
      </c>
      <c r="C205" s="11" t="s">
        <v>12</v>
      </c>
      <c r="D205" s="11">
        <v>45136</v>
      </c>
      <c r="E205" s="11"/>
      <c r="F205" s="11"/>
      <c r="G205" s="11"/>
      <c r="K205" s="4"/>
    </row>
    <row r="206" spans="2:11" x14ac:dyDescent="0.25">
      <c r="B206">
        <v>-1200</v>
      </c>
      <c r="C206" s="11" t="s">
        <v>13</v>
      </c>
      <c r="D206" s="11">
        <v>45136</v>
      </c>
      <c r="E206" s="11"/>
      <c r="F206" s="11"/>
      <c r="G206" s="11"/>
      <c r="K206" s="4"/>
    </row>
    <row r="207" spans="2:11" x14ac:dyDescent="0.25">
      <c r="B207">
        <v>2000</v>
      </c>
      <c r="C207" s="11" t="s">
        <v>74</v>
      </c>
      <c r="D207" s="11">
        <v>45161</v>
      </c>
      <c r="E207" s="11"/>
      <c r="F207" s="11"/>
      <c r="G207" s="11"/>
      <c r="K207" s="4"/>
    </row>
    <row r="208" spans="2:11" x14ac:dyDescent="0.25">
      <c r="B208">
        <v>-2000</v>
      </c>
      <c r="C208" s="11" t="s">
        <v>93</v>
      </c>
      <c r="D208" s="11">
        <v>45161</v>
      </c>
      <c r="E208" s="11"/>
      <c r="F208" s="11"/>
      <c r="G208" s="11"/>
      <c r="K208" s="4"/>
    </row>
    <row r="209" spans="2:11" x14ac:dyDescent="0.25">
      <c r="B209">
        <v>1600</v>
      </c>
      <c r="C209" s="11" t="s">
        <v>12</v>
      </c>
      <c r="D209" s="11">
        <v>45182</v>
      </c>
      <c r="E209" s="11"/>
      <c r="F209" s="11"/>
      <c r="G209" s="11"/>
      <c r="K209" s="4"/>
    </row>
    <row r="210" spans="2:11" x14ac:dyDescent="0.25">
      <c r="B210">
        <v>-1600</v>
      </c>
      <c r="C210" s="11" t="s">
        <v>13</v>
      </c>
      <c r="D210" s="11"/>
      <c r="E210" s="11"/>
      <c r="F210" s="11"/>
      <c r="G210" s="11"/>
      <c r="K210" s="4"/>
    </row>
    <row r="211" spans="2:11" x14ac:dyDescent="0.25">
      <c r="B211">
        <v>3400</v>
      </c>
      <c r="C211" s="11" t="s">
        <v>12</v>
      </c>
      <c r="D211" s="11">
        <v>45206</v>
      </c>
      <c r="E211" s="11"/>
      <c r="F211" s="11"/>
      <c r="G211" s="11"/>
      <c r="K211" s="4"/>
    </row>
    <row r="212" spans="2:11" x14ac:dyDescent="0.25">
      <c r="B212">
        <v>-3400</v>
      </c>
      <c r="C212" s="11" t="s">
        <v>13</v>
      </c>
      <c r="D212" s="11"/>
      <c r="E212" s="11"/>
      <c r="F212" s="11"/>
      <c r="G212" s="11"/>
      <c r="K212" s="4"/>
    </row>
    <row r="213" spans="2:11" x14ac:dyDescent="0.25">
      <c r="B213">
        <v>1600</v>
      </c>
      <c r="C213" s="11" t="s">
        <v>12</v>
      </c>
      <c r="D213" s="11">
        <v>45264</v>
      </c>
      <c r="E213" s="11"/>
      <c r="F213" s="11"/>
      <c r="G213" s="11"/>
      <c r="K213" s="4"/>
    </row>
    <row r="214" spans="2:11" x14ac:dyDescent="0.25">
      <c r="B214">
        <v>-1600</v>
      </c>
      <c r="C214" s="11" t="s">
        <v>13</v>
      </c>
      <c r="D214" s="11"/>
      <c r="E214" s="11"/>
      <c r="F214" s="11"/>
      <c r="G214" s="11"/>
      <c r="K214" s="4"/>
    </row>
    <row r="215" spans="2:11" x14ac:dyDescent="0.25">
      <c r="B215">
        <v>1200</v>
      </c>
      <c r="C215" s="11" t="s">
        <v>12</v>
      </c>
      <c r="D215" s="11">
        <v>45271</v>
      </c>
      <c r="E215" s="11"/>
      <c r="F215" s="11"/>
      <c r="G215" s="11"/>
      <c r="K215" s="4"/>
    </row>
    <row r="216" spans="2:11" x14ac:dyDescent="0.25">
      <c r="B216">
        <v>-1200</v>
      </c>
      <c r="C216" s="11" t="s">
        <v>93</v>
      </c>
      <c r="D216" s="11">
        <v>45278</v>
      </c>
      <c r="E216" s="11"/>
      <c r="F216" s="11"/>
      <c r="G216" s="11"/>
      <c r="K216" s="4"/>
    </row>
    <row r="217" spans="2:11" x14ac:dyDescent="0.25">
      <c r="B217">
        <v>1200</v>
      </c>
      <c r="C217" s="11" t="s">
        <v>12</v>
      </c>
      <c r="D217" s="11">
        <v>45286</v>
      </c>
      <c r="E217" s="11"/>
      <c r="F217" s="11"/>
      <c r="G217" s="11"/>
      <c r="K217" s="4"/>
    </row>
    <row r="218" spans="2:11" x14ac:dyDescent="0.25">
      <c r="B218">
        <v>-1200</v>
      </c>
      <c r="C218" s="11" t="s">
        <v>13</v>
      </c>
      <c r="D218" s="11"/>
      <c r="E218" s="11"/>
      <c r="F218" s="11"/>
      <c r="G218" s="11"/>
      <c r="K218" s="4"/>
    </row>
    <row r="219" spans="2:11" x14ac:dyDescent="0.25">
      <c r="B219">
        <v>2400</v>
      </c>
      <c r="C219" s="11" t="s">
        <v>12</v>
      </c>
      <c r="D219" s="11">
        <v>45308</v>
      </c>
      <c r="E219" s="11"/>
      <c r="F219" s="11"/>
      <c r="G219" s="11"/>
      <c r="K219" s="4"/>
    </row>
    <row r="220" spans="2:11" x14ac:dyDescent="0.25">
      <c r="B220">
        <v>-2400</v>
      </c>
      <c r="C220" s="11" t="s">
        <v>13</v>
      </c>
      <c r="D220" s="11"/>
      <c r="E220" s="11"/>
      <c r="F220" s="11"/>
      <c r="G220" s="11"/>
      <c r="K220" s="4"/>
    </row>
    <row r="221" spans="2:11" x14ac:dyDescent="0.25">
      <c r="B221">
        <v>-50000</v>
      </c>
      <c r="C221" s="11" t="s">
        <v>13</v>
      </c>
      <c r="D221" s="11">
        <v>45503</v>
      </c>
      <c r="E221" s="11"/>
      <c r="F221" s="11"/>
      <c r="G221" s="11"/>
      <c r="K221" s="4"/>
    </row>
    <row r="222" spans="2:11" x14ac:dyDescent="0.25">
      <c r="B222">
        <v>72200</v>
      </c>
      <c r="C222" s="11" t="s">
        <v>12</v>
      </c>
      <c r="D222" s="11">
        <v>45509</v>
      </c>
      <c r="E222" s="11"/>
      <c r="F222" s="11"/>
      <c r="G222" s="11"/>
      <c r="K222" s="4"/>
    </row>
    <row r="223" spans="2:11" x14ac:dyDescent="0.25">
      <c r="B223">
        <v>-72200</v>
      </c>
      <c r="C223" s="11" t="s">
        <v>13</v>
      </c>
      <c r="D223" s="11">
        <v>45509</v>
      </c>
      <c r="E223" s="11"/>
      <c r="F223" s="11"/>
      <c r="G223" s="11"/>
      <c r="K223" s="4"/>
    </row>
    <row r="224" spans="2:11" x14ac:dyDescent="0.25">
      <c r="B224">
        <v>58700</v>
      </c>
      <c r="C224" s="11" t="s">
        <v>12</v>
      </c>
      <c r="D224" s="11">
        <v>45518</v>
      </c>
      <c r="E224" s="11"/>
      <c r="F224" s="11"/>
      <c r="G224" s="11"/>
      <c r="K224" s="4"/>
    </row>
    <row r="225" spans="2:11" x14ac:dyDescent="0.25">
      <c r="B225">
        <v>-58700</v>
      </c>
      <c r="C225" s="11" t="s">
        <v>13</v>
      </c>
      <c r="D225" s="11"/>
      <c r="E225" s="11"/>
      <c r="F225" s="11"/>
      <c r="G225" s="11"/>
      <c r="K225" s="4"/>
    </row>
    <row r="226" spans="2:11" x14ac:dyDescent="0.25">
      <c r="B226">
        <v>50000</v>
      </c>
      <c r="C226" s="11" t="s">
        <v>261</v>
      </c>
      <c r="D226" s="11"/>
      <c r="E226" s="11"/>
      <c r="F226" s="11"/>
      <c r="G226" s="11"/>
      <c r="K226" s="4"/>
    </row>
    <row r="227" spans="2:11" x14ac:dyDescent="0.25">
      <c r="B227">
        <v>-1000</v>
      </c>
      <c r="C227" s="11" t="s">
        <v>175</v>
      </c>
      <c r="D227" s="11">
        <v>45652</v>
      </c>
      <c r="E227" s="11"/>
      <c r="F227" s="11"/>
      <c r="G227" s="11"/>
      <c r="K227" s="4"/>
    </row>
    <row r="228" spans="2:11" x14ac:dyDescent="0.25">
      <c r="B228">
        <v>5100</v>
      </c>
      <c r="C228" s="11" t="s">
        <v>12</v>
      </c>
      <c r="D228" s="11"/>
      <c r="E228" s="11"/>
      <c r="F228" s="11"/>
      <c r="G228" s="11"/>
      <c r="K228" s="4"/>
    </row>
    <row r="229" spans="2:11" x14ac:dyDescent="0.25">
      <c r="B229">
        <v>-23000</v>
      </c>
      <c r="C229" s="11" t="s">
        <v>13</v>
      </c>
      <c r="D229" s="11">
        <v>45835</v>
      </c>
      <c r="E229" s="11"/>
      <c r="F229" s="11"/>
      <c r="G229" s="11"/>
      <c r="K229" s="4"/>
    </row>
    <row r="230" spans="2:11" x14ac:dyDescent="0.25">
      <c r="B230">
        <v>9200</v>
      </c>
      <c r="C230" s="11" t="s">
        <v>138</v>
      </c>
      <c r="D230" s="11">
        <v>45954</v>
      </c>
      <c r="E230" s="11"/>
      <c r="F230" s="11"/>
      <c r="G230" s="11"/>
      <c r="K230" s="4"/>
    </row>
    <row r="231" spans="2:11" x14ac:dyDescent="0.25">
      <c r="B231">
        <v>-9200</v>
      </c>
      <c r="C231" s="11" t="s">
        <v>13</v>
      </c>
      <c r="D231" s="11"/>
      <c r="E231" s="11"/>
      <c r="F231" s="11"/>
      <c r="G231" s="11"/>
      <c r="K231" s="4"/>
    </row>
    <row r="232" spans="2:11" x14ac:dyDescent="0.25">
      <c r="B232">
        <v>20400</v>
      </c>
      <c r="C232" s="11" t="s">
        <v>12</v>
      </c>
      <c r="D232" s="11">
        <v>45981</v>
      </c>
      <c r="E232" s="11"/>
      <c r="F232" s="11"/>
      <c r="G232" s="11"/>
      <c r="K232" s="4"/>
    </row>
    <row r="233" spans="2:11" x14ac:dyDescent="0.25">
      <c r="B233">
        <v>-20400</v>
      </c>
      <c r="C233" s="11" t="s">
        <v>13</v>
      </c>
      <c r="D233" s="11">
        <v>45981</v>
      </c>
      <c r="E233" s="11"/>
      <c r="F233" s="11"/>
      <c r="G233" s="11"/>
      <c r="K233" s="4"/>
    </row>
    <row r="234" spans="2:11" x14ac:dyDescent="0.25">
      <c r="B234" s="135">
        <f>SUM(B60:B233)</f>
        <v>-20974</v>
      </c>
      <c r="C234" s="11">
        <v>45981</v>
      </c>
      <c r="D234" s="11"/>
      <c r="E234" s="11"/>
      <c r="F234" s="11"/>
      <c r="G234" s="11"/>
      <c r="K234" s="4"/>
    </row>
    <row r="235" spans="2:11" x14ac:dyDescent="0.25">
      <c r="B235" s="11"/>
      <c r="D235" s="11"/>
      <c r="E235" s="11"/>
      <c r="F235" s="11"/>
      <c r="G235" s="11"/>
      <c r="K235" s="4"/>
    </row>
    <row r="236" spans="2:11" x14ac:dyDescent="0.25">
      <c r="B236" s="11"/>
      <c r="E236" s="11"/>
      <c r="F236" s="11"/>
      <c r="G236" s="11"/>
      <c r="K236" s="4"/>
    </row>
    <row r="237" spans="2:11" x14ac:dyDescent="0.25">
      <c r="B237" s="11"/>
      <c r="E237" s="11"/>
      <c r="F237" s="11"/>
      <c r="G237" s="11"/>
      <c r="K237" s="4"/>
    </row>
    <row r="238" spans="2:11" x14ac:dyDescent="0.25">
      <c r="B238" s="11"/>
      <c r="E238" s="11"/>
      <c r="F238" s="11"/>
      <c r="G238" s="11"/>
      <c r="K238" s="4"/>
    </row>
    <row r="239" spans="2:11" x14ac:dyDescent="0.25">
      <c r="B239" s="11"/>
      <c r="C239" s="11"/>
      <c r="E239" s="11"/>
      <c r="F239" s="11"/>
      <c r="G239" s="11"/>
      <c r="K239" s="4"/>
    </row>
    <row r="240" spans="2:11" x14ac:dyDescent="0.25">
      <c r="B240" s="11"/>
      <c r="E240" s="4"/>
      <c r="K240" s="4"/>
    </row>
    <row r="241" spans="2:11" x14ac:dyDescent="0.25">
      <c r="B241" s="11"/>
      <c r="F241" s="11"/>
      <c r="G241" s="11"/>
      <c r="I241" s="173"/>
      <c r="K241" s="4"/>
    </row>
    <row r="242" spans="2:11" x14ac:dyDescent="0.25">
      <c r="B242" s="11"/>
      <c r="E242" s="11"/>
      <c r="F242" s="11"/>
      <c r="G242" s="11"/>
      <c r="K242" s="4"/>
    </row>
    <row r="243" spans="2:11" x14ac:dyDescent="0.25">
      <c r="B243" s="11"/>
      <c r="K243" s="4"/>
    </row>
    <row r="244" spans="2:11" x14ac:dyDescent="0.25">
      <c r="B244" s="11"/>
      <c r="E244" s="11"/>
      <c r="F244" s="11"/>
      <c r="G244" s="11"/>
      <c r="K244" s="4"/>
    </row>
    <row r="245" spans="2:11" x14ac:dyDescent="0.25">
      <c r="B245" s="11"/>
      <c r="I245" s="4"/>
    </row>
    <row r="246" spans="2:11" x14ac:dyDescent="0.25">
      <c r="B246" s="11"/>
      <c r="E246" s="11"/>
      <c r="F246" s="11"/>
      <c r="G246" s="11"/>
      <c r="K246" s="4"/>
    </row>
    <row r="247" spans="2:11" x14ac:dyDescent="0.25">
      <c r="B247" s="11"/>
      <c r="E247" s="11"/>
      <c r="F247" s="11"/>
      <c r="G247" s="11"/>
      <c r="K247" s="4"/>
    </row>
    <row r="248" spans="2:11" x14ac:dyDescent="0.25">
      <c r="B248" s="11"/>
      <c r="E248" s="11"/>
      <c r="F248" s="11"/>
      <c r="G248" s="11"/>
      <c r="K248" s="4"/>
    </row>
    <row r="249" spans="2:11" x14ac:dyDescent="0.25">
      <c r="B249" s="11"/>
      <c r="E249" s="11"/>
      <c r="F249" s="11"/>
      <c r="G249" s="11"/>
      <c r="K249" s="4"/>
    </row>
    <row r="250" spans="2:11" x14ac:dyDescent="0.25">
      <c r="B250" s="11"/>
      <c r="E250" s="11"/>
      <c r="F250" s="11"/>
      <c r="G250" s="11"/>
      <c r="K250" s="4"/>
    </row>
    <row r="251" spans="2:11" x14ac:dyDescent="0.25">
      <c r="B251" s="11"/>
      <c r="D251" s="11"/>
      <c r="E251" s="11"/>
      <c r="F251" s="11"/>
      <c r="G251" s="11"/>
      <c r="K251" s="4"/>
    </row>
    <row r="252" spans="2:11" x14ac:dyDescent="0.25">
      <c r="B252" s="11"/>
      <c r="E252" s="11"/>
      <c r="F252" s="11"/>
      <c r="G252" s="11"/>
      <c r="K252" s="4"/>
    </row>
    <row r="253" spans="2:11" x14ac:dyDescent="0.25">
      <c r="B253" s="11"/>
      <c r="E253" s="11"/>
      <c r="F253" s="11"/>
      <c r="G253" s="11"/>
      <c r="K253" s="4"/>
    </row>
    <row r="254" spans="2:11" x14ac:dyDescent="0.25">
      <c r="B254" s="11"/>
      <c r="E254" s="11"/>
      <c r="F254" s="11"/>
      <c r="G254" s="11"/>
      <c r="K254" s="4"/>
    </row>
    <row r="255" spans="2:11" x14ac:dyDescent="0.25">
      <c r="B255" s="11"/>
      <c r="E255" s="11"/>
      <c r="F255" s="11"/>
      <c r="G255" s="11"/>
      <c r="K255" s="4"/>
    </row>
    <row r="256" spans="2:11" x14ac:dyDescent="0.25">
      <c r="B256" s="11"/>
      <c r="E256" s="11"/>
      <c r="F256" s="11"/>
      <c r="G256" s="11"/>
      <c r="K256" s="4"/>
    </row>
    <row r="257" spans="2:11" x14ac:dyDescent="0.25">
      <c r="B257" s="11"/>
      <c r="E257" s="11"/>
      <c r="F257" s="11"/>
      <c r="G257" s="11"/>
      <c r="K257" s="4"/>
    </row>
    <row r="258" spans="2:11" x14ac:dyDescent="0.25">
      <c r="B258" s="11"/>
      <c r="E258" s="11"/>
      <c r="F258" s="11"/>
      <c r="G258" s="11"/>
    </row>
    <row r="259" spans="2:11" x14ac:dyDescent="0.25">
      <c r="B259" s="11"/>
      <c r="E259" s="11"/>
      <c r="F259" s="11"/>
      <c r="G259" s="11"/>
    </row>
    <row r="260" spans="2:11" x14ac:dyDescent="0.25">
      <c r="B260" s="11"/>
      <c r="E260" s="11"/>
      <c r="F260" s="11"/>
      <c r="G260" s="11"/>
    </row>
    <row r="261" spans="2:11" x14ac:dyDescent="0.25">
      <c r="B261" s="11"/>
      <c r="E261" s="11"/>
      <c r="F261" s="11"/>
      <c r="G261" s="11"/>
    </row>
    <row r="262" spans="2:11" x14ac:dyDescent="0.25">
      <c r="B262" s="11"/>
      <c r="E262" s="11"/>
      <c r="F262" s="11"/>
      <c r="G262" s="11"/>
    </row>
    <row r="263" spans="2:11" x14ac:dyDescent="0.25">
      <c r="B263" s="11"/>
      <c r="E263" s="11"/>
      <c r="F263" s="11"/>
      <c r="G263" s="11"/>
    </row>
    <row r="264" spans="2:11" x14ac:dyDescent="0.25">
      <c r="B264" s="11"/>
      <c r="E264" s="11"/>
      <c r="F264" s="11"/>
      <c r="G264" s="11"/>
    </row>
    <row r="265" spans="2:11" x14ac:dyDescent="0.25">
      <c r="B265" s="11"/>
      <c r="E265" s="11"/>
      <c r="F265" s="11"/>
      <c r="G265" s="11"/>
    </row>
    <row r="266" spans="2:11" x14ac:dyDescent="0.25">
      <c r="B266" s="11"/>
      <c r="E266" s="11"/>
      <c r="F266" s="11"/>
      <c r="G266" s="11"/>
    </row>
    <row r="267" spans="2:11" x14ac:dyDescent="0.25">
      <c r="B267" s="11"/>
      <c r="E267" s="11"/>
      <c r="F267" s="11"/>
      <c r="G267" s="11"/>
    </row>
    <row r="268" spans="2:11" x14ac:dyDescent="0.25">
      <c r="B268" s="11"/>
      <c r="E268" s="11"/>
      <c r="F268" s="11"/>
      <c r="G268" s="11"/>
    </row>
    <row r="269" spans="2:11" x14ac:dyDescent="0.25">
      <c r="B269" s="11"/>
      <c r="E269" s="11"/>
      <c r="F269" s="11"/>
      <c r="G269" s="11"/>
    </row>
    <row r="270" spans="2:11" x14ac:dyDescent="0.25">
      <c r="B270" s="11"/>
      <c r="E270" s="11"/>
      <c r="F270" s="11"/>
      <c r="G270" s="11"/>
    </row>
    <row r="271" spans="2:11" x14ac:dyDescent="0.25">
      <c r="B271" s="11"/>
      <c r="E271" s="11"/>
      <c r="F271" s="11"/>
      <c r="G271" s="11"/>
    </row>
    <row r="272" spans="2:11" x14ac:dyDescent="0.25">
      <c r="B272" s="11"/>
      <c r="E272" s="11"/>
      <c r="F272" s="11"/>
      <c r="G272" s="11"/>
    </row>
    <row r="273" spans="2:7" x14ac:dyDescent="0.25">
      <c r="B273" s="11"/>
      <c r="E273" s="11"/>
      <c r="F273" s="11"/>
      <c r="G273" s="11"/>
    </row>
    <row r="274" spans="2:7" x14ac:dyDescent="0.25">
      <c r="B274" s="11"/>
      <c r="E274" s="11"/>
      <c r="F274" s="11"/>
      <c r="G274" s="11"/>
    </row>
    <row r="275" spans="2:7" x14ac:dyDescent="0.25">
      <c r="E275" s="11"/>
      <c r="F275" s="11"/>
      <c r="G275" s="11"/>
    </row>
    <row r="276" spans="2:7" x14ac:dyDescent="0.25">
      <c r="E276" s="11"/>
      <c r="F276" s="11"/>
      <c r="G276" s="11"/>
    </row>
    <row r="277" spans="2:7" x14ac:dyDescent="0.25">
      <c r="E277" s="11"/>
      <c r="F277" s="11"/>
      <c r="G277" s="11"/>
    </row>
    <row r="278" spans="2:7" x14ac:dyDescent="0.25">
      <c r="E278" s="11"/>
      <c r="F278" s="11"/>
      <c r="G278" s="11"/>
    </row>
    <row r="279" spans="2:7" x14ac:dyDescent="0.25">
      <c r="E279" s="11"/>
      <c r="F279" s="11"/>
      <c r="G279" s="11"/>
    </row>
    <row r="280" spans="2:7" x14ac:dyDescent="0.25">
      <c r="E280" s="11"/>
      <c r="F280" s="11"/>
      <c r="G280" s="1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85"/>
  <sheetViews>
    <sheetView topLeftCell="A34" zoomScale="110" zoomScaleNormal="110" workbookViewId="0">
      <selection activeCell="M14" sqref="M14"/>
    </sheetView>
  </sheetViews>
  <sheetFormatPr baseColWidth="10" defaultRowHeight="15" x14ac:dyDescent="0.25"/>
  <cols>
    <col min="2" max="2" width="12.42578125" bestFit="1" customWidth="1"/>
    <col min="5" max="5" width="11.140625" customWidth="1"/>
    <col min="6" max="6" width="11.140625" style="230" customWidth="1"/>
    <col min="7" max="7" width="12.140625" customWidth="1"/>
    <col min="8" max="8" width="12.7109375" bestFit="1" customWidth="1"/>
    <col min="9" max="9" width="14.85546875" bestFit="1" customWidth="1"/>
    <col min="11" max="11" width="12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46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/>
      <c r="B3" s="82"/>
      <c r="C3" s="124"/>
      <c r="D3" s="82"/>
      <c r="E3" s="82"/>
      <c r="F3" s="82"/>
      <c r="G3" s="82"/>
      <c r="H3" s="123"/>
      <c r="I3" s="90"/>
      <c r="J3" s="82"/>
      <c r="K3" s="217"/>
    </row>
    <row r="4" spans="1:11" x14ac:dyDescent="0.25">
      <c r="A4" s="179"/>
      <c r="B4" s="82"/>
      <c r="C4" s="124"/>
      <c r="D4" s="82"/>
      <c r="E4" s="82"/>
      <c r="F4" s="82"/>
      <c r="G4" s="82"/>
      <c r="H4" s="123"/>
      <c r="I4" s="90"/>
      <c r="J4" s="82"/>
      <c r="K4" s="217"/>
    </row>
    <row r="5" spans="1:11" x14ac:dyDescent="0.25">
      <c r="A5" s="179"/>
      <c r="B5" s="82"/>
      <c r="C5" s="124"/>
      <c r="D5" s="82"/>
      <c r="E5" s="82"/>
      <c r="F5" s="82"/>
      <c r="G5" s="82"/>
      <c r="H5" s="123"/>
      <c r="I5" s="90"/>
      <c r="J5" s="82"/>
      <c r="K5" s="217"/>
    </row>
    <row r="6" spans="1:11" x14ac:dyDescent="0.25">
      <c r="A6" s="179"/>
      <c r="B6" s="82"/>
      <c r="C6" s="124"/>
      <c r="D6" s="82"/>
      <c r="E6" s="82"/>
      <c r="F6" s="82"/>
      <c r="G6" s="82"/>
      <c r="H6" s="123"/>
      <c r="I6" s="90"/>
      <c r="J6" s="82"/>
      <c r="K6" s="217"/>
    </row>
    <row r="7" spans="1:11" x14ac:dyDescent="0.25">
      <c r="A7" s="179"/>
      <c r="B7" s="82"/>
      <c r="C7" s="124"/>
      <c r="D7" s="82"/>
      <c r="E7" s="82"/>
      <c r="F7" s="82"/>
      <c r="G7" s="82"/>
      <c r="H7" s="123"/>
      <c r="I7" s="90"/>
      <c r="J7" s="82"/>
      <c r="K7" s="217"/>
    </row>
    <row r="8" spans="1:11" x14ac:dyDescent="0.25">
      <c r="A8" s="179"/>
      <c r="B8" s="82"/>
      <c r="C8" s="124"/>
      <c r="D8" s="82"/>
      <c r="E8" s="82"/>
      <c r="F8" s="82"/>
      <c r="G8" s="82"/>
      <c r="H8" s="123"/>
      <c r="I8" s="90"/>
      <c r="J8" s="82"/>
      <c r="K8" s="217"/>
    </row>
    <row r="9" spans="1:11" x14ac:dyDescent="0.25">
      <c r="A9" s="179"/>
      <c r="B9" s="82"/>
      <c r="C9" s="124"/>
      <c r="D9" s="82"/>
      <c r="E9" s="82"/>
      <c r="F9" s="82"/>
      <c r="G9" s="82"/>
      <c r="H9" s="123"/>
      <c r="I9" s="90"/>
      <c r="J9" s="82"/>
      <c r="K9" s="217"/>
    </row>
    <row r="10" spans="1:11" x14ac:dyDescent="0.25">
      <c r="A10" s="179"/>
      <c r="B10" s="82"/>
      <c r="C10" s="124"/>
      <c r="D10" s="82"/>
      <c r="E10" s="82"/>
      <c r="F10" s="82"/>
      <c r="G10" s="82"/>
      <c r="H10" s="123"/>
      <c r="I10" s="90"/>
      <c r="J10" s="82"/>
      <c r="K10" s="217"/>
    </row>
    <row r="11" spans="1:11" x14ac:dyDescent="0.25">
      <c r="A11" s="179"/>
      <c r="B11" s="82"/>
      <c r="C11" s="124"/>
      <c r="D11" s="82"/>
      <c r="E11" s="82"/>
      <c r="F11" s="82"/>
      <c r="G11" s="82"/>
      <c r="H11" s="123"/>
      <c r="I11" s="90"/>
      <c r="J11" s="82"/>
      <c r="K11" s="217"/>
    </row>
    <row r="12" spans="1:11" x14ac:dyDescent="0.25">
      <c r="A12" s="179"/>
      <c r="B12" s="82"/>
      <c r="C12" s="124"/>
      <c r="D12" s="82"/>
      <c r="E12" s="82"/>
      <c r="F12" s="82"/>
      <c r="G12" s="82"/>
      <c r="H12" s="123"/>
      <c r="I12" s="90"/>
      <c r="J12" s="82"/>
      <c r="K12" s="217"/>
    </row>
    <row r="13" spans="1:11" x14ac:dyDescent="0.25">
      <c r="A13" s="179"/>
      <c r="B13" s="82"/>
      <c r="C13" s="124"/>
      <c r="D13" s="82"/>
      <c r="E13" s="82"/>
      <c r="F13" s="82"/>
      <c r="G13" s="82"/>
      <c r="H13" s="123"/>
      <c r="I13" s="90"/>
      <c r="J13" s="82"/>
      <c r="K13" s="217"/>
    </row>
    <row r="14" spans="1:11" x14ac:dyDescent="0.25">
      <c r="A14" s="179"/>
      <c r="B14" s="82"/>
      <c r="C14" s="124"/>
      <c r="D14" s="82"/>
      <c r="E14" s="82"/>
      <c r="F14" s="82"/>
      <c r="G14" s="82"/>
      <c r="H14" s="123"/>
      <c r="I14" s="90"/>
      <c r="J14" s="82"/>
      <c r="K14" s="217"/>
    </row>
    <row r="15" spans="1:11" x14ac:dyDescent="0.25">
      <c r="A15" s="179"/>
      <c r="B15" s="82"/>
      <c r="C15" s="124"/>
      <c r="D15" s="82"/>
      <c r="E15" s="82"/>
      <c r="F15" s="82"/>
      <c r="G15" s="82"/>
      <c r="H15" s="123"/>
      <c r="I15" s="90"/>
      <c r="J15" s="82"/>
      <c r="K15" s="217"/>
    </row>
    <row r="16" spans="1:11" x14ac:dyDescent="0.25">
      <c r="A16" s="179"/>
      <c r="B16" s="82"/>
      <c r="C16" s="124"/>
      <c r="D16" s="82"/>
      <c r="E16" s="82"/>
      <c r="F16" s="82"/>
      <c r="G16" s="82"/>
      <c r="H16" s="123"/>
      <c r="I16" s="90"/>
      <c r="J16" s="82"/>
      <c r="K16" s="217"/>
    </row>
    <row r="17" spans="1:11" x14ac:dyDescent="0.25">
      <c r="A17" s="179"/>
      <c r="B17" s="82"/>
      <c r="C17" s="124"/>
      <c r="D17" s="82"/>
      <c r="E17" s="82"/>
      <c r="F17" s="82"/>
      <c r="G17" s="82"/>
      <c r="H17" s="123"/>
      <c r="I17" s="90"/>
      <c r="J17" s="82"/>
      <c r="K17" s="217"/>
    </row>
    <row r="18" spans="1:11" x14ac:dyDescent="0.25">
      <c r="A18" s="179"/>
      <c r="B18" s="82"/>
      <c r="C18" s="124"/>
      <c r="D18" s="82"/>
      <c r="E18" s="82"/>
      <c r="F18" s="82"/>
      <c r="G18" s="82"/>
      <c r="H18" s="123"/>
      <c r="I18" s="90"/>
      <c r="J18" s="82"/>
      <c r="K18" s="217"/>
    </row>
    <row r="19" spans="1:11" x14ac:dyDescent="0.25">
      <c r="A19" s="179"/>
      <c r="B19" s="82"/>
      <c r="C19" s="124"/>
      <c r="D19" s="82"/>
      <c r="E19" s="82"/>
      <c r="F19" s="82"/>
      <c r="G19" s="82"/>
      <c r="H19" s="123"/>
      <c r="I19" s="90"/>
      <c r="J19" s="82"/>
      <c r="K19" s="217"/>
    </row>
    <row r="20" spans="1:11" x14ac:dyDescent="0.25">
      <c r="A20" s="179"/>
      <c r="B20" s="82"/>
      <c r="C20" s="124"/>
      <c r="D20" s="82"/>
      <c r="E20" s="82"/>
      <c r="F20" s="82"/>
      <c r="G20" s="82"/>
      <c r="H20" s="123"/>
      <c r="I20" s="90"/>
      <c r="J20" s="82"/>
      <c r="K20" s="217"/>
    </row>
    <row r="21" spans="1:11" x14ac:dyDescent="0.25">
      <c r="A21" s="179"/>
      <c r="B21" s="82"/>
      <c r="C21" s="124"/>
      <c r="D21" s="82"/>
      <c r="E21" s="82"/>
      <c r="F21" s="82"/>
      <c r="G21" s="82"/>
      <c r="H21" s="123"/>
      <c r="I21" s="90"/>
      <c r="J21" s="82"/>
      <c r="K21" s="217"/>
    </row>
    <row r="22" spans="1:11" x14ac:dyDescent="0.25">
      <c r="A22" s="179"/>
      <c r="B22" s="82"/>
      <c r="C22" s="124"/>
      <c r="D22" s="82"/>
      <c r="E22" s="82"/>
      <c r="F22" s="82"/>
      <c r="G22" s="82"/>
      <c r="H22" s="123"/>
      <c r="I22" s="90"/>
      <c r="J22" s="82"/>
      <c r="K22" s="217"/>
    </row>
    <row r="23" spans="1:11" x14ac:dyDescent="0.25">
      <c r="A23" s="179"/>
      <c r="B23" s="82"/>
      <c r="C23" s="124"/>
      <c r="D23" s="82"/>
      <c r="E23" s="82"/>
      <c r="F23" s="82"/>
      <c r="G23" s="82"/>
      <c r="H23" s="123"/>
      <c r="I23" s="90"/>
      <c r="J23" s="82"/>
      <c r="K23" s="217"/>
    </row>
    <row r="24" spans="1:11" x14ac:dyDescent="0.25">
      <c r="A24" s="179"/>
      <c r="B24" s="82"/>
      <c r="C24" s="124"/>
      <c r="D24" s="82"/>
      <c r="E24" s="82"/>
      <c r="F24" s="82"/>
      <c r="G24" s="82"/>
      <c r="H24" s="123"/>
      <c r="I24" s="90"/>
      <c r="J24" s="82"/>
      <c r="K24" s="217"/>
    </row>
    <row r="25" spans="1:11" x14ac:dyDescent="0.25">
      <c r="A25" s="179"/>
      <c r="B25" s="82"/>
      <c r="C25" s="124"/>
      <c r="D25" s="82"/>
      <c r="E25" s="82"/>
      <c r="F25" s="82"/>
      <c r="G25" s="82"/>
      <c r="H25" s="123"/>
      <c r="I25" s="90"/>
      <c r="J25" s="82"/>
      <c r="K25" s="217"/>
    </row>
    <row r="26" spans="1:11" x14ac:dyDescent="0.25">
      <c r="A26" s="179"/>
      <c r="B26" s="82"/>
      <c r="C26" s="124"/>
      <c r="D26" s="82"/>
      <c r="E26" s="82"/>
      <c r="F26" s="82"/>
      <c r="G26" s="82"/>
      <c r="H26" s="123"/>
      <c r="I26" s="90"/>
      <c r="J26" s="82"/>
      <c r="K26" s="217"/>
    </row>
    <row r="27" spans="1:11" x14ac:dyDescent="0.25">
      <c r="A27" s="179"/>
      <c r="B27" s="82"/>
      <c r="C27" s="124"/>
      <c r="D27" s="82"/>
      <c r="E27" s="82"/>
      <c r="F27" s="82"/>
      <c r="G27" s="82"/>
      <c r="H27" s="123"/>
      <c r="I27" s="90"/>
      <c r="J27" s="82"/>
      <c r="K27" s="217"/>
    </row>
    <row r="28" spans="1:11" x14ac:dyDescent="0.25">
      <c r="A28" s="179"/>
      <c r="B28" s="227"/>
      <c r="C28" s="82"/>
      <c r="D28" s="82"/>
      <c r="E28" s="82"/>
      <c r="F28" s="82"/>
      <c r="G28" s="82"/>
      <c r="H28" s="128"/>
      <c r="I28" s="90"/>
      <c r="J28" s="82"/>
      <c r="K28" s="217"/>
    </row>
    <row r="29" spans="1:11" x14ac:dyDescent="0.25">
      <c r="A29" s="179"/>
      <c r="B29" s="227"/>
      <c r="C29" s="82"/>
      <c r="D29" s="82"/>
      <c r="E29" s="82"/>
      <c r="F29" s="82"/>
      <c r="G29" s="82"/>
      <c r="H29" s="128"/>
      <c r="I29" s="90"/>
      <c r="J29" s="82"/>
      <c r="K29" s="217"/>
    </row>
    <row r="30" spans="1:11" x14ac:dyDescent="0.25">
      <c r="A30" s="179"/>
      <c r="B30" s="227"/>
      <c r="C30" s="82"/>
      <c r="D30" s="82"/>
      <c r="E30" s="82"/>
      <c r="F30" s="82"/>
      <c r="G30" s="82"/>
      <c r="H30" s="128"/>
      <c r="I30" s="90"/>
      <c r="J30" s="82"/>
      <c r="K30" s="217"/>
    </row>
    <row r="31" spans="1:11" x14ac:dyDescent="0.25">
      <c r="A31" s="179"/>
      <c r="B31" s="227"/>
      <c r="C31" s="82"/>
      <c r="D31" s="82"/>
      <c r="E31" s="82"/>
      <c r="F31" s="82"/>
      <c r="G31" s="82"/>
      <c r="H31" s="128"/>
      <c r="I31" s="90"/>
      <c r="J31" s="82"/>
      <c r="K31" s="217"/>
    </row>
    <row r="32" spans="1:11" x14ac:dyDescent="0.25">
      <c r="A32" s="179"/>
      <c r="B32" s="227"/>
      <c r="C32" s="82"/>
      <c r="D32" s="82"/>
      <c r="E32" s="82"/>
      <c r="F32" s="82"/>
      <c r="G32" s="82"/>
      <c r="H32" s="128"/>
      <c r="I32" s="90"/>
      <c r="J32" s="82"/>
      <c r="K32" s="217"/>
    </row>
    <row r="33" spans="1:11" x14ac:dyDescent="0.25">
      <c r="A33" s="179"/>
      <c r="B33" s="227"/>
      <c r="C33" s="82"/>
      <c r="D33" s="82"/>
      <c r="E33" s="82"/>
      <c r="F33" s="82"/>
      <c r="G33" s="82"/>
      <c r="H33" s="128"/>
      <c r="I33" s="90"/>
      <c r="J33" s="82"/>
      <c r="K33" s="217"/>
    </row>
    <row r="34" spans="1:11" x14ac:dyDescent="0.25">
      <c r="A34" s="179"/>
      <c r="B34" s="227"/>
      <c r="C34" s="82"/>
      <c r="D34" s="82"/>
      <c r="E34" s="82"/>
      <c r="F34" s="82"/>
      <c r="G34" s="82"/>
      <c r="H34" s="128"/>
      <c r="I34" s="90"/>
      <c r="J34" s="82"/>
      <c r="K34" s="217"/>
    </row>
    <row r="35" spans="1:11" x14ac:dyDescent="0.25">
      <c r="A35" s="179"/>
      <c r="B35" s="227"/>
      <c r="C35" s="82"/>
      <c r="D35" s="82"/>
      <c r="E35" s="82"/>
      <c r="F35" s="82"/>
      <c r="G35" s="82"/>
      <c r="H35" s="128"/>
      <c r="I35" s="90"/>
      <c r="J35" s="82"/>
      <c r="K35" s="217"/>
    </row>
    <row r="36" spans="1:11" x14ac:dyDescent="0.25">
      <c r="A36" s="179">
        <v>46112</v>
      </c>
      <c r="B36" s="82" t="s">
        <v>9</v>
      </c>
      <c r="C36" s="124" t="s">
        <v>251</v>
      </c>
      <c r="D36" s="82">
        <v>360</v>
      </c>
      <c r="E36" s="82"/>
      <c r="F36" s="82"/>
      <c r="G36" s="82">
        <v>37.36</v>
      </c>
      <c r="H36" s="123">
        <v>293159</v>
      </c>
      <c r="I36" s="90" t="s">
        <v>15</v>
      </c>
      <c r="J36" s="82"/>
      <c r="K36" s="217">
        <v>704281.13</v>
      </c>
    </row>
    <row r="37" spans="1:11" x14ac:dyDescent="0.25">
      <c r="A37" s="179">
        <v>46113</v>
      </c>
      <c r="B37" s="227" t="s">
        <v>251</v>
      </c>
      <c r="C37" s="82" t="s">
        <v>118</v>
      </c>
      <c r="D37" s="82">
        <v>180</v>
      </c>
      <c r="E37" s="82"/>
      <c r="F37" s="82"/>
      <c r="G37" s="82"/>
      <c r="H37" s="128" t="s">
        <v>66</v>
      </c>
      <c r="I37" s="90"/>
      <c r="J37" s="82"/>
      <c r="K37" s="217"/>
    </row>
    <row r="38" spans="1:11" x14ac:dyDescent="0.25">
      <c r="A38" s="179">
        <v>46114</v>
      </c>
      <c r="B38" s="82" t="s">
        <v>118</v>
      </c>
      <c r="C38" s="124" t="s">
        <v>146</v>
      </c>
      <c r="D38" s="82">
        <v>1430</v>
      </c>
      <c r="E38" s="82"/>
      <c r="F38" s="82"/>
      <c r="G38" s="82"/>
      <c r="H38" s="123">
        <v>118879</v>
      </c>
      <c r="I38" s="90" t="s">
        <v>147</v>
      </c>
      <c r="J38" s="82"/>
      <c r="K38" s="217"/>
    </row>
    <row r="39" spans="1:11" x14ac:dyDescent="0.25">
      <c r="A39" s="179">
        <v>46118</v>
      </c>
      <c r="B39" s="82" t="s">
        <v>146</v>
      </c>
      <c r="C39" s="124" t="s">
        <v>9</v>
      </c>
      <c r="D39" s="82">
        <v>1000</v>
      </c>
      <c r="E39" s="82"/>
      <c r="F39" s="82"/>
      <c r="G39" s="82"/>
      <c r="H39" s="83" t="s">
        <v>66</v>
      </c>
      <c r="I39" s="90"/>
      <c r="J39" s="82"/>
      <c r="K39" s="217"/>
    </row>
    <row r="40" spans="1:11" x14ac:dyDescent="0.25">
      <c r="A40" s="179">
        <v>46120</v>
      </c>
      <c r="B40" s="227" t="s">
        <v>9</v>
      </c>
      <c r="C40" s="82" t="s">
        <v>300</v>
      </c>
      <c r="D40" s="82">
        <v>420</v>
      </c>
      <c r="E40" s="82"/>
      <c r="F40" s="82"/>
      <c r="G40" s="82">
        <v>36.86</v>
      </c>
      <c r="H40" s="123">
        <v>619192</v>
      </c>
      <c r="I40" s="90" t="s">
        <v>301</v>
      </c>
      <c r="J40" s="82"/>
      <c r="K40" s="217"/>
    </row>
    <row r="41" spans="1:11" x14ac:dyDescent="0.25">
      <c r="A41" s="179">
        <v>46121</v>
      </c>
      <c r="B41" s="227" t="s">
        <v>300</v>
      </c>
      <c r="C41" s="82" t="s">
        <v>10</v>
      </c>
      <c r="D41" s="82">
        <v>170</v>
      </c>
      <c r="E41" s="82"/>
      <c r="F41" s="82"/>
      <c r="G41" s="82" t="s">
        <v>397</v>
      </c>
      <c r="H41" s="128" t="s">
        <v>66</v>
      </c>
      <c r="I41" s="90" t="s">
        <v>398</v>
      </c>
      <c r="J41" s="82"/>
      <c r="K41" s="217"/>
    </row>
    <row r="42" spans="1:11" x14ac:dyDescent="0.25">
      <c r="A42" s="179">
        <v>46123</v>
      </c>
      <c r="B42" s="227" t="s">
        <v>10</v>
      </c>
      <c r="C42" s="82" t="s">
        <v>9</v>
      </c>
      <c r="D42" s="82">
        <v>500</v>
      </c>
      <c r="E42" s="82"/>
      <c r="F42" s="82"/>
      <c r="G42" s="82">
        <v>35.619999999999997</v>
      </c>
      <c r="H42" s="123">
        <v>1064633</v>
      </c>
      <c r="I42" s="90" t="s">
        <v>368</v>
      </c>
      <c r="J42" s="82"/>
      <c r="K42" s="217"/>
    </row>
    <row r="43" spans="1:11" x14ac:dyDescent="0.25">
      <c r="A43" s="179">
        <v>46125</v>
      </c>
      <c r="B43" s="227" t="s">
        <v>9</v>
      </c>
      <c r="C43" s="82" t="s">
        <v>341</v>
      </c>
      <c r="D43" s="82">
        <v>450</v>
      </c>
      <c r="E43" s="82"/>
      <c r="F43" s="82"/>
      <c r="G43" s="82"/>
      <c r="H43" s="123">
        <v>766112</v>
      </c>
      <c r="I43" s="90"/>
      <c r="J43" s="82"/>
      <c r="K43" s="217"/>
    </row>
    <row r="44" spans="1:11" x14ac:dyDescent="0.25">
      <c r="A44" s="179">
        <v>46126</v>
      </c>
      <c r="B44" s="227" t="s">
        <v>341</v>
      </c>
      <c r="C44" s="82" t="s">
        <v>9</v>
      </c>
      <c r="D44" s="82">
        <v>450</v>
      </c>
      <c r="E44" s="82"/>
      <c r="F44" s="82"/>
      <c r="G44" s="82"/>
      <c r="H44" s="128" t="s">
        <v>66</v>
      </c>
      <c r="I44" s="90"/>
      <c r="J44" s="82"/>
      <c r="K44" s="217"/>
    </row>
    <row r="45" spans="1:11" x14ac:dyDescent="0.25">
      <c r="A45" s="179">
        <v>46126</v>
      </c>
      <c r="B45" s="227" t="s">
        <v>9</v>
      </c>
      <c r="C45" s="82" t="s">
        <v>390</v>
      </c>
      <c r="D45" s="82">
        <v>420</v>
      </c>
      <c r="E45" s="82"/>
      <c r="F45" s="82"/>
      <c r="G45" s="82"/>
      <c r="H45" s="123">
        <v>766324</v>
      </c>
      <c r="I45" s="90"/>
      <c r="J45" s="82"/>
      <c r="K45" s="217"/>
    </row>
    <row r="46" spans="1:11" x14ac:dyDescent="0.25">
      <c r="A46" s="179">
        <v>46127</v>
      </c>
      <c r="B46" s="227" t="s">
        <v>390</v>
      </c>
      <c r="C46" s="82" t="s">
        <v>118</v>
      </c>
      <c r="D46" s="82">
        <v>150</v>
      </c>
      <c r="E46" s="82"/>
      <c r="F46" s="82"/>
      <c r="G46" s="82"/>
      <c r="H46" s="128" t="s">
        <v>66</v>
      </c>
      <c r="I46" s="90"/>
      <c r="J46" s="82"/>
      <c r="K46" s="217"/>
    </row>
    <row r="47" spans="1:11" x14ac:dyDescent="0.25">
      <c r="A47" s="179">
        <v>46128</v>
      </c>
      <c r="B47" s="82" t="s">
        <v>118</v>
      </c>
      <c r="C47" s="124" t="s">
        <v>385</v>
      </c>
      <c r="D47" s="82">
        <v>1560</v>
      </c>
      <c r="E47" s="82"/>
      <c r="F47" s="82"/>
      <c r="G47" s="82"/>
      <c r="H47" s="90">
        <v>121289</v>
      </c>
      <c r="I47" s="90" t="s">
        <v>386</v>
      </c>
      <c r="J47" s="82"/>
      <c r="K47" s="217"/>
    </row>
    <row r="48" spans="1:11" x14ac:dyDescent="0.25">
      <c r="A48" s="179">
        <v>46130</v>
      </c>
      <c r="B48" s="124" t="s">
        <v>385</v>
      </c>
      <c r="C48" s="124" t="s">
        <v>227</v>
      </c>
      <c r="D48" s="82">
        <v>270</v>
      </c>
      <c r="E48" s="82"/>
      <c r="F48" s="82"/>
      <c r="G48" s="82"/>
      <c r="H48" s="83" t="s">
        <v>66</v>
      </c>
      <c r="I48" s="90"/>
      <c r="J48" s="82"/>
      <c r="K48" s="217"/>
    </row>
    <row r="49" spans="1:11" x14ac:dyDescent="0.25">
      <c r="A49" s="179">
        <v>46132</v>
      </c>
      <c r="B49" s="82" t="s">
        <v>296</v>
      </c>
      <c r="C49" s="124" t="s">
        <v>9</v>
      </c>
      <c r="D49" s="82">
        <v>820</v>
      </c>
      <c r="E49" s="82"/>
      <c r="F49" s="82"/>
      <c r="G49" s="82">
        <v>34.200000000000003</v>
      </c>
      <c r="H49" s="90">
        <v>189557</v>
      </c>
      <c r="I49" s="90" t="s">
        <v>304</v>
      </c>
      <c r="J49" s="82"/>
      <c r="K49" s="217"/>
    </row>
    <row r="50" spans="1:11" x14ac:dyDescent="0.25">
      <c r="A50" s="179">
        <v>46134</v>
      </c>
      <c r="B50" s="82" t="s">
        <v>9</v>
      </c>
      <c r="C50" s="124" t="s">
        <v>351</v>
      </c>
      <c r="D50" s="82">
        <v>1010</v>
      </c>
      <c r="E50" s="82"/>
      <c r="F50" s="82"/>
      <c r="G50" s="82">
        <v>36.19</v>
      </c>
      <c r="H50" s="90">
        <v>620169</v>
      </c>
      <c r="I50" s="90" t="s">
        <v>257</v>
      </c>
      <c r="J50" s="82"/>
      <c r="K50" s="217"/>
    </row>
    <row r="51" spans="1:11" x14ac:dyDescent="0.25">
      <c r="A51" s="179">
        <v>46136</v>
      </c>
      <c r="B51" s="82" t="s">
        <v>351</v>
      </c>
      <c r="C51" s="124" t="s">
        <v>227</v>
      </c>
      <c r="D51" s="82">
        <v>240</v>
      </c>
      <c r="E51" s="82"/>
      <c r="F51" s="82"/>
      <c r="G51" s="82"/>
      <c r="H51" s="83" t="s">
        <v>66</v>
      </c>
      <c r="I51" s="90"/>
      <c r="J51" s="82"/>
      <c r="K51" s="217"/>
    </row>
    <row r="52" spans="1:11" x14ac:dyDescent="0.25">
      <c r="A52" s="179">
        <v>46136</v>
      </c>
      <c r="B52" s="82" t="s">
        <v>296</v>
      </c>
      <c r="C52" s="124" t="s">
        <v>9</v>
      </c>
      <c r="D52" s="82">
        <v>820</v>
      </c>
      <c r="E52" s="82"/>
      <c r="F52" s="82"/>
      <c r="G52" s="82">
        <v>36.5</v>
      </c>
      <c r="H52" s="90">
        <v>189893</v>
      </c>
      <c r="I52" s="90" t="s">
        <v>304</v>
      </c>
      <c r="J52" s="82"/>
      <c r="K52" s="217"/>
    </row>
    <row r="53" spans="1:11" x14ac:dyDescent="0.25">
      <c r="A53" s="179">
        <v>46139</v>
      </c>
      <c r="B53" s="227" t="s">
        <v>9</v>
      </c>
      <c r="C53" s="82" t="s">
        <v>300</v>
      </c>
      <c r="D53" s="82">
        <v>420</v>
      </c>
      <c r="E53" s="82"/>
      <c r="F53" s="82"/>
      <c r="G53" s="82">
        <v>36.520000000000003</v>
      </c>
      <c r="H53" s="123">
        <v>620386</v>
      </c>
      <c r="I53" s="90" t="s">
        <v>301</v>
      </c>
      <c r="J53" s="82"/>
      <c r="K53" s="217"/>
    </row>
    <row r="54" spans="1:11" x14ac:dyDescent="0.25">
      <c r="A54" s="179">
        <v>46140</v>
      </c>
      <c r="B54" s="227" t="s">
        <v>300</v>
      </c>
      <c r="C54" s="82" t="s">
        <v>118</v>
      </c>
      <c r="D54" s="82">
        <v>85</v>
      </c>
      <c r="E54" s="82"/>
      <c r="F54" s="82"/>
      <c r="G54" s="82"/>
      <c r="H54" s="128" t="s">
        <v>66</v>
      </c>
      <c r="I54" s="90"/>
      <c r="J54" s="82"/>
      <c r="K54" s="217"/>
    </row>
    <row r="55" spans="1:11" x14ac:dyDescent="0.25">
      <c r="A55" s="179">
        <v>46141</v>
      </c>
      <c r="B55" s="82" t="s">
        <v>118</v>
      </c>
      <c r="C55" s="124" t="s">
        <v>385</v>
      </c>
      <c r="D55" s="82">
        <v>1520</v>
      </c>
      <c r="E55" s="82"/>
      <c r="F55" s="82"/>
      <c r="G55" s="82"/>
      <c r="H55" s="90">
        <v>123675</v>
      </c>
      <c r="I55" s="90" t="s">
        <v>386</v>
      </c>
      <c r="J55" s="82"/>
      <c r="K55" s="217"/>
    </row>
    <row r="56" spans="1:11" x14ac:dyDescent="0.25">
      <c r="A56" s="179"/>
      <c r="B56" s="227"/>
      <c r="C56" s="82"/>
      <c r="D56" s="151" t="s">
        <v>450</v>
      </c>
      <c r="E56" s="82"/>
      <c r="F56" s="82"/>
      <c r="G56" s="82"/>
      <c r="H56" s="128"/>
      <c r="I56" s="90"/>
      <c r="J56" s="82"/>
      <c r="K56" s="217"/>
    </row>
    <row r="57" spans="1:11" x14ac:dyDescent="0.25">
      <c r="A57" s="5"/>
      <c r="B57" s="6"/>
      <c r="C57" s="6"/>
      <c r="D57" s="6"/>
      <c r="E57" s="6"/>
      <c r="F57" s="6"/>
      <c r="G57" s="6"/>
      <c r="H57" s="7"/>
      <c r="I57" s="7"/>
      <c r="J57" s="140"/>
      <c r="K57" s="218"/>
    </row>
    <row r="58" spans="1:11" x14ac:dyDescent="0.25">
      <c r="D58" s="17">
        <f>SUM(D3:D57)</f>
        <v>12275</v>
      </c>
      <c r="E58" s="13"/>
      <c r="F58" s="175"/>
      <c r="G58" s="13">
        <f>AVERAGE(G3:G56)</f>
        <v>36.178571428571431</v>
      </c>
      <c r="J58" s="139">
        <f>SUM(J3:J57)</f>
        <v>0</v>
      </c>
      <c r="K58" s="219">
        <f>SUM(K3:K57)</f>
        <v>704281.13</v>
      </c>
    </row>
    <row r="60" spans="1:11" x14ac:dyDescent="0.25">
      <c r="B60">
        <v>-2000</v>
      </c>
      <c r="D60" s="11"/>
      <c r="E60" s="11"/>
      <c r="F60" s="247"/>
      <c r="G60" s="11"/>
      <c r="K60" s="4"/>
    </row>
    <row r="61" spans="1:11" x14ac:dyDescent="0.25">
      <c r="B61">
        <v>300</v>
      </c>
      <c r="C61" s="11">
        <v>44419</v>
      </c>
      <c r="D61" s="11"/>
      <c r="E61" s="11"/>
      <c r="F61" s="247"/>
      <c r="G61" s="11"/>
      <c r="K61" s="4"/>
    </row>
    <row r="62" spans="1:11" x14ac:dyDescent="0.25">
      <c r="B62">
        <v>-300</v>
      </c>
      <c r="C62" s="11">
        <v>44419</v>
      </c>
      <c r="D62" s="11"/>
      <c r="E62" s="11"/>
      <c r="F62" s="247"/>
      <c r="G62" s="11"/>
      <c r="K62" s="4"/>
    </row>
    <row r="63" spans="1:11" x14ac:dyDescent="0.25">
      <c r="B63">
        <v>300</v>
      </c>
      <c r="C63" s="11" t="s">
        <v>12</v>
      </c>
      <c r="D63" s="11">
        <v>44483</v>
      </c>
      <c r="E63" s="11"/>
      <c r="F63" s="247"/>
      <c r="G63" s="11"/>
      <c r="K63" s="4"/>
    </row>
    <row r="64" spans="1:11" x14ac:dyDescent="0.25">
      <c r="B64">
        <v>-300</v>
      </c>
      <c r="C64" s="11" t="s">
        <v>13</v>
      </c>
      <c r="D64" s="11">
        <v>44483</v>
      </c>
      <c r="E64" s="11"/>
      <c r="F64" s="247"/>
      <c r="G64" s="11"/>
      <c r="K64" s="4"/>
    </row>
    <row r="65" spans="2:11" x14ac:dyDescent="0.25">
      <c r="B65">
        <v>-700</v>
      </c>
      <c r="C65" s="11" t="s">
        <v>141</v>
      </c>
      <c r="D65" s="11"/>
      <c r="E65" s="11"/>
      <c r="F65" s="247"/>
      <c r="G65" s="11"/>
      <c r="K65" s="4"/>
    </row>
    <row r="66" spans="2:11" x14ac:dyDescent="0.25">
      <c r="B66">
        <v>700</v>
      </c>
      <c r="C66" s="11" t="s">
        <v>13</v>
      </c>
      <c r="D66" s="11"/>
      <c r="E66" s="11"/>
      <c r="F66" s="247"/>
      <c r="G66" s="11"/>
      <c r="K66" s="4"/>
    </row>
    <row r="67" spans="2:11" x14ac:dyDescent="0.25">
      <c r="B67">
        <v>1000</v>
      </c>
      <c r="C67" s="11" t="s">
        <v>12</v>
      </c>
      <c r="D67" s="11"/>
      <c r="E67" s="11"/>
      <c r="F67" s="247"/>
      <c r="G67" s="11"/>
      <c r="K67" s="4"/>
    </row>
    <row r="68" spans="2:11" x14ac:dyDescent="0.25">
      <c r="B68">
        <v>-1000</v>
      </c>
      <c r="C68" s="11" t="s">
        <v>13</v>
      </c>
      <c r="D68" s="11"/>
      <c r="E68" s="11"/>
      <c r="F68" s="247"/>
      <c r="G68" s="11"/>
      <c r="K68" s="4"/>
    </row>
    <row r="69" spans="2:11" x14ac:dyDescent="0.25">
      <c r="B69">
        <v>420</v>
      </c>
      <c r="C69" s="11" t="s">
        <v>187</v>
      </c>
      <c r="D69" s="11">
        <v>44610</v>
      </c>
      <c r="E69" s="11"/>
      <c r="F69" s="247"/>
      <c r="G69" s="11"/>
      <c r="K69" s="4"/>
    </row>
    <row r="70" spans="2:11" x14ac:dyDescent="0.25">
      <c r="B70">
        <v>-500</v>
      </c>
      <c r="C70" s="11" t="s">
        <v>13</v>
      </c>
      <c r="D70" s="11"/>
      <c r="E70" s="11"/>
      <c r="F70" s="247"/>
      <c r="G70" s="11"/>
      <c r="K70" s="4"/>
    </row>
    <row r="71" spans="2:11" x14ac:dyDescent="0.25">
      <c r="B71">
        <v>440</v>
      </c>
      <c r="C71" s="11" t="s">
        <v>74</v>
      </c>
      <c r="D71" s="11">
        <v>44645</v>
      </c>
      <c r="E71" s="11"/>
      <c r="F71" s="247"/>
      <c r="G71" s="11"/>
      <c r="K71" s="4"/>
    </row>
    <row r="72" spans="2:11" x14ac:dyDescent="0.25">
      <c r="B72">
        <v>-400</v>
      </c>
      <c r="C72" s="11" t="s">
        <v>93</v>
      </c>
      <c r="D72" s="11">
        <v>44645</v>
      </c>
      <c r="E72" s="11"/>
      <c r="F72" s="247"/>
      <c r="G72" s="11"/>
      <c r="K72" s="4"/>
    </row>
    <row r="73" spans="2:11" x14ac:dyDescent="0.25">
      <c r="B73">
        <v>680</v>
      </c>
      <c r="C73" s="11" t="s">
        <v>74</v>
      </c>
      <c r="D73" s="11">
        <v>44676</v>
      </c>
      <c r="E73" s="11"/>
      <c r="F73" s="247"/>
      <c r="G73" s="11"/>
      <c r="K73" s="4"/>
    </row>
    <row r="74" spans="2:11" x14ac:dyDescent="0.25">
      <c r="B74">
        <v>-700</v>
      </c>
      <c r="C74" s="11" t="s">
        <v>13</v>
      </c>
      <c r="D74" s="11">
        <v>44676</v>
      </c>
      <c r="E74" s="11"/>
      <c r="F74" s="247"/>
      <c r="G74" s="11"/>
      <c r="K74" s="4"/>
    </row>
    <row r="75" spans="2:11" x14ac:dyDescent="0.25">
      <c r="B75">
        <v>-300</v>
      </c>
      <c r="C75" s="11" t="s">
        <v>175</v>
      </c>
      <c r="D75" s="11">
        <v>44741</v>
      </c>
      <c r="E75" s="11"/>
      <c r="F75" s="247"/>
      <c r="G75" s="11"/>
      <c r="K75" s="4"/>
    </row>
    <row r="76" spans="2:11" x14ac:dyDescent="0.25">
      <c r="B76">
        <v>480</v>
      </c>
      <c r="C76" s="11" t="s">
        <v>12</v>
      </c>
      <c r="D76" s="11">
        <v>44751</v>
      </c>
      <c r="E76" s="11"/>
      <c r="F76" s="247"/>
      <c r="G76" s="11"/>
      <c r="K76" s="4"/>
    </row>
    <row r="77" spans="2:11" x14ac:dyDescent="0.25">
      <c r="B77">
        <v>-200</v>
      </c>
      <c r="C77" s="11" t="s">
        <v>13</v>
      </c>
      <c r="D77" s="11"/>
      <c r="E77" s="11"/>
      <c r="F77" s="247"/>
      <c r="G77" s="11"/>
      <c r="K77" s="4"/>
    </row>
    <row r="78" spans="2:11" x14ac:dyDescent="0.25">
      <c r="B78">
        <v>200</v>
      </c>
      <c r="C78" s="11" t="s">
        <v>12</v>
      </c>
      <c r="D78" s="11"/>
      <c r="E78" s="11"/>
      <c r="F78" s="247"/>
      <c r="G78" s="11"/>
      <c r="K78" s="4"/>
    </row>
    <row r="79" spans="2:11" x14ac:dyDescent="0.25">
      <c r="B79">
        <v>-200</v>
      </c>
      <c r="C79" s="11" t="s">
        <v>13</v>
      </c>
      <c r="D79" s="11"/>
      <c r="E79" s="11"/>
      <c r="F79" s="247"/>
      <c r="G79" s="11"/>
      <c r="K79" s="4"/>
    </row>
    <row r="80" spans="2:11" x14ac:dyDescent="0.25">
      <c r="B80">
        <v>480</v>
      </c>
      <c r="C80" s="11" t="s">
        <v>12</v>
      </c>
      <c r="D80" s="11"/>
      <c r="E80" s="11"/>
      <c r="F80" s="247"/>
      <c r="G80" s="11"/>
      <c r="K80" s="4"/>
    </row>
    <row r="81" spans="2:11" x14ac:dyDescent="0.25">
      <c r="B81">
        <v>-500</v>
      </c>
      <c r="C81" s="11" t="s">
        <v>13</v>
      </c>
      <c r="D81" s="11"/>
      <c r="E81" s="11"/>
      <c r="F81" s="247"/>
      <c r="G81" s="11"/>
      <c r="K81" s="4"/>
    </row>
    <row r="82" spans="2:11" x14ac:dyDescent="0.25">
      <c r="B82">
        <v>480</v>
      </c>
      <c r="C82" s="11" t="s">
        <v>12</v>
      </c>
      <c r="D82" s="11"/>
      <c r="E82" s="11"/>
      <c r="F82" s="247"/>
      <c r="G82" s="11"/>
      <c r="K82" s="4"/>
    </row>
    <row r="83" spans="2:11" x14ac:dyDescent="0.25">
      <c r="B83">
        <v>-500</v>
      </c>
      <c r="C83" s="11" t="s">
        <v>13</v>
      </c>
      <c r="D83" s="11">
        <v>44778</v>
      </c>
      <c r="E83" s="11"/>
      <c r="F83" s="247"/>
      <c r="G83" s="11"/>
      <c r="K83" s="4"/>
    </row>
    <row r="84" spans="2:11" x14ac:dyDescent="0.25">
      <c r="B84">
        <v>480</v>
      </c>
      <c r="C84" s="11" t="s">
        <v>12</v>
      </c>
      <c r="D84" s="11">
        <v>44807</v>
      </c>
      <c r="E84" s="11"/>
      <c r="F84" s="247"/>
      <c r="G84" s="11"/>
      <c r="K84" s="4"/>
    </row>
    <row r="85" spans="2:11" x14ac:dyDescent="0.25">
      <c r="B85">
        <v>-500</v>
      </c>
      <c r="C85" s="11" t="s">
        <v>13</v>
      </c>
      <c r="D85" s="11">
        <v>44807</v>
      </c>
      <c r="E85" s="11"/>
      <c r="F85" s="247"/>
      <c r="G85" s="11"/>
      <c r="K85" s="4"/>
    </row>
    <row r="86" spans="2:11" x14ac:dyDescent="0.25">
      <c r="B86">
        <v>480</v>
      </c>
      <c r="C86" s="11" t="s">
        <v>12</v>
      </c>
      <c r="D86" s="11"/>
      <c r="E86" s="11"/>
      <c r="F86" s="247"/>
      <c r="G86" s="11"/>
      <c r="K86" s="4"/>
    </row>
    <row r="87" spans="2:11" x14ac:dyDescent="0.25">
      <c r="B87">
        <v>-500</v>
      </c>
      <c r="C87" s="11" t="s">
        <v>13</v>
      </c>
      <c r="D87" s="11">
        <v>44834</v>
      </c>
      <c r="E87" s="11"/>
      <c r="F87" s="247"/>
      <c r="G87" s="11"/>
      <c r="K87" s="4"/>
    </row>
    <row r="88" spans="2:11" x14ac:dyDescent="0.25">
      <c r="B88">
        <v>480</v>
      </c>
      <c r="C88" s="11" t="s">
        <v>12</v>
      </c>
      <c r="D88" s="11"/>
      <c r="E88" s="11"/>
      <c r="F88" s="247"/>
      <c r="G88" s="11"/>
      <c r="K88" s="4"/>
    </row>
    <row r="89" spans="2:11" x14ac:dyDescent="0.25">
      <c r="B89">
        <v>-400</v>
      </c>
      <c r="C89" s="11" t="s">
        <v>13</v>
      </c>
      <c r="D89" s="11"/>
      <c r="E89" s="11"/>
      <c r="F89" s="247"/>
      <c r="G89" s="11"/>
      <c r="K89" s="4"/>
    </row>
    <row r="90" spans="2:11" x14ac:dyDescent="0.25">
      <c r="B90">
        <v>480</v>
      </c>
      <c r="C90" s="11" t="s">
        <v>12</v>
      </c>
      <c r="D90" s="11">
        <v>44849</v>
      </c>
      <c r="E90" s="11"/>
      <c r="F90" s="247"/>
      <c r="G90" s="11"/>
      <c r="K90" s="4"/>
    </row>
    <row r="91" spans="2:11" x14ac:dyDescent="0.25">
      <c r="B91">
        <v>-500</v>
      </c>
      <c r="C91" s="11" t="s">
        <v>13</v>
      </c>
      <c r="D91" s="11">
        <v>44849</v>
      </c>
      <c r="E91" s="11"/>
      <c r="F91" s="247"/>
      <c r="G91" s="11"/>
      <c r="K91" s="4"/>
    </row>
    <row r="92" spans="2:11" x14ac:dyDescent="0.25">
      <c r="B92">
        <v>800</v>
      </c>
      <c r="C92" s="11" t="s">
        <v>12</v>
      </c>
      <c r="D92" s="11">
        <v>44866</v>
      </c>
      <c r="E92" s="11"/>
      <c r="F92" s="247"/>
      <c r="G92" s="11"/>
      <c r="K92" s="4"/>
    </row>
    <row r="93" spans="2:11" x14ac:dyDescent="0.25">
      <c r="B93">
        <v>-800</v>
      </c>
      <c r="C93" s="11" t="s">
        <v>13</v>
      </c>
      <c r="D93" s="11"/>
      <c r="E93" s="11"/>
      <c r="F93" s="247"/>
      <c r="G93" s="11"/>
      <c r="K93" s="4"/>
    </row>
    <row r="94" spans="2:11" x14ac:dyDescent="0.25">
      <c r="B94">
        <v>800</v>
      </c>
      <c r="C94" s="11" t="s">
        <v>12</v>
      </c>
      <c r="D94" s="11">
        <v>44907</v>
      </c>
      <c r="E94" s="11"/>
      <c r="F94" s="247"/>
      <c r="G94" s="11"/>
      <c r="K94" s="4"/>
    </row>
    <row r="95" spans="2:11" x14ac:dyDescent="0.25">
      <c r="B95">
        <v>-800</v>
      </c>
      <c r="C95" s="11" t="s">
        <v>13</v>
      </c>
      <c r="D95" s="11">
        <v>44907</v>
      </c>
      <c r="E95" s="11"/>
      <c r="F95" s="247"/>
      <c r="G95" s="11"/>
      <c r="K95" s="4"/>
    </row>
    <row r="96" spans="2:11" x14ac:dyDescent="0.25">
      <c r="B96">
        <v>800</v>
      </c>
      <c r="C96" s="11" t="s">
        <v>12</v>
      </c>
      <c r="D96" s="11">
        <v>44912</v>
      </c>
      <c r="E96" s="11"/>
      <c r="F96" s="247"/>
      <c r="G96" s="11"/>
      <c r="K96" s="4"/>
    </row>
    <row r="97" spans="2:11" x14ac:dyDescent="0.25">
      <c r="B97">
        <v>800</v>
      </c>
      <c r="C97" s="11" t="s">
        <v>12</v>
      </c>
      <c r="D97" s="11">
        <v>44963</v>
      </c>
      <c r="E97" s="11"/>
      <c r="F97" s="247"/>
      <c r="G97" s="11"/>
      <c r="K97" s="4"/>
    </row>
    <row r="98" spans="2:11" x14ac:dyDescent="0.25">
      <c r="B98">
        <v>-800</v>
      </c>
      <c r="C98" s="11" t="s">
        <v>13</v>
      </c>
      <c r="D98" s="11">
        <v>44963</v>
      </c>
      <c r="E98" s="11"/>
      <c r="F98" s="247"/>
      <c r="G98" s="11"/>
      <c r="K98" s="4"/>
    </row>
    <row r="99" spans="2:11" x14ac:dyDescent="0.25">
      <c r="B99">
        <v>800</v>
      </c>
      <c r="C99" s="11" t="s">
        <v>12</v>
      </c>
      <c r="D99" s="11">
        <v>44970</v>
      </c>
      <c r="E99" s="11"/>
      <c r="F99" s="247"/>
      <c r="G99" s="11"/>
      <c r="K99" s="4"/>
    </row>
    <row r="100" spans="2:11" x14ac:dyDescent="0.25">
      <c r="B100">
        <v>-800</v>
      </c>
      <c r="C100" s="11" t="s">
        <v>13</v>
      </c>
      <c r="D100" s="11"/>
      <c r="E100" s="11"/>
      <c r="F100" s="247"/>
      <c r="G100" s="11"/>
      <c r="K100" s="4"/>
    </row>
    <row r="101" spans="2:11" x14ac:dyDescent="0.25">
      <c r="B101">
        <v>800</v>
      </c>
      <c r="C101" s="11" t="s">
        <v>12</v>
      </c>
      <c r="D101" s="11">
        <v>44988</v>
      </c>
      <c r="E101" s="11"/>
      <c r="F101" s="247"/>
      <c r="G101" s="11"/>
      <c r="K101" s="4"/>
    </row>
    <row r="102" spans="2:11" x14ac:dyDescent="0.25">
      <c r="B102">
        <v>-1500</v>
      </c>
      <c r="C102" s="11" t="s">
        <v>13</v>
      </c>
      <c r="D102" s="11">
        <v>44988</v>
      </c>
      <c r="E102" s="11"/>
      <c r="F102" s="247"/>
      <c r="G102" s="11"/>
      <c r="K102" s="4"/>
    </row>
    <row r="103" spans="2:11" x14ac:dyDescent="0.25">
      <c r="B103">
        <v>800</v>
      </c>
      <c r="C103" s="11" t="s">
        <v>12</v>
      </c>
      <c r="D103" s="11"/>
      <c r="E103" s="11"/>
      <c r="F103" s="247"/>
      <c r="G103" s="11"/>
      <c r="K103" s="4"/>
    </row>
    <row r="104" spans="2:11" x14ac:dyDescent="0.25">
      <c r="B104">
        <v>-800</v>
      </c>
      <c r="C104" s="11" t="s">
        <v>13</v>
      </c>
      <c r="D104" s="11"/>
      <c r="E104" s="11"/>
      <c r="F104" s="247"/>
      <c r="G104" s="11"/>
      <c r="K104" s="4"/>
    </row>
    <row r="105" spans="2:11" x14ac:dyDescent="0.25">
      <c r="B105">
        <v>800</v>
      </c>
      <c r="C105" s="11" t="s">
        <v>12</v>
      </c>
      <c r="D105" s="11"/>
      <c r="E105" s="11"/>
      <c r="F105" s="247"/>
      <c r="G105" s="11"/>
      <c r="K105" s="4"/>
    </row>
    <row r="106" spans="2:11" x14ac:dyDescent="0.25">
      <c r="B106">
        <v>-800</v>
      </c>
      <c r="C106" s="11" t="s">
        <v>13</v>
      </c>
      <c r="D106" s="11">
        <v>45023</v>
      </c>
      <c r="E106" s="11"/>
      <c r="F106" s="247"/>
      <c r="G106" s="11"/>
      <c r="K106" s="4"/>
    </row>
    <row r="107" spans="2:11" x14ac:dyDescent="0.25">
      <c r="B107">
        <v>1600</v>
      </c>
      <c r="C107" s="11" t="s">
        <v>12</v>
      </c>
      <c r="D107" s="11"/>
      <c r="E107" s="11"/>
      <c r="F107" s="247"/>
      <c r="G107" s="11"/>
      <c r="K107" s="4"/>
    </row>
    <row r="108" spans="2:11" x14ac:dyDescent="0.25">
      <c r="B108">
        <v>800</v>
      </c>
      <c r="C108" s="11" t="s">
        <v>12</v>
      </c>
      <c r="D108" s="11"/>
      <c r="E108" s="11"/>
      <c r="F108" s="247"/>
      <c r="G108" s="11"/>
      <c r="K108" s="4"/>
    </row>
    <row r="109" spans="2:11" x14ac:dyDescent="0.25">
      <c r="B109">
        <v>-2400</v>
      </c>
      <c r="C109" s="11" t="s">
        <v>13</v>
      </c>
      <c r="D109" s="11"/>
      <c r="E109" s="11"/>
      <c r="F109" s="247"/>
      <c r="G109" s="11"/>
      <c r="K109" s="4"/>
    </row>
    <row r="110" spans="2:11" x14ac:dyDescent="0.25">
      <c r="B110">
        <v>1200</v>
      </c>
      <c r="C110" s="11" t="s">
        <v>12</v>
      </c>
      <c r="D110" s="11">
        <v>45066</v>
      </c>
      <c r="E110" s="11"/>
      <c r="F110" s="247"/>
      <c r="G110" s="11"/>
      <c r="K110" s="4"/>
    </row>
    <row r="111" spans="2:11" x14ac:dyDescent="0.25">
      <c r="B111">
        <v>-1200</v>
      </c>
      <c r="C111" s="11" t="s">
        <v>13</v>
      </c>
      <c r="D111" s="11">
        <v>45066</v>
      </c>
      <c r="E111" s="11"/>
      <c r="F111" s="247"/>
      <c r="G111" s="11"/>
      <c r="K111" s="4"/>
    </row>
    <row r="112" spans="2:11" x14ac:dyDescent="0.25">
      <c r="B112">
        <v>1200</v>
      </c>
      <c r="C112" s="11" t="s">
        <v>74</v>
      </c>
      <c r="D112" s="11">
        <v>45071</v>
      </c>
      <c r="E112" s="11"/>
      <c r="F112" s="247"/>
      <c r="G112" s="11"/>
      <c r="K112" s="4"/>
    </row>
    <row r="113" spans="2:11" x14ac:dyDescent="0.25">
      <c r="B113">
        <v>-1200</v>
      </c>
      <c r="C113" s="11" t="s">
        <v>13</v>
      </c>
      <c r="D113" s="11">
        <v>45071</v>
      </c>
      <c r="E113" s="11"/>
      <c r="F113" s="247"/>
      <c r="G113" s="11"/>
      <c r="K113" s="4"/>
    </row>
    <row r="114" spans="2:11" x14ac:dyDescent="0.25">
      <c r="B114">
        <v>1200</v>
      </c>
      <c r="C114" s="11" t="s">
        <v>12</v>
      </c>
      <c r="D114" s="11">
        <v>45089</v>
      </c>
      <c r="E114" s="11"/>
      <c r="F114" s="247"/>
      <c r="G114" s="11"/>
      <c r="K114" s="4"/>
    </row>
    <row r="115" spans="2:11" x14ac:dyDescent="0.25">
      <c r="B115">
        <v>-1200</v>
      </c>
      <c r="C115" s="11" t="s">
        <v>13</v>
      </c>
      <c r="D115" s="11">
        <v>45089</v>
      </c>
      <c r="E115" s="11"/>
      <c r="F115" s="247"/>
      <c r="G115" s="11"/>
      <c r="K115" s="4"/>
    </row>
    <row r="116" spans="2:11" x14ac:dyDescent="0.25">
      <c r="B116">
        <v>1200</v>
      </c>
      <c r="C116" s="11" t="s">
        <v>12</v>
      </c>
      <c r="D116" s="11">
        <v>45093</v>
      </c>
      <c r="E116" s="11"/>
      <c r="F116" s="247"/>
      <c r="G116" s="11"/>
      <c r="K116" s="4"/>
    </row>
    <row r="117" spans="2:11" x14ac:dyDescent="0.25">
      <c r="B117">
        <v>-1200</v>
      </c>
      <c r="C117" s="11" t="s">
        <v>13</v>
      </c>
      <c r="D117" s="11">
        <v>45093</v>
      </c>
      <c r="E117" s="11"/>
      <c r="F117" s="247"/>
      <c r="G117" s="11"/>
      <c r="K117" s="4"/>
    </row>
    <row r="118" spans="2:11" x14ac:dyDescent="0.25">
      <c r="B118">
        <v>1200</v>
      </c>
      <c r="C118" s="11" t="s">
        <v>12</v>
      </c>
      <c r="D118" s="11">
        <v>45108</v>
      </c>
      <c r="E118" s="11"/>
      <c r="F118" s="247"/>
      <c r="G118" s="11"/>
      <c r="K118" s="4"/>
    </row>
    <row r="119" spans="2:11" x14ac:dyDescent="0.25">
      <c r="B119">
        <v>-1200</v>
      </c>
      <c r="C119" s="11" t="s">
        <v>13</v>
      </c>
      <c r="D119" s="11">
        <v>45108</v>
      </c>
      <c r="E119" s="11"/>
      <c r="F119" s="247"/>
      <c r="G119" s="11"/>
      <c r="K119" s="4"/>
    </row>
    <row r="120" spans="2:11" x14ac:dyDescent="0.25">
      <c r="B120">
        <v>1600</v>
      </c>
      <c r="C120" s="11" t="s">
        <v>12</v>
      </c>
      <c r="D120" s="11">
        <v>45209</v>
      </c>
      <c r="E120" s="11"/>
      <c r="F120" s="247"/>
      <c r="G120" s="11"/>
      <c r="K120" s="4"/>
    </row>
    <row r="121" spans="2:11" x14ac:dyDescent="0.25">
      <c r="B121">
        <v>-1600</v>
      </c>
      <c r="C121" s="11" t="s">
        <v>13</v>
      </c>
      <c r="D121" s="11"/>
      <c r="E121" s="11"/>
      <c r="F121" s="247"/>
      <c r="G121" s="11"/>
      <c r="K121" s="4"/>
    </row>
    <row r="122" spans="2:11" x14ac:dyDescent="0.25">
      <c r="B122">
        <v>-1100</v>
      </c>
      <c r="C122" s="11" t="s">
        <v>175</v>
      </c>
      <c r="D122" s="11">
        <v>45436</v>
      </c>
      <c r="E122" s="11"/>
      <c r="F122" s="247"/>
      <c r="G122" s="11"/>
      <c r="K122" s="4"/>
    </row>
    <row r="123" spans="2:11" x14ac:dyDescent="0.25">
      <c r="B123">
        <v>1200</v>
      </c>
      <c r="C123" s="11" t="s">
        <v>74</v>
      </c>
      <c r="D123" s="11">
        <v>45439</v>
      </c>
      <c r="E123" s="11"/>
      <c r="F123" s="247"/>
      <c r="G123" s="11"/>
      <c r="K123" s="4"/>
    </row>
    <row r="124" spans="2:11" x14ac:dyDescent="0.25">
      <c r="B124">
        <v>-8000</v>
      </c>
      <c r="C124" s="11" t="s">
        <v>13</v>
      </c>
      <c r="D124" s="11">
        <v>45439</v>
      </c>
      <c r="E124" s="11"/>
      <c r="F124" s="247"/>
      <c r="G124" s="11"/>
      <c r="K124" s="4"/>
    </row>
    <row r="125" spans="2:11" x14ac:dyDescent="0.25">
      <c r="B125">
        <v>5050</v>
      </c>
      <c r="C125" s="11" t="s">
        <v>12</v>
      </c>
      <c r="D125" s="11">
        <v>45497</v>
      </c>
      <c r="E125" s="11"/>
      <c r="F125" s="247"/>
      <c r="G125" s="11"/>
      <c r="K125" s="4"/>
    </row>
    <row r="126" spans="2:11" x14ac:dyDescent="0.25">
      <c r="B126">
        <v>-5000</v>
      </c>
      <c r="C126" s="11" t="s">
        <v>13</v>
      </c>
      <c r="D126" s="11"/>
      <c r="E126" s="11"/>
      <c r="F126" s="247"/>
      <c r="G126" s="11"/>
      <c r="K126" s="4"/>
    </row>
    <row r="127" spans="2:11" x14ac:dyDescent="0.25">
      <c r="B127">
        <v>64500</v>
      </c>
      <c r="C127" s="11" t="s">
        <v>12</v>
      </c>
      <c r="D127" s="11">
        <v>45530</v>
      </c>
      <c r="E127" s="11"/>
      <c r="F127" s="247"/>
      <c r="G127" s="11"/>
      <c r="K127" s="4"/>
    </row>
    <row r="128" spans="2:11" x14ac:dyDescent="0.25">
      <c r="B128">
        <v>-64500</v>
      </c>
      <c r="C128" s="11" t="s">
        <v>13</v>
      </c>
      <c r="D128" s="11">
        <v>45530</v>
      </c>
      <c r="E128" s="11"/>
      <c r="F128" s="247"/>
      <c r="G128" s="11"/>
      <c r="K128" s="4"/>
    </row>
    <row r="129" spans="2:11" x14ac:dyDescent="0.25">
      <c r="B129">
        <v>31500</v>
      </c>
      <c r="C129" s="11" t="s">
        <v>12</v>
      </c>
      <c r="D129" s="11"/>
      <c r="E129" s="11"/>
      <c r="F129" s="247"/>
      <c r="G129" s="11"/>
      <c r="K129" s="4"/>
    </row>
    <row r="130" spans="2:11" x14ac:dyDescent="0.25">
      <c r="B130">
        <v>-32000</v>
      </c>
      <c r="C130" s="11" t="s">
        <v>13</v>
      </c>
      <c r="D130" s="11">
        <v>45565</v>
      </c>
      <c r="E130" s="11"/>
      <c r="F130" s="247"/>
      <c r="G130" s="11"/>
      <c r="K130" s="4"/>
    </row>
    <row r="131" spans="2:11" x14ac:dyDescent="0.25">
      <c r="B131">
        <v>13300</v>
      </c>
      <c r="C131" s="11" t="s">
        <v>12</v>
      </c>
      <c r="D131" s="11">
        <v>45769</v>
      </c>
      <c r="E131" s="11"/>
      <c r="F131" s="247"/>
      <c r="G131" s="11"/>
      <c r="K131" s="4"/>
    </row>
    <row r="132" spans="2:11" x14ac:dyDescent="0.25">
      <c r="B132">
        <v>-13300</v>
      </c>
      <c r="C132" s="11" t="s">
        <v>13</v>
      </c>
      <c r="D132" s="11">
        <v>45769</v>
      </c>
      <c r="E132" s="11"/>
      <c r="F132" s="247"/>
      <c r="G132" s="11"/>
      <c r="K132" s="4"/>
    </row>
    <row r="133" spans="2:11" x14ac:dyDescent="0.25">
      <c r="B133">
        <v>108200</v>
      </c>
      <c r="C133" s="11" t="s">
        <v>12</v>
      </c>
      <c r="D133" s="11">
        <v>45817</v>
      </c>
      <c r="E133" s="11"/>
      <c r="F133" s="247"/>
      <c r="G133" s="11"/>
      <c r="K133" s="4"/>
    </row>
    <row r="134" spans="2:11" x14ac:dyDescent="0.25">
      <c r="B134">
        <v>-108000</v>
      </c>
      <c r="C134" s="11" t="s">
        <v>13</v>
      </c>
      <c r="D134" s="11"/>
      <c r="E134" s="11"/>
      <c r="F134" s="247"/>
      <c r="G134" s="11"/>
      <c r="K134" s="4"/>
    </row>
    <row r="135" spans="2:11" x14ac:dyDescent="0.25">
      <c r="B135">
        <v>1800</v>
      </c>
      <c r="C135" s="11" t="s">
        <v>12</v>
      </c>
      <c r="D135" s="11">
        <v>45894</v>
      </c>
      <c r="E135" s="11"/>
      <c r="F135" s="247"/>
      <c r="G135" s="11"/>
      <c r="K135" s="4"/>
    </row>
    <row r="136" spans="2:11" x14ac:dyDescent="0.25">
      <c r="B136">
        <v>-2000</v>
      </c>
      <c r="C136" s="11" t="s">
        <v>71</v>
      </c>
      <c r="D136" s="11"/>
      <c r="E136" s="11"/>
      <c r="F136" s="247"/>
      <c r="G136" s="11"/>
      <c r="K136" s="4"/>
    </row>
    <row r="137" spans="2:11" x14ac:dyDescent="0.25">
      <c r="B137">
        <v>-1000</v>
      </c>
      <c r="C137" s="11" t="s">
        <v>175</v>
      </c>
      <c r="D137" s="11">
        <v>45905</v>
      </c>
      <c r="E137" s="11"/>
      <c r="F137" s="247"/>
      <c r="G137" s="11"/>
      <c r="K137" s="4"/>
    </row>
    <row r="138" spans="2:11" x14ac:dyDescent="0.25">
      <c r="B138">
        <v>-1000</v>
      </c>
      <c r="C138" s="11" t="s">
        <v>175</v>
      </c>
      <c r="D138" s="11">
        <v>46141</v>
      </c>
      <c r="E138" s="11"/>
      <c r="F138" s="247"/>
      <c r="G138" s="11"/>
      <c r="K138" s="4"/>
    </row>
    <row r="139" spans="2:11" x14ac:dyDescent="0.25">
      <c r="B139" s="135">
        <f>SUM(B60:B138)</f>
        <v>-12350</v>
      </c>
      <c r="C139" s="11">
        <v>46141</v>
      </c>
      <c r="D139" s="11"/>
      <c r="E139" s="11"/>
      <c r="F139" s="247"/>
      <c r="G139" s="11"/>
      <c r="K139" s="4"/>
    </row>
    <row r="140" spans="2:11" x14ac:dyDescent="0.25">
      <c r="B140" s="11"/>
      <c r="C140" s="11" t="s">
        <v>54</v>
      </c>
      <c r="D140" s="11"/>
      <c r="E140" s="11"/>
      <c r="F140" s="247"/>
      <c r="G140" s="11"/>
      <c r="K140" s="4"/>
    </row>
    <row r="141" spans="2:11" x14ac:dyDescent="0.25">
      <c r="B141" s="11"/>
      <c r="E141" s="11"/>
      <c r="F141" s="247"/>
      <c r="G141" s="11"/>
      <c r="K141" s="4"/>
    </row>
    <row r="142" spans="2:11" x14ac:dyDescent="0.25">
      <c r="B142" s="11"/>
      <c r="E142" s="11"/>
      <c r="F142" s="247"/>
      <c r="G142" s="11"/>
      <c r="K142" s="4"/>
    </row>
    <row r="143" spans="2:11" x14ac:dyDescent="0.25">
      <c r="B143" s="11"/>
      <c r="E143" s="11"/>
      <c r="F143" s="247"/>
      <c r="G143" s="11"/>
      <c r="K143" s="4"/>
    </row>
    <row r="144" spans="2:11" x14ac:dyDescent="0.25">
      <c r="B144" s="11"/>
      <c r="C144" s="11"/>
      <c r="E144" s="11"/>
      <c r="F144" s="247"/>
      <c r="G144" s="11"/>
      <c r="K144" s="4"/>
    </row>
    <row r="145" spans="2:11" x14ac:dyDescent="0.25">
      <c r="B145" s="11"/>
      <c r="E145" s="4"/>
      <c r="K145" s="4"/>
    </row>
    <row r="146" spans="2:11" x14ac:dyDescent="0.25">
      <c r="B146" s="11"/>
      <c r="F146" s="247"/>
      <c r="G146" s="11"/>
      <c r="I146" s="173"/>
      <c r="K146" s="4"/>
    </row>
    <row r="147" spans="2:11" x14ac:dyDescent="0.25">
      <c r="B147" s="11"/>
      <c r="E147" s="11"/>
      <c r="F147" s="247"/>
      <c r="G147" s="11"/>
      <c r="K147" s="4"/>
    </row>
    <row r="148" spans="2:11" x14ac:dyDescent="0.25">
      <c r="B148" s="11"/>
      <c r="K148" s="4"/>
    </row>
    <row r="149" spans="2:11" x14ac:dyDescent="0.25">
      <c r="B149" s="11"/>
      <c r="E149" s="11"/>
      <c r="F149" s="247"/>
      <c r="G149" s="11"/>
      <c r="K149" s="4"/>
    </row>
    <row r="150" spans="2:11" x14ac:dyDescent="0.25">
      <c r="B150" s="11"/>
      <c r="I150" s="4"/>
    </row>
    <row r="151" spans="2:11" x14ac:dyDescent="0.25">
      <c r="B151" s="11"/>
      <c r="E151" s="11"/>
      <c r="F151" s="247"/>
      <c r="G151" s="11"/>
      <c r="K151" s="4"/>
    </row>
    <row r="152" spans="2:11" x14ac:dyDescent="0.25">
      <c r="B152" s="11"/>
      <c r="E152" s="11"/>
      <c r="F152" s="247"/>
      <c r="G152" s="11"/>
      <c r="K152" s="4"/>
    </row>
    <row r="153" spans="2:11" x14ac:dyDescent="0.25">
      <c r="B153" s="11"/>
      <c r="E153" s="11"/>
      <c r="F153" s="247"/>
      <c r="G153" s="11"/>
      <c r="K153" s="4"/>
    </row>
    <row r="154" spans="2:11" x14ac:dyDescent="0.25">
      <c r="B154" s="11"/>
      <c r="E154" s="11"/>
      <c r="F154" s="247"/>
      <c r="G154" s="11"/>
      <c r="K154" s="4"/>
    </row>
    <row r="155" spans="2:11" x14ac:dyDescent="0.25">
      <c r="B155" s="11"/>
      <c r="E155" s="11"/>
      <c r="F155" s="247"/>
      <c r="G155" s="11"/>
      <c r="K155" s="4"/>
    </row>
    <row r="156" spans="2:11" x14ac:dyDescent="0.25">
      <c r="B156" s="11"/>
      <c r="D156" s="11"/>
      <c r="E156" s="11"/>
      <c r="F156" s="247"/>
      <c r="G156" s="11"/>
      <c r="K156" s="4"/>
    </row>
    <row r="157" spans="2:11" x14ac:dyDescent="0.25">
      <c r="B157" s="11"/>
      <c r="E157" s="11"/>
      <c r="F157" s="247"/>
      <c r="G157" s="11"/>
      <c r="K157" s="4"/>
    </row>
    <row r="158" spans="2:11" x14ac:dyDescent="0.25">
      <c r="B158" s="11"/>
      <c r="E158" s="11"/>
      <c r="F158" s="247"/>
      <c r="G158" s="11"/>
      <c r="K158" s="4"/>
    </row>
    <row r="159" spans="2:11" x14ac:dyDescent="0.25">
      <c r="B159" s="11"/>
      <c r="E159" s="11"/>
      <c r="F159" s="247"/>
      <c r="G159" s="11"/>
      <c r="K159" s="4"/>
    </row>
    <row r="160" spans="2:11" x14ac:dyDescent="0.25">
      <c r="B160" s="11"/>
      <c r="E160" s="11"/>
      <c r="F160" s="247"/>
      <c r="G160" s="11"/>
      <c r="K160" s="4"/>
    </row>
    <row r="161" spans="2:11" x14ac:dyDescent="0.25">
      <c r="B161" s="11"/>
      <c r="E161" s="11"/>
      <c r="F161" s="247"/>
      <c r="G161" s="11"/>
      <c r="K161" s="4"/>
    </row>
    <row r="162" spans="2:11" x14ac:dyDescent="0.25">
      <c r="B162" s="11"/>
      <c r="E162" s="11"/>
      <c r="F162" s="247"/>
      <c r="G162" s="11"/>
      <c r="K162" s="4"/>
    </row>
    <row r="163" spans="2:11" x14ac:dyDescent="0.25">
      <c r="B163" s="11"/>
      <c r="E163" s="11"/>
      <c r="F163" s="247"/>
      <c r="G163" s="11"/>
    </row>
    <row r="164" spans="2:11" x14ac:dyDescent="0.25">
      <c r="B164" s="11"/>
      <c r="E164" s="11"/>
      <c r="F164" s="247"/>
      <c r="G164" s="11"/>
    </row>
    <row r="165" spans="2:11" x14ac:dyDescent="0.25">
      <c r="B165" s="11"/>
      <c r="E165" s="11"/>
      <c r="F165" s="247"/>
      <c r="G165" s="11"/>
    </row>
    <row r="166" spans="2:11" x14ac:dyDescent="0.25">
      <c r="B166" s="11"/>
      <c r="E166" s="11"/>
      <c r="F166" s="247"/>
      <c r="G166" s="11"/>
    </row>
    <row r="167" spans="2:11" x14ac:dyDescent="0.25">
      <c r="B167" s="11"/>
      <c r="E167" s="11"/>
      <c r="F167" s="247"/>
      <c r="G167" s="11"/>
    </row>
    <row r="168" spans="2:11" x14ac:dyDescent="0.25">
      <c r="B168" s="11"/>
      <c r="E168" s="11"/>
      <c r="F168" s="247"/>
      <c r="G168" s="11"/>
    </row>
    <row r="169" spans="2:11" x14ac:dyDescent="0.25">
      <c r="B169" s="11"/>
      <c r="E169" s="11"/>
      <c r="F169" s="247"/>
      <c r="G169" s="11"/>
    </row>
    <row r="170" spans="2:11" x14ac:dyDescent="0.25">
      <c r="B170" s="11"/>
      <c r="E170" s="11"/>
      <c r="F170" s="247"/>
      <c r="G170" s="11"/>
    </row>
    <row r="171" spans="2:11" x14ac:dyDescent="0.25">
      <c r="B171" s="11"/>
      <c r="E171" s="11"/>
      <c r="F171" s="247"/>
      <c r="G171" s="11"/>
    </row>
    <row r="172" spans="2:11" x14ac:dyDescent="0.25">
      <c r="B172" s="11"/>
      <c r="E172" s="11"/>
      <c r="F172" s="247"/>
      <c r="G172" s="11"/>
    </row>
    <row r="173" spans="2:11" x14ac:dyDescent="0.25">
      <c r="B173" s="11"/>
      <c r="E173" s="11"/>
      <c r="F173" s="247"/>
      <c r="G173" s="11"/>
    </row>
    <row r="174" spans="2:11" x14ac:dyDescent="0.25">
      <c r="B174" s="11"/>
      <c r="E174" s="11"/>
      <c r="F174" s="247"/>
      <c r="G174" s="11"/>
    </row>
    <row r="175" spans="2:11" x14ac:dyDescent="0.25">
      <c r="B175" s="11"/>
      <c r="E175" s="11"/>
      <c r="F175" s="247"/>
      <c r="G175" s="11"/>
    </row>
    <row r="176" spans="2:11" x14ac:dyDescent="0.25">
      <c r="B176" s="11"/>
      <c r="E176" s="11"/>
      <c r="F176" s="247"/>
      <c r="G176" s="11"/>
    </row>
    <row r="177" spans="2:7" x14ac:dyDescent="0.25">
      <c r="B177" s="11"/>
      <c r="E177" s="11"/>
      <c r="F177" s="247"/>
      <c r="G177" s="11"/>
    </row>
    <row r="178" spans="2:7" x14ac:dyDescent="0.25">
      <c r="B178" s="11"/>
      <c r="E178" s="11"/>
      <c r="F178" s="247"/>
      <c r="G178" s="11"/>
    </row>
    <row r="179" spans="2:7" x14ac:dyDescent="0.25">
      <c r="B179" s="11"/>
      <c r="E179" s="11"/>
      <c r="F179" s="247"/>
      <c r="G179" s="11"/>
    </row>
    <row r="180" spans="2:7" x14ac:dyDescent="0.25">
      <c r="E180" s="11"/>
      <c r="F180" s="247"/>
      <c r="G180" s="11"/>
    </row>
    <row r="181" spans="2:7" x14ac:dyDescent="0.25">
      <c r="E181" s="11"/>
      <c r="F181" s="247"/>
      <c r="G181" s="11"/>
    </row>
    <row r="182" spans="2:7" x14ac:dyDescent="0.25">
      <c r="E182" s="11"/>
      <c r="F182" s="247"/>
      <c r="G182" s="11"/>
    </row>
    <row r="183" spans="2:7" x14ac:dyDescent="0.25">
      <c r="E183" s="11"/>
      <c r="F183" s="247"/>
      <c r="G183" s="11"/>
    </row>
    <row r="184" spans="2:7" x14ac:dyDescent="0.25">
      <c r="E184" s="11"/>
      <c r="F184" s="247"/>
      <c r="G184" s="11"/>
    </row>
    <row r="185" spans="2:7" x14ac:dyDescent="0.25">
      <c r="E185" s="11"/>
      <c r="F185" s="247"/>
      <c r="G185" s="1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92"/>
  <sheetViews>
    <sheetView topLeftCell="A10" zoomScale="110" zoomScaleNormal="110" workbookViewId="0">
      <selection activeCell="B42" sqref="B42:H43"/>
    </sheetView>
  </sheetViews>
  <sheetFormatPr baseColWidth="10" defaultRowHeight="15" x14ac:dyDescent="0.25"/>
  <cols>
    <col min="2" max="2" width="11.85546875" bestFit="1" customWidth="1"/>
    <col min="5" max="6" width="11.140625" customWidth="1"/>
    <col min="7" max="7" width="12.140625" customWidth="1"/>
    <col min="8" max="8" width="12.7109375" bestFit="1" customWidth="1"/>
    <col min="9" max="9" width="13.7109375" bestFit="1" customWidth="1"/>
    <col min="10" max="10" width="13.28515625" bestFit="1" customWidth="1"/>
    <col min="11" max="11" width="12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227"/>
      <c r="C3" s="124"/>
      <c r="D3" s="82"/>
      <c r="E3" s="82"/>
      <c r="F3" s="82"/>
      <c r="G3" s="82"/>
      <c r="H3" s="83"/>
      <c r="I3" s="90"/>
      <c r="J3" s="82"/>
      <c r="K3" s="217"/>
    </row>
    <row r="4" spans="1:11" x14ac:dyDescent="0.25">
      <c r="A4" s="91"/>
      <c r="B4" s="227"/>
      <c r="C4" s="124"/>
      <c r="D4" s="82"/>
      <c r="E4" s="82"/>
      <c r="F4" s="82"/>
      <c r="G4" s="82"/>
      <c r="H4" s="83"/>
      <c r="I4" s="90"/>
      <c r="J4" s="82"/>
      <c r="K4" s="217"/>
    </row>
    <row r="5" spans="1:11" x14ac:dyDescent="0.25">
      <c r="A5" s="91"/>
      <c r="B5" s="227"/>
      <c r="C5" s="124"/>
      <c r="D5" s="82"/>
      <c r="E5" s="82"/>
      <c r="F5" s="82"/>
      <c r="G5" s="82"/>
      <c r="H5" s="83"/>
      <c r="I5" s="90"/>
      <c r="J5" s="82"/>
      <c r="K5" s="217"/>
    </row>
    <row r="6" spans="1:11" x14ac:dyDescent="0.25">
      <c r="A6" s="91"/>
      <c r="B6" s="227"/>
      <c r="C6" s="124"/>
      <c r="D6" s="82"/>
      <c r="E6" s="82"/>
      <c r="F6" s="82"/>
      <c r="G6" s="82"/>
      <c r="H6" s="83"/>
      <c r="I6" s="90"/>
      <c r="J6" s="82"/>
      <c r="K6" s="217"/>
    </row>
    <row r="7" spans="1:11" x14ac:dyDescent="0.25">
      <c r="A7" s="91"/>
      <c r="B7" s="227"/>
      <c r="C7" s="124"/>
      <c r="D7" s="82"/>
      <c r="E7" s="82"/>
      <c r="F7" s="82"/>
      <c r="G7" s="82"/>
      <c r="H7" s="83"/>
      <c r="I7" s="90"/>
      <c r="J7" s="82"/>
      <c r="K7" s="217"/>
    </row>
    <row r="8" spans="1:11" x14ac:dyDescent="0.25">
      <c r="A8" s="91"/>
      <c r="B8" s="227"/>
      <c r="C8" s="124"/>
      <c r="D8" s="82"/>
      <c r="E8" s="82"/>
      <c r="F8" s="82"/>
      <c r="G8" s="82"/>
      <c r="H8" s="83"/>
      <c r="I8" s="90"/>
      <c r="J8" s="82"/>
      <c r="K8" s="217"/>
    </row>
    <row r="9" spans="1:11" x14ac:dyDescent="0.25">
      <c r="A9" s="91"/>
      <c r="B9" s="227"/>
      <c r="C9" s="124"/>
      <c r="D9" s="82"/>
      <c r="E9" s="82"/>
      <c r="F9" s="82"/>
      <c r="G9" s="82"/>
      <c r="H9" s="83"/>
      <c r="I9" s="90"/>
      <c r="J9" s="82"/>
      <c r="K9" s="217"/>
    </row>
    <row r="10" spans="1:11" x14ac:dyDescent="0.25">
      <c r="A10" s="91"/>
      <c r="B10" s="227"/>
      <c r="C10" s="124"/>
      <c r="D10" s="82"/>
      <c r="E10" s="82"/>
      <c r="F10" s="82"/>
      <c r="G10" s="82"/>
      <c r="H10" s="83"/>
      <c r="I10" s="90"/>
      <c r="J10" s="82"/>
      <c r="K10" s="217"/>
    </row>
    <row r="11" spans="1:11" x14ac:dyDescent="0.25">
      <c r="A11" s="91"/>
      <c r="B11" s="227"/>
      <c r="C11" s="124"/>
      <c r="D11" s="82"/>
      <c r="E11" s="82"/>
      <c r="F11" s="82"/>
      <c r="G11" s="82"/>
      <c r="H11" s="83"/>
      <c r="I11" s="90"/>
      <c r="J11" s="82"/>
      <c r="K11" s="217"/>
    </row>
    <row r="12" spans="1:11" x14ac:dyDescent="0.25">
      <c r="A12" s="91"/>
      <c r="B12" s="227"/>
      <c r="C12" s="124"/>
      <c r="D12" s="82"/>
      <c r="E12" s="82"/>
      <c r="F12" s="82"/>
      <c r="G12" s="82"/>
      <c r="H12" s="83"/>
      <c r="I12" s="90"/>
      <c r="J12" s="82"/>
      <c r="K12" s="217"/>
    </row>
    <row r="13" spans="1:11" x14ac:dyDescent="0.25">
      <c r="A13" s="91"/>
      <c r="B13" s="227"/>
      <c r="C13" s="124"/>
      <c r="D13" s="82"/>
      <c r="E13" s="82"/>
      <c r="F13" s="82"/>
      <c r="G13" s="82"/>
      <c r="H13" s="83"/>
      <c r="I13" s="90"/>
      <c r="J13" s="82"/>
      <c r="K13" s="217"/>
    </row>
    <row r="14" spans="1:11" x14ac:dyDescent="0.25">
      <c r="A14" s="91"/>
      <c r="B14" s="227"/>
      <c r="C14" s="124"/>
      <c r="D14" s="82"/>
      <c r="E14" s="82"/>
      <c r="F14" s="82"/>
      <c r="G14" s="82"/>
      <c r="H14" s="83"/>
      <c r="I14" s="90"/>
      <c r="J14" s="82"/>
      <c r="K14" s="217"/>
    </row>
    <row r="15" spans="1:11" x14ac:dyDescent="0.25">
      <c r="A15" s="91"/>
      <c r="B15" s="227"/>
      <c r="C15" s="124"/>
      <c r="D15" s="82"/>
      <c r="E15" s="82"/>
      <c r="F15" s="82"/>
      <c r="G15" s="82"/>
      <c r="H15" s="83"/>
      <c r="I15" s="90"/>
      <c r="J15" s="82"/>
      <c r="K15" s="217"/>
    </row>
    <row r="16" spans="1:11" x14ac:dyDescent="0.25">
      <c r="A16" s="91"/>
      <c r="B16" s="227"/>
      <c r="C16" s="124"/>
      <c r="D16" s="82"/>
      <c r="E16" s="82"/>
      <c r="F16" s="82"/>
      <c r="G16" s="82"/>
      <c r="H16" s="83"/>
      <c r="I16" s="90"/>
      <c r="J16" s="82"/>
      <c r="K16" s="217"/>
    </row>
    <row r="17" spans="1:11" x14ac:dyDescent="0.25">
      <c r="A17" s="91"/>
      <c r="B17" s="227"/>
      <c r="C17" s="124"/>
      <c r="D17" s="82"/>
      <c r="E17" s="82"/>
      <c r="F17" s="82"/>
      <c r="G17" s="82"/>
      <c r="H17" s="83"/>
      <c r="I17" s="90"/>
      <c r="J17" s="82"/>
      <c r="K17" s="217"/>
    </row>
    <row r="18" spans="1:11" x14ac:dyDescent="0.25">
      <c r="A18" s="91"/>
      <c r="B18" s="227"/>
      <c r="C18" s="124"/>
      <c r="D18" s="82"/>
      <c r="E18" s="82"/>
      <c r="F18" s="82"/>
      <c r="G18" s="82"/>
      <c r="H18" s="83"/>
      <c r="I18" s="90"/>
      <c r="J18" s="82"/>
      <c r="K18" s="217"/>
    </row>
    <row r="19" spans="1:11" x14ac:dyDescent="0.25">
      <c r="A19" s="91"/>
      <c r="B19" s="227"/>
      <c r="C19" s="124"/>
      <c r="D19" s="82"/>
      <c r="E19" s="82"/>
      <c r="F19" s="82"/>
      <c r="G19" s="82"/>
      <c r="H19" s="83"/>
      <c r="I19" s="90"/>
      <c r="J19" s="82"/>
      <c r="K19" s="217"/>
    </row>
    <row r="20" spans="1:11" x14ac:dyDescent="0.25">
      <c r="A20" s="91"/>
      <c r="B20" s="227"/>
      <c r="C20" s="124"/>
      <c r="D20" s="82"/>
      <c r="E20" s="82"/>
      <c r="F20" s="82"/>
      <c r="G20" s="82"/>
      <c r="H20" s="83"/>
      <c r="I20" s="90"/>
      <c r="J20" s="82"/>
      <c r="K20" s="217"/>
    </row>
    <row r="21" spans="1:11" x14ac:dyDescent="0.25">
      <c r="A21" s="91"/>
      <c r="B21" s="227"/>
      <c r="C21" s="124"/>
      <c r="D21" s="82"/>
      <c r="E21" s="82"/>
      <c r="F21" s="82"/>
      <c r="G21" s="82"/>
      <c r="H21" s="83"/>
      <c r="I21" s="90"/>
      <c r="J21" s="82"/>
      <c r="K21" s="217"/>
    </row>
    <row r="22" spans="1:11" x14ac:dyDescent="0.25">
      <c r="A22" s="91"/>
      <c r="B22" s="227"/>
      <c r="C22" s="124"/>
      <c r="D22" s="82"/>
      <c r="E22" s="82"/>
      <c r="F22" s="82"/>
      <c r="G22" s="82"/>
      <c r="H22" s="83"/>
      <c r="I22" s="90"/>
      <c r="J22" s="82"/>
      <c r="K22" s="217"/>
    </row>
    <row r="23" spans="1:11" x14ac:dyDescent="0.25">
      <c r="A23" s="91"/>
      <c r="B23" s="227"/>
      <c r="C23" s="124"/>
      <c r="D23" s="82"/>
      <c r="E23" s="82"/>
      <c r="F23" s="82"/>
      <c r="G23" s="82"/>
      <c r="H23" s="83"/>
      <c r="I23" s="90"/>
      <c r="J23" s="82"/>
      <c r="K23" s="217"/>
    </row>
    <row r="24" spans="1:11" x14ac:dyDescent="0.25">
      <c r="A24" s="91"/>
      <c r="B24" s="227"/>
      <c r="C24" s="124"/>
      <c r="D24" s="82"/>
      <c r="E24" s="82"/>
      <c r="F24" s="82"/>
      <c r="G24" s="82"/>
      <c r="H24" s="83"/>
      <c r="I24" s="90"/>
      <c r="J24" s="82"/>
      <c r="K24" s="217"/>
    </row>
    <row r="25" spans="1:11" x14ac:dyDescent="0.25">
      <c r="A25" s="91"/>
      <c r="B25" s="227"/>
      <c r="C25" s="124"/>
      <c r="D25" s="82"/>
      <c r="E25" s="82"/>
      <c r="F25" s="82"/>
      <c r="G25" s="82"/>
      <c r="H25" s="83"/>
      <c r="I25" s="90"/>
      <c r="J25" s="82"/>
      <c r="K25" s="217"/>
    </row>
    <row r="26" spans="1:11" x14ac:dyDescent="0.25">
      <c r="A26" s="91"/>
      <c r="B26" s="227"/>
      <c r="C26" s="124"/>
      <c r="D26" s="82"/>
      <c r="E26" s="82"/>
      <c r="F26" s="82"/>
      <c r="G26" s="82"/>
      <c r="H26" s="83"/>
      <c r="I26" s="90"/>
      <c r="J26" s="82"/>
      <c r="K26" s="217"/>
    </row>
    <row r="27" spans="1:11" x14ac:dyDescent="0.25">
      <c r="A27" s="91"/>
      <c r="B27" s="227"/>
      <c r="C27" s="124"/>
      <c r="D27" s="82"/>
      <c r="E27" s="82"/>
      <c r="F27" s="82"/>
      <c r="G27" s="82"/>
      <c r="H27" s="83"/>
      <c r="I27" s="90"/>
      <c r="J27" s="82"/>
      <c r="K27" s="217"/>
    </row>
    <row r="28" spans="1:11" x14ac:dyDescent="0.25">
      <c r="A28" s="91"/>
      <c r="B28" s="227"/>
      <c r="C28" s="124"/>
      <c r="D28" s="82"/>
      <c r="E28" s="82"/>
      <c r="F28" s="82"/>
      <c r="G28" s="82"/>
      <c r="H28" s="83"/>
      <c r="I28" s="90"/>
      <c r="J28" s="82"/>
      <c r="K28" s="217"/>
    </row>
    <row r="29" spans="1:11" x14ac:dyDescent="0.25">
      <c r="A29" s="91"/>
      <c r="B29" s="227"/>
      <c r="C29" s="124"/>
      <c r="D29" s="82"/>
      <c r="E29" s="82"/>
      <c r="F29" s="82"/>
      <c r="G29" s="82"/>
      <c r="H29" s="83"/>
      <c r="I29" s="90"/>
      <c r="J29" s="82"/>
      <c r="K29" s="217"/>
    </row>
    <row r="30" spans="1:11" x14ac:dyDescent="0.25">
      <c r="A30" s="91"/>
      <c r="B30" s="227"/>
      <c r="C30" s="124"/>
      <c r="D30" s="82"/>
      <c r="E30" s="82"/>
      <c r="F30" s="82"/>
      <c r="G30" s="82"/>
      <c r="H30" s="83"/>
      <c r="I30" s="90"/>
      <c r="J30" s="82"/>
      <c r="K30" s="217"/>
    </row>
    <row r="31" spans="1:11" x14ac:dyDescent="0.25">
      <c r="A31" s="91"/>
      <c r="B31" s="227"/>
      <c r="C31" s="124"/>
      <c r="D31" s="82"/>
      <c r="E31" s="82"/>
      <c r="F31" s="82"/>
      <c r="G31" s="82"/>
      <c r="H31" s="83"/>
      <c r="I31" s="90"/>
      <c r="J31" s="82"/>
      <c r="K31" s="217"/>
    </row>
    <row r="32" spans="1:11" x14ac:dyDescent="0.25">
      <c r="A32" s="91"/>
      <c r="B32" s="227"/>
      <c r="C32" s="124"/>
      <c r="D32" s="82"/>
      <c r="E32" s="82"/>
      <c r="F32" s="82"/>
      <c r="G32" s="82"/>
      <c r="H32" s="83"/>
      <c r="I32" s="90"/>
      <c r="J32" s="82"/>
      <c r="K32" s="217"/>
    </row>
    <row r="33" spans="1:11" x14ac:dyDescent="0.25">
      <c r="A33" s="91">
        <v>46113</v>
      </c>
      <c r="B33" s="227" t="s">
        <v>220</v>
      </c>
      <c r="C33" s="124" t="s">
        <v>9</v>
      </c>
      <c r="D33" s="82">
        <v>300</v>
      </c>
      <c r="E33" s="82"/>
      <c r="F33" s="82"/>
      <c r="G33" s="82"/>
      <c r="H33" s="83" t="s">
        <v>66</v>
      </c>
      <c r="I33" s="90"/>
      <c r="J33" s="82"/>
      <c r="K33" s="217"/>
    </row>
    <row r="34" spans="1:11" x14ac:dyDescent="0.25">
      <c r="A34" s="91">
        <v>46113</v>
      </c>
      <c r="B34" s="236" t="s">
        <v>9</v>
      </c>
      <c r="C34" s="124" t="s">
        <v>389</v>
      </c>
      <c r="D34" s="82">
        <v>310</v>
      </c>
      <c r="E34" s="82"/>
      <c r="F34" s="82">
        <v>33.96</v>
      </c>
      <c r="G34" s="82"/>
      <c r="H34" s="90">
        <v>764519</v>
      </c>
      <c r="I34" s="90"/>
      <c r="J34" s="82"/>
      <c r="K34" s="217"/>
    </row>
    <row r="35" spans="1:11" x14ac:dyDescent="0.25">
      <c r="A35" s="91">
        <v>46118</v>
      </c>
      <c r="B35" s="236" t="s">
        <v>389</v>
      </c>
      <c r="C35" s="124" t="s">
        <v>9</v>
      </c>
      <c r="D35" s="82">
        <v>310</v>
      </c>
      <c r="E35" s="82"/>
      <c r="F35" s="82"/>
      <c r="G35" s="82"/>
      <c r="H35" s="83" t="s">
        <v>66</v>
      </c>
      <c r="I35" s="90"/>
      <c r="J35" s="82"/>
      <c r="K35" s="217"/>
    </row>
    <row r="36" spans="1:11" x14ac:dyDescent="0.25">
      <c r="A36" s="91">
        <v>46118</v>
      </c>
      <c r="B36" s="227" t="s">
        <v>9</v>
      </c>
      <c r="C36" s="82" t="s">
        <v>104</v>
      </c>
      <c r="D36" s="82">
        <v>320</v>
      </c>
      <c r="E36" s="82"/>
      <c r="F36" s="82">
        <v>33.96</v>
      </c>
      <c r="G36" s="82"/>
      <c r="H36" s="123">
        <v>764969</v>
      </c>
      <c r="I36" s="90"/>
      <c r="J36" s="82"/>
      <c r="K36" s="217"/>
    </row>
    <row r="37" spans="1:11" x14ac:dyDescent="0.25">
      <c r="A37" s="91">
        <v>46119</v>
      </c>
      <c r="B37" s="227" t="s">
        <v>104</v>
      </c>
      <c r="C37" s="82" t="s">
        <v>9</v>
      </c>
      <c r="D37" s="82">
        <v>320</v>
      </c>
      <c r="E37" s="82"/>
      <c r="F37" s="82"/>
      <c r="G37" s="82"/>
      <c r="H37" s="128" t="s">
        <v>66</v>
      </c>
      <c r="I37" s="90"/>
      <c r="J37" s="82"/>
      <c r="K37" s="217"/>
    </row>
    <row r="38" spans="1:11" x14ac:dyDescent="0.25">
      <c r="A38" s="91">
        <v>46120</v>
      </c>
      <c r="B38" s="236" t="s">
        <v>9</v>
      </c>
      <c r="C38" s="124" t="s">
        <v>234</v>
      </c>
      <c r="D38" s="82">
        <v>40</v>
      </c>
      <c r="E38" s="82"/>
      <c r="F38" s="82">
        <v>33.82</v>
      </c>
      <c r="G38" s="82"/>
      <c r="H38" s="123">
        <v>765164</v>
      </c>
      <c r="I38" s="90"/>
      <c r="J38" s="82"/>
      <c r="K38" s="217">
        <v>294013.49</v>
      </c>
    </row>
    <row r="39" spans="1:11" x14ac:dyDescent="0.25">
      <c r="A39" s="91">
        <v>46120</v>
      </c>
      <c r="B39" s="236" t="s">
        <v>234</v>
      </c>
      <c r="C39" s="124" t="s">
        <v>9</v>
      </c>
      <c r="D39" s="82">
        <v>40</v>
      </c>
      <c r="E39" s="82"/>
      <c r="F39" s="82"/>
      <c r="G39" s="82"/>
      <c r="H39" s="128" t="s">
        <v>66</v>
      </c>
      <c r="I39" s="90"/>
      <c r="J39" s="82"/>
      <c r="K39" s="217"/>
    </row>
    <row r="40" spans="1:11" x14ac:dyDescent="0.25">
      <c r="A40" s="91">
        <v>46121</v>
      </c>
      <c r="B40" s="236" t="s">
        <v>9</v>
      </c>
      <c r="C40" s="124" t="s">
        <v>234</v>
      </c>
      <c r="D40" s="82">
        <v>40</v>
      </c>
      <c r="E40" s="82"/>
      <c r="F40" s="82">
        <v>33.979999999999997</v>
      </c>
      <c r="G40" s="82"/>
      <c r="H40" s="123">
        <v>765411</v>
      </c>
      <c r="I40" s="90"/>
      <c r="J40" s="82"/>
      <c r="K40" s="217">
        <v>295404.45</v>
      </c>
    </row>
    <row r="41" spans="1:11" x14ac:dyDescent="0.25">
      <c r="A41" s="91">
        <v>46122</v>
      </c>
      <c r="B41" s="236" t="s">
        <v>234</v>
      </c>
      <c r="C41" s="124" t="s">
        <v>9</v>
      </c>
      <c r="D41" s="82">
        <v>40</v>
      </c>
      <c r="E41" s="82"/>
      <c r="F41" s="82"/>
      <c r="G41" s="82"/>
      <c r="H41" s="128" t="s">
        <v>66</v>
      </c>
      <c r="I41" s="90"/>
      <c r="J41" s="82"/>
      <c r="K41" s="217"/>
    </row>
    <row r="42" spans="1:11" x14ac:dyDescent="0.25">
      <c r="A42" s="91">
        <v>46122</v>
      </c>
      <c r="B42" s="82" t="s">
        <v>9</v>
      </c>
      <c r="C42" s="124" t="s">
        <v>262</v>
      </c>
      <c r="D42" s="82">
        <v>430</v>
      </c>
      <c r="E42" s="82"/>
      <c r="F42" s="82">
        <v>34.119999999999997</v>
      </c>
      <c r="G42" s="82"/>
      <c r="H42" s="90">
        <v>765699</v>
      </c>
      <c r="I42" s="90"/>
      <c r="J42" s="82"/>
      <c r="K42" s="217"/>
    </row>
    <row r="43" spans="1:11" x14ac:dyDescent="0.25">
      <c r="A43" s="91">
        <v>46125</v>
      </c>
      <c r="B43" s="236" t="s">
        <v>272</v>
      </c>
      <c r="C43" s="124" t="s">
        <v>220</v>
      </c>
      <c r="D43" s="82">
        <v>140</v>
      </c>
      <c r="E43" s="82"/>
      <c r="F43" s="82"/>
      <c r="G43" s="82"/>
      <c r="H43" s="83" t="s">
        <v>66</v>
      </c>
      <c r="I43" s="90"/>
      <c r="J43" s="82"/>
      <c r="K43" s="217"/>
    </row>
    <row r="44" spans="1:11" x14ac:dyDescent="0.25">
      <c r="A44" s="91">
        <v>46126</v>
      </c>
      <c r="B44" s="236" t="s">
        <v>220</v>
      </c>
      <c r="C44" s="124" t="s">
        <v>10</v>
      </c>
      <c r="D44" s="82">
        <v>300</v>
      </c>
      <c r="E44" s="82"/>
      <c r="F44" s="82"/>
      <c r="G44" s="82"/>
      <c r="H44" s="90">
        <v>896108</v>
      </c>
      <c r="I44" s="90"/>
      <c r="J44" s="82"/>
      <c r="K44" s="217"/>
    </row>
    <row r="45" spans="1:11" x14ac:dyDescent="0.25">
      <c r="A45" s="91">
        <v>46126</v>
      </c>
      <c r="B45" s="236" t="s">
        <v>10</v>
      </c>
      <c r="C45" s="124" t="s">
        <v>220</v>
      </c>
      <c r="D45" s="82">
        <v>300</v>
      </c>
      <c r="E45" s="82"/>
      <c r="F45" s="82"/>
      <c r="G45" s="82"/>
      <c r="H45" s="90">
        <v>278974</v>
      </c>
      <c r="I45" s="90" t="s">
        <v>176</v>
      </c>
      <c r="J45" s="82"/>
      <c r="K45" s="217"/>
    </row>
    <row r="46" spans="1:11" x14ac:dyDescent="0.25">
      <c r="A46" s="91">
        <v>46127</v>
      </c>
      <c r="B46" s="236" t="s">
        <v>220</v>
      </c>
      <c r="C46" s="124" t="s">
        <v>10</v>
      </c>
      <c r="D46" s="82">
        <v>300</v>
      </c>
      <c r="E46" s="82"/>
      <c r="F46" s="82"/>
      <c r="G46" s="82"/>
      <c r="H46" s="90">
        <v>896347</v>
      </c>
      <c r="I46" s="90"/>
      <c r="J46" s="82"/>
      <c r="K46" s="217"/>
    </row>
    <row r="47" spans="1:11" x14ac:dyDescent="0.25">
      <c r="A47" s="91">
        <v>46127</v>
      </c>
      <c r="B47" s="236" t="s">
        <v>10</v>
      </c>
      <c r="C47" s="124" t="s">
        <v>220</v>
      </c>
      <c r="D47" s="82">
        <v>300</v>
      </c>
      <c r="E47" s="82"/>
      <c r="F47" s="82"/>
      <c r="G47" s="82"/>
      <c r="H47" s="90">
        <v>279034</v>
      </c>
      <c r="I47" s="90" t="s">
        <v>176</v>
      </c>
      <c r="J47" s="82"/>
      <c r="K47" s="217"/>
    </row>
    <row r="48" spans="1:11" x14ac:dyDescent="0.25">
      <c r="A48" s="91">
        <v>46127</v>
      </c>
      <c r="B48" s="227" t="s">
        <v>220</v>
      </c>
      <c r="C48" s="124" t="s">
        <v>9</v>
      </c>
      <c r="D48" s="82">
        <v>300</v>
      </c>
      <c r="E48" s="82"/>
      <c r="F48" s="82"/>
      <c r="G48" s="82"/>
      <c r="H48" s="83" t="s">
        <v>66</v>
      </c>
      <c r="I48" s="90"/>
      <c r="J48" s="82"/>
      <c r="K48" s="217"/>
    </row>
    <row r="49" spans="1:11" x14ac:dyDescent="0.25">
      <c r="A49" s="91">
        <v>46129</v>
      </c>
      <c r="B49" s="82" t="s">
        <v>9</v>
      </c>
      <c r="C49" s="124" t="s">
        <v>262</v>
      </c>
      <c r="D49" s="82">
        <v>430</v>
      </c>
      <c r="E49" s="82"/>
      <c r="F49" s="82">
        <v>34.08</v>
      </c>
      <c r="G49" s="82"/>
      <c r="H49" s="90">
        <v>766862</v>
      </c>
      <c r="I49" s="90"/>
      <c r="J49" s="82"/>
      <c r="K49" s="217"/>
    </row>
    <row r="50" spans="1:11" x14ac:dyDescent="0.25">
      <c r="A50" s="91">
        <v>46132</v>
      </c>
      <c r="B50" s="236" t="s">
        <v>272</v>
      </c>
      <c r="C50" s="124" t="s">
        <v>220</v>
      </c>
      <c r="D50" s="82">
        <v>140</v>
      </c>
      <c r="E50" s="82"/>
      <c r="F50" s="82"/>
      <c r="G50" s="82"/>
      <c r="H50" s="83" t="s">
        <v>66</v>
      </c>
      <c r="I50" s="90"/>
      <c r="J50" s="82"/>
      <c r="K50" s="217"/>
    </row>
    <row r="51" spans="1:11" x14ac:dyDescent="0.25">
      <c r="A51" s="91">
        <v>46132</v>
      </c>
      <c r="B51" s="236" t="s">
        <v>220</v>
      </c>
      <c r="C51" s="124" t="s">
        <v>448</v>
      </c>
      <c r="D51" s="82">
        <v>80</v>
      </c>
      <c r="E51" s="82"/>
      <c r="F51" s="82">
        <v>33.94</v>
      </c>
      <c r="G51" s="82"/>
      <c r="H51" s="90">
        <v>897030</v>
      </c>
      <c r="I51" s="90"/>
      <c r="J51" s="82"/>
      <c r="K51" s="217"/>
    </row>
    <row r="52" spans="1:11" x14ac:dyDescent="0.25">
      <c r="A52" s="91">
        <v>46133</v>
      </c>
      <c r="B52" s="236" t="s">
        <v>448</v>
      </c>
      <c r="C52" s="124" t="s">
        <v>220</v>
      </c>
      <c r="D52" s="82">
        <v>80</v>
      </c>
      <c r="E52" s="82"/>
      <c r="F52" s="82"/>
      <c r="G52" s="82"/>
      <c r="H52" s="83" t="s">
        <v>66</v>
      </c>
      <c r="I52" s="90"/>
      <c r="J52" s="82"/>
      <c r="K52" s="217"/>
    </row>
    <row r="53" spans="1:11" x14ac:dyDescent="0.25">
      <c r="A53" s="91">
        <v>46134</v>
      </c>
      <c r="B53" s="236" t="s">
        <v>220</v>
      </c>
      <c r="C53" s="124" t="s">
        <v>10</v>
      </c>
      <c r="D53" s="82">
        <v>300</v>
      </c>
      <c r="E53" s="82"/>
      <c r="F53" s="82"/>
      <c r="G53" s="82"/>
      <c r="H53" s="90">
        <v>897340</v>
      </c>
      <c r="I53" s="90"/>
      <c r="J53" s="82"/>
      <c r="K53" s="217"/>
    </row>
    <row r="54" spans="1:11" x14ac:dyDescent="0.25">
      <c r="A54" s="91">
        <v>46134</v>
      </c>
      <c r="B54" s="236" t="s">
        <v>10</v>
      </c>
      <c r="C54" s="124" t="s">
        <v>220</v>
      </c>
      <c r="D54" s="82">
        <v>300</v>
      </c>
      <c r="E54" s="82"/>
      <c r="F54" s="82"/>
      <c r="G54" s="82"/>
      <c r="H54" s="90">
        <v>279303</v>
      </c>
      <c r="I54" s="90" t="s">
        <v>176</v>
      </c>
      <c r="J54" s="82"/>
      <c r="K54" s="217"/>
    </row>
    <row r="55" spans="1:11" x14ac:dyDescent="0.25">
      <c r="A55" s="91">
        <v>46136</v>
      </c>
      <c r="B55" s="236" t="s">
        <v>220</v>
      </c>
      <c r="C55" s="124" t="s">
        <v>302</v>
      </c>
      <c r="D55" s="82">
        <v>610</v>
      </c>
      <c r="E55" s="82"/>
      <c r="F55" s="82">
        <v>35.97</v>
      </c>
      <c r="G55" s="82"/>
      <c r="H55" s="90">
        <v>897808</v>
      </c>
      <c r="I55" s="90"/>
      <c r="J55" s="82"/>
      <c r="K55" s="217"/>
    </row>
    <row r="56" spans="1:11" x14ac:dyDescent="0.25">
      <c r="A56" s="91">
        <v>46137</v>
      </c>
      <c r="B56" s="236" t="s">
        <v>302</v>
      </c>
      <c r="C56" s="124" t="s">
        <v>9</v>
      </c>
      <c r="D56" s="82">
        <v>310</v>
      </c>
      <c r="E56" s="82"/>
      <c r="F56" s="82"/>
      <c r="G56" s="82"/>
      <c r="H56" s="83" t="s">
        <v>66</v>
      </c>
      <c r="I56" s="90"/>
      <c r="J56" s="82"/>
      <c r="K56" s="217"/>
    </row>
    <row r="57" spans="1:11" x14ac:dyDescent="0.25">
      <c r="A57" s="91">
        <v>46137</v>
      </c>
      <c r="B57" s="236" t="s">
        <v>9</v>
      </c>
      <c r="C57" s="124" t="s">
        <v>251</v>
      </c>
      <c r="D57" s="82">
        <v>360</v>
      </c>
      <c r="E57" s="82"/>
      <c r="F57" s="82">
        <v>34</v>
      </c>
      <c r="G57" s="82"/>
      <c r="H57" s="90">
        <v>768152</v>
      </c>
      <c r="I57" s="90"/>
      <c r="J57" s="82"/>
      <c r="K57" s="217"/>
    </row>
    <row r="58" spans="1:11" x14ac:dyDescent="0.25">
      <c r="A58" s="91">
        <v>46139</v>
      </c>
      <c r="B58" s="236" t="s">
        <v>251</v>
      </c>
      <c r="C58" s="124" t="s">
        <v>220</v>
      </c>
      <c r="D58" s="82">
        <v>70</v>
      </c>
      <c r="E58" s="82"/>
      <c r="F58" s="82"/>
      <c r="G58" s="82"/>
      <c r="H58" s="83" t="s">
        <v>66</v>
      </c>
      <c r="I58" s="90"/>
      <c r="J58" s="82"/>
      <c r="K58" s="217"/>
    </row>
    <row r="59" spans="1:11" x14ac:dyDescent="0.25">
      <c r="A59" s="91">
        <v>46140</v>
      </c>
      <c r="B59" s="236" t="s">
        <v>220</v>
      </c>
      <c r="C59" s="124" t="s">
        <v>290</v>
      </c>
      <c r="D59" s="82">
        <v>140</v>
      </c>
      <c r="E59" s="82"/>
      <c r="F59" s="82">
        <v>33.86</v>
      </c>
      <c r="G59" s="82"/>
      <c r="H59" s="123">
        <v>898328</v>
      </c>
      <c r="I59" s="90"/>
      <c r="J59" s="82"/>
      <c r="K59" s="217"/>
    </row>
    <row r="60" spans="1:11" x14ac:dyDescent="0.25">
      <c r="A60" s="91">
        <v>46140</v>
      </c>
      <c r="B60" s="236" t="s">
        <v>305</v>
      </c>
      <c r="C60" s="124" t="s">
        <v>220</v>
      </c>
      <c r="D60" s="82">
        <v>140</v>
      </c>
      <c r="E60" s="82"/>
      <c r="F60" s="82"/>
      <c r="G60" s="82"/>
      <c r="H60" s="128" t="s">
        <v>66</v>
      </c>
      <c r="I60" s="90"/>
      <c r="J60" s="82"/>
      <c r="K60" s="217"/>
    </row>
    <row r="61" spans="1:11" x14ac:dyDescent="0.25">
      <c r="A61" s="91">
        <v>46141</v>
      </c>
      <c r="B61" s="236" t="s">
        <v>220</v>
      </c>
      <c r="C61" s="124" t="s">
        <v>10</v>
      </c>
      <c r="D61" s="82">
        <v>300</v>
      </c>
      <c r="E61" s="82"/>
      <c r="F61" s="82"/>
      <c r="G61" s="82"/>
      <c r="H61" s="90">
        <v>898631</v>
      </c>
      <c r="I61" s="90"/>
      <c r="J61" s="82"/>
      <c r="K61" s="217"/>
    </row>
    <row r="62" spans="1:11" x14ac:dyDescent="0.25">
      <c r="A62" s="91">
        <v>46142</v>
      </c>
      <c r="B62" s="236" t="s">
        <v>10</v>
      </c>
      <c r="C62" s="124" t="s">
        <v>251</v>
      </c>
      <c r="D62" s="82">
        <v>240</v>
      </c>
      <c r="E62" s="82"/>
      <c r="F62" s="82">
        <v>33.42</v>
      </c>
      <c r="G62" s="82"/>
      <c r="H62" s="90">
        <v>279581</v>
      </c>
      <c r="I62" s="90" t="s">
        <v>176</v>
      </c>
      <c r="J62" s="82"/>
      <c r="K62" s="217"/>
    </row>
    <row r="63" spans="1:11" x14ac:dyDescent="0.25">
      <c r="A63" s="91"/>
      <c r="B63" s="236"/>
      <c r="C63" s="124"/>
      <c r="D63" s="151" t="s">
        <v>462</v>
      </c>
      <c r="E63" s="82"/>
      <c r="F63" s="82"/>
      <c r="G63" s="82"/>
      <c r="H63" s="83"/>
      <c r="I63" s="90"/>
      <c r="J63" s="82"/>
      <c r="K63" s="217"/>
    </row>
    <row r="64" spans="1:11" x14ac:dyDescent="0.25">
      <c r="A64" s="5"/>
      <c r="B64" s="6"/>
      <c r="C64" s="6"/>
      <c r="D64" s="6"/>
      <c r="E64" s="6"/>
      <c r="F64" s="6"/>
      <c r="G64" s="6"/>
      <c r="H64" s="7"/>
      <c r="I64" s="7"/>
      <c r="J64" s="140"/>
      <c r="K64" s="218"/>
    </row>
    <row r="65" spans="2:12" x14ac:dyDescent="0.25">
      <c r="D65" s="17">
        <f>SUM(D3:D64)</f>
        <v>7290</v>
      </c>
      <c r="E65" s="13"/>
      <c r="F65" s="13">
        <f>AVERAGE(F3:F63)</f>
        <v>34.100909090909099</v>
      </c>
      <c r="G65" s="13"/>
      <c r="J65" s="139">
        <f>SUM(J3:J64)</f>
        <v>0</v>
      </c>
      <c r="K65" s="219">
        <f>SUM(K3:K64)</f>
        <v>589417.93999999994</v>
      </c>
      <c r="L65">
        <f>+K65/D65</f>
        <v>80.852941015089158</v>
      </c>
    </row>
    <row r="67" spans="2:12" x14ac:dyDescent="0.25">
      <c r="B67">
        <v>-2000</v>
      </c>
      <c r="D67" s="11"/>
      <c r="E67" s="11"/>
      <c r="F67" s="11"/>
      <c r="G67" s="11"/>
      <c r="K67" s="4"/>
    </row>
    <row r="68" spans="2:12" x14ac:dyDescent="0.25">
      <c r="B68">
        <v>280</v>
      </c>
      <c r="C68" s="11" t="s">
        <v>74</v>
      </c>
      <c r="D68" s="11">
        <v>44523</v>
      </c>
      <c r="E68" s="11"/>
      <c r="F68" s="11"/>
      <c r="G68" s="11"/>
      <c r="K68" s="4"/>
    </row>
    <row r="69" spans="2:12" x14ac:dyDescent="0.25">
      <c r="B69">
        <v>-300</v>
      </c>
      <c r="C69" s="11" t="s">
        <v>93</v>
      </c>
      <c r="D69" s="11">
        <v>44523</v>
      </c>
      <c r="E69" s="11"/>
      <c r="F69" s="11"/>
      <c r="G69" s="11"/>
      <c r="K69" s="4"/>
    </row>
    <row r="70" spans="2:12" x14ac:dyDescent="0.25">
      <c r="B70">
        <v>300</v>
      </c>
      <c r="C70" s="11" t="s">
        <v>179</v>
      </c>
      <c r="D70" s="11">
        <v>44566</v>
      </c>
      <c r="E70" s="11"/>
      <c r="F70" s="11"/>
      <c r="G70" s="11"/>
      <c r="K70" s="4"/>
    </row>
    <row r="71" spans="2:12" x14ac:dyDescent="0.25">
      <c r="B71">
        <v>-300</v>
      </c>
      <c r="C71" s="11" t="s">
        <v>93</v>
      </c>
      <c r="D71" s="11">
        <v>44566</v>
      </c>
      <c r="E71" s="11"/>
      <c r="F71" s="11"/>
      <c r="G71" s="11"/>
      <c r="K71" s="4"/>
    </row>
    <row r="72" spans="2:12" x14ac:dyDescent="0.25">
      <c r="B72">
        <v>1060</v>
      </c>
      <c r="C72" s="11" t="s">
        <v>74</v>
      </c>
      <c r="D72" s="11">
        <v>44581</v>
      </c>
      <c r="E72" s="11"/>
      <c r="F72" s="11"/>
      <c r="G72" s="11"/>
      <c r="K72" s="4"/>
    </row>
    <row r="73" spans="2:12" x14ac:dyDescent="0.25">
      <c r="B73">
        <v>800</v>
      </c>
      <c r="C73" s="11" t="s">
        <v>95</v>
      </c>
      <c r="D73" s="11">
        <v>44581</v>
      </c>
      <c r="E73" s="11"/>
      <c r="F73" s="11"/>
      <c r="G73" s="11"/>
      <c r="K73" s="4"/>
    </row>
    <row r="74" spans="2:12" x14ac:dyDescent="0.25">
      <c r="B74">
        <v>-1900</v>
      </c>
      <c r="C74" s="11" t="s">
        <v>93</v>
      </c>
      <c r="D74" s="11">
        <v>44581</v>
      </c>
      <c r="E74" s="11"/>
      <c r="F74" s="11"/>
      <c r="G74" s="11"/>
      <c r="K74" s="4"/>
    </row>
    <row r="75" spans="2:12" x14ac:dyDescent="0.25">
      <c r="B75">
        <v>1600</v>
      </c>
      <c r="C75" s="11" t="s">
        <v>74</v>
      </c>
      <c r="D75" s="11">
        <v>44587</v>
      </c>
      <c r="E75" s="11"/>
      <c r="F75" s="11"/>
      <c r="G75" s="11"/>
      <c r="K75" s="4"/>
    </row>
    <row r="76" spans="2:12" x14ac:dyDescent="0.25">
      <c r="B76">
        <v>-1600</v>
      </c>
      <c r="C76" s="11" t="s">
        <v>93</v>
      </c>
      <c r="D76" s="11">
        <v>44587</v>
      </c>
      <c r="E76" s="11"/>
      <c r="F76" s="11"/>
      <c r="G76" s="11"/>
      <c r="K76" s="4"/>
    </row>
    <row r="77" spans="2:12" x14ac:dyDescent="0.25">
      <c r="B77">
        <v>1610</v>
      </c>
      <c r="C77" s="11" t="s">
        <v>12</v>
      </c>
      <c r="D77" s="11"/>
      <c r="E77" s="11"/>
      <c r="F77" s="11"/>
      <c r="G77" s="11"/>
      <c r="K77" s="4"/>
    </row>
    <row r="78" spans="2:12" x14ac:dyDescent="0.25">
      <c r="B78">
        <v>-1610</v>
      </c>
      <c r="C78" s="11" t="s">
        <v>93</v>
      </c>
      <c r="D78" s="11"/>
      <c r="E78" s="11"/>
      <c r="F78" s="11"/>
      <c r="G78" s="11"/>
      <c r="K78" s="4"/>
    </row>
    <row r="79" spans="2:12" x14ac:dyDescent="0.25">
      <c r="B79">
        <v>680</v>
      </c>
      <c r="C79" s="11" t="s">
        <v>74</v>
      </c>
      <c r="D79" s="11">
        <v>44643</v>
      </c>
      <c r="E79" s="11"/>
      <c r="F79" s="11"/>
      <c r="G79" s="11"/>
      <c r="K79" s="4"/>
    </row>
    <row r="80" spans="2:12" x14ac:dyDescent="0.25">
      <c r="B80">
        <v>-700</v>
      </c>
      <c r="C80" s="11" t="s">
        <v>93</v>
      </c>
      <c r="D80" s="11">
        <v>44643</v>
      </c>
      <c r="E80" s="11"/>
      <c r="F80" s="11"/>
      <c r="G80" s="11"/>
      <c r="K80" s="4"/>
    </row>
    <row r="81" spans="2:11" x14ac:dyDescent="0.25">
      <c r="B81">
        <v>1000</v>
      </c>
      <c r="C81" s="11" t="s">
        <v>198</v>
      </c>
      <c r="D81" s="11">
        <v>44721</v>
      </c>
      <c r="E81" s="11"/>
      <c r="F81" s="11"/>
      <c r="G81" s="11"/>
      <c r="K81" s="4"/>
    </row>
    <row r="82" spans="2:11" x14ac:dyDescent="0.25">
      <c r="B82">
        <v>280</v>
      </c>
      <c r="C82" s="11" t="s">
        <v>74</v>
      </c>
      <c r="D82" s="11"/>
      <c r="E82" s="11"/>
      <c r="F82" s="11"/>
      <c r="G82" s="11"/>
      <c r="K82" s="4"/>
    </row>
    <row r="83" spans="2:11" x14ac:dyDescent="0.25">
      <c r="B83">
        <v>-1200</v>
      </c>
      <c r="C83" s="11" t="s">
        <v>93</v>
      </c>
      <c r="D83" s="11"/>
      <c r="E83" s="11"/>
      <c r="F83" s="11"/>
      <c r="G83" s="11"/>
      <c r="K83" s="4"/>
    </row>
    <row r="84" spans="2:11" x14ac:dyDescent="0.25">
      <c r="B84">
        <v>680</v>
      </c>
      <c r="C84" s="11" t="s">
        <v>74</v>
      </c>
      <c r="D84" s="11">
        <v>44741</v>
      </c>
      <c r="E84" s="11"/>
      <c r="F84" s="11"/>
      <c r="G84" s="11"/>
      <c r="K84" s="4"/>
    </row>
    <row r="85" spans="2:11" x14ac:dyDescent="0.25">
      <c r="B85">
        <v>-700</v>
      </c>
      <c r="C85" s="11" t="s">
        <v>93</v>
      </c>
      <c r="D85" s="11">
        <v>44741</v>
      </c>
      <c r="E85" s="11"/>
      <c r="F85" s="11"/>
      <c r="G85" s="11"/>
      <c r="K85" s="4"/>
    </row>
    <row r="86" spans="2:11" x14ac:dyDescent="0.25">
      <c r="B86">
        <v>1500</v>
      </c>
      <c r="C86" s="11" t="s">
        <v>95</v>
      </c>
      <c r="D86" s="11"/>
      <c r="E86" s="11"/>
      <c r="F86" s="11"/>
      <c r="G86" s="11"/>
      <c r="K86" s="4"/>
    </row>
    <row r="87" spans="2:11" x14ac:dyDescent="0.25">
      <c r="B87">
        <v>660</v>
      </c>
      <c r="C87" s="11" t="s">
        <v>74</v>
      </c>
      <c r="D87" s="11"/>
      <c r="E87" s="11"/>
      <c r="F87" s="11"/>
      <c r="G87" s="11"/>
      <c r="K87" s="4"/>
    </row>
    <row r="88" spans="2:11" x14ac:dyDescent="0.25">
      <c r="B88">
        <v>-2200</v>
      </c>
      <c r="C88" s="11" t="s">
        <v>93</v>
      </c>
      <c r="D88" s="11"/>
      <c r="E88" s="11"/>
      <c r="F88" s="11"/>
      <c r="G88" s="11"/>
      <c r="K88" s="4"/>
    </row>
    <row r="89" spans="2:11" x14ac:dyDescent="0.25">
      <c r="B89">
        <v>480</v>
      </c>
      <c r="C89" s="11" t="s">
        <v>12</v>
      </c>
      <c r="D89" s="11"/>
      <c r="E89" s="11"/>
      <c r="F89" s="11"/>
      <c r="G89" s="11"/>
      <c r="K89" s="4"/>
    </row>
    <row r="90" spans="2:11" x14ac:dyDescent="0.25">
      <c r="B90">
        <v>-600</v>
      </c>
      <c r="C90" s="11" t="s">
        <v>13</v>
      </c>
      <c r="D90" s="11">
        <v>44786</v>
      </c>
      <c r="E90" s="11"/>
      <c r="F90" s="11"/>
      <c r="G90" s="11"/>
      <c r="K90" s="4"/>
    </row>
    <row r="91" spans="2:11" x14ac:dyDescent="0.25">
      <c r="B91">
        <v>300</v>
      </c>
      <c r="C91" s="11" t="s">
        <v>74</v>
      </c>
      <c r="D91" s="11">
        <v>44818</v>
      </c>
      <c r="E91" s="11"/>
      <c r="F91" s="11"/>
      <c r="G91" s="11"/>
      <c r="K91" s="4"/>
    </row>
    <row r="92" spans="2:11" x14ac:dyDescent="0.25">
      <c r="B92">
        <v>-200</v>
      </c>
      <c r="C92" s="11" t="s">
        <v>93</v>
      </c>
      <c r="D92" s="11">
        <v>44818</v>
      </c>
      <c r="E92" s="11"/>
      <c r="F92" s="11"/>
      <c r="G92" s="11"/>
      <c r="K92" s="4"/>
    </row>
    <row r="93" spans="2:11" x14ac:dyDescent="0.25">
      <c r="B93">
        <v>1160</v>
      </c>
      <c r="C93" s="11" t="s">
        <v>74</v>
      </c>
      <c r="D93" s="11"/>
      <c r="E93" s="11"/>
      <c r="F93" s="11"/>
      <c r="G93" s="11"/>
      <c r="K93" s="4"/>
    </row>
    <row r="94" spans="2:11" x14ac:dyDescent="0.25">
      <c r="B94">
        <v>-1100</v>
      </c>
      <c r="C94" s="11" t="s">
        <v>93</v>
      </c>
      <c r="D94" s="11"/>
      <c r="E94" s="11"/>
      <c r="F94" s="11"/>
      <c r="G94" s="11"/>
      <c r="K94" s="4"/>
    </row>
    <row r="95" spans="2:11" x14ac:dyDescent="0.25">
      <c r="B95">
        <v>480</v>
      </c>
      <c r="C95" s="11" t="s">
        <v>12</v>
      </c>
      <c r="D95" s="11">
        <v>44849</v>
      </c>
      <c r="E95" s="11"/>
      <c r="F95" s="11"/>
      <c r="G95" s="11"/>
      <c r="K95" s="4"/>
    </row>
    <row r="96" spans="2:11" x14ac:dyDescent="0.25">
      <c r="B96">
        <v>-500</v>
      </c>
      <c r="C96" s="11" t="s">
        <v>183</v>
      </c>
      <c r="D96" s="11"/>
      <c r="E96" s="11"/>
      <c r="F96" s="11"/>
      <c r="G96" s="11"/>
      <c r="K96" s="4"/>
    </row>
    <row r="97" spans="2:11" x14ac:dyDescent="0.25">
      <c r="B97">
        <v>480</v>
      </c>
      <c r="C97" s="11" t="s">
        <v>74</v>
      </c>
      <c r="D97" s="11">
        <v>44860</v>
      </c>
      <c r="E97" s="11"/>
      <c r="F97" s="11"/>
      <c r="G97" s="11"/>
      <c r="K97" s="4"/>
    </row>
    <row r="98" spans="2:11" x14ac:dyDescent="0.25">
      <c r="B98">
        <v>-500</v>
      </c>
      <c r="C98" s="11" t="s">
        <v>13</v>
      </c>
      <c r="D98" s="11">
        <v>44860</v>
      </c>
      <c r="E98" s="11"/>
      <c r="F98" s="11"/>
      <c r="G98" s="11"/>
      <c r="K98" s="4"/>
    </row>
    <row r="99" spans="2:11" x14ac:dyDescent="0.25">
      <c r="B99">
        <v>1650</v>
      </c>
      <c r="C99" s="11" t="s">
        <v>74</v>
      </c>
      <c r="D99" s="11"/>
      <c r="E99" s="11"/>
      <c r="F99" s="11"/>
      <c r="G99" s="11"/>
      <c r="K99" s="4"/>
    </row>
    <row r="100" spans="2:11" x14ac:dyDescent="0.25">
      <c r="B100">
        <v>-1600</v>
      </c>
      <c r="C100" s="11" t="s">
        <v>93</v>
      </c>
      <c r="D100" s="11"/>
      <c r="E100" s="11"/>
      <c r="F100" s="11"/>
      <c r="G100" s="11"/>
      <c r="K100" s="4"/>
    </row>
    <row r="101" spans="2:11" x14ac:dyDescent="0.25">
      <c r="B101">
        <v>800</v>
      </c>
      <c r="C101" s="11" t="s">
        <v>12</v>
      </c>
      <c r="D101" s="11">
        <v>44883</v>
      </c>
      <c r="E101" s="11"/>
      <c r="F101" s="11"/>
      <c r="G101" s="11"/>
      <c r="K101" s="4"/>
    </row>
    <row r="102" spans="2:11" x14ac:dyDescent="0.25">
      <c r="B102">
        <v>-800</v>
      </c>
      <c r="C102" s="11" t="s">
        <v>13</v>
      </c>
      <c r="D102" s="11"/>
      <c r="E102" s="11"/>
      <c r="F102" s="11"/>
      <c r="G102" s="11"/>
      <c r="K102" s="4"/>
    </row>
    <row r="103" spans="2:11" x14ac:dyDescent="0.25">
      <c r="B103">
        <v>800</v>
      </c>
      <c r="C103" s="11" t="s">
        <v>74</v>
      </c>
      <c r="D103" s="11">
        <v>44914</v>
      </c>
      <c r="E103" s="11"/>
      <c r="F103" s="11"/>
      <c r="G103" s="11"/>
      <c r="K103" s="4"/>
    </row>
    <row r="104" spans="2:11" x14ac:dyDescent="0.25">
      <c r="B104">
        <v>-800</v>
      </c>
      <c r="C104" s="11" t="s">
        <v>13</v>
      </c>
      <c r="D104" s="11">
        <v>44914</v>
      </c>
      <c r="E104" s="11"/>
      <c r="F104" s="11"/>
      <c r="G104" s="11"/>
      <c r="K104" s="4"/>
    </row>
    <row r="105" spans="2:11" x14ac:dyDescent="0.25">
      <c r="B105">
        <v>2800</v>
      </c>
      <c r="C105" s="11" t="s">
        <v>12</v>
      </c>
      <c r="D105" s="11">
        <v>44933</v>
      </c>
      <c r="E105" s="11"/>
      <c r="F105" s="11"/>
      <c r="G105" s="11"/>
      <c r="K105" s="4"/>
    </row>
    <row r="106" spans="2:11" x14ac:dyDescent="0.25">
      <c r="B106">
        <v>-2800</v>
      </c>
      <c r="C106" s="11" t="s">
        <v>13</v>
      </c>
      <c r="D106" s="11"/>
      <c r="E106" s="11"/>
      <c r="F106" s="11"/>
      <c r="G106" s="11"/>
      <c r="K106" s="4"/>
    </row>
    <row r="107" spans="2:11" x14ac:dyDescent="0.25">
      <c r="B107">
        <v>1600</v>
      </c>
      <c r="C107" s="11" t="s">
        <v>74</v>
      </c>
      <c r="D107" s="11">
        <v>45022</v>
      </c>
      <c r="E107" s="11"/>
      <c r="F107" s="11"/>
      <c r="G107" s="11"/>
      <c r="K107" s="4"/>
    </row>
    <row r="108" spans="2:11" x14ac:dyDescent="0.25">
      <c r="B108">
        <v>-1600</v>
      </c>
      <c r="C108" s="11" t="s">
        <v>93</v>
      </c>
      <c r="D108" s="11">
        <v>45022</v>
      </c>
      <c r="E108" s="11"/>
      <c r="F108" s="11"/>
      <c r="G108" s="11"/>
      <c r="K108" s="4"/>
    </row>
    <row r="109" spans="2:11" x14ac:dyDescent="0.25">
      <c r="B109">
        <v>800</v>
      </c>
      <c r="C109" s="11" t="s">
        <v>74</v>
      </c>
      <c r="D109" s="11">
        <v>45030</v>
      </c>
      <c r="E109" s="11"/>
      <c r="F109" s="11"/>
      <c r="G109" s="11"/>
      <c r="K109" s="4"/>
    </row>
    <row r="110" spans="2:11" x14ac:dyDescent="0.25">
      <c r="B110">
        <v>-800</v>
      </c>
      <c r="C110" s="11" t="s">
        <v>93</v>
      </c>
      <c r="D110" s="11"/>
      <c r="E110" s="11"/>
      <c r="F110" s="11"/>
      <c r="G110" s="11"/>
      <c r="K110" s="4"/>
    </row>
    <row r="111" spans="2:11" x14ac:dyDescent="0.25">
      <c r="B111">
        <v>800</v>
      </c>
      <c r="C111" s="11" t="s">
        <v>74</v>
      </c>
      <c r="D111" s="11"/>
      <c r="E111" s="11"/>
      <c r="F111" s="11"/>
      <c r="G111" s="11"/>
      <c r="K111" s="4"/>
    </row>
    <row r="112" spans="2:11" x14ac:dyDescent="0.25">
      <c r="B112">
        <v>-800</v>
      </c>
      <c r="C112" s="11" t="s">
        <v>93</v>
      </c>
      <c r="D112" s="11"/>
      <c r="E112" s="11"/>
      <c r="F112" s="11"/>
      <c r="G112" s="11"/>
      <c r="K112" s="4"/>
    </row>
    <row r="113" spans="2:11" x14ac:dyDescent="0.25">
      <c r="B113">
        <v>1800</v>
      </c>
      <c r="C113" s="11" t="s">
        <v>74</v>
      </c>
      <c r="D113" s="11">
        <v>45121</v>
      </c>
      <c r="E113" s="11"/>
      <c r="F113" s="11"/>
      <c r="G113" s="11"/>
      <c r="K113" s="4"/>
    </row>
    <row r="114" spans="2:11" x14ac:dyDescent="0.25">
      <c r="B114">
        <v>-1800</v>
      </c>
      <c r="C114" s="11" t="s">
        <v>93</v>
      </c>
      <c r="D114" s="11"/>
      <c r="E114" s="11"/>
      <c r="F114" s="11"/>
      <c r="G114" s="11"/>
      <c r="K114" s="4"/>
    </row>
    <row r="115" spans="2:11" x14ac:dyDescent="0.25">
      <c r="B115">
        <v>3000</v>
      </c>
      <c r="C115" s="11" t="s">
        <v>12</v>
      </c>
      <c r="D115" s="11">
        <v>45122</v>
      </c>
      <c r="E115" s="11"/>
      <c r="F115" s="11"/>
      <c r="G115" s="11"/>
      <c r="K115" s="4"/>
    </row>
    <row r="116" spans="2:11" x14ac:dyDescent="0.25">
      <c r="B116">
        <v>-3000</v>
      </c>
      <c r="C116" s="11" t="s">
        <v>13</v>
      </c>
      <c r="D116" s="11"/>
      <c r="E116" s="11"/>
      <c r="F116" s="11"/>
      <c r="G116" s="11"/>
      <c r="K116" s="4"/>
    </row>
    <row r="117" spans="2:11" x14ac:dyDescent="0.25">
      <c r="B117">
        <v>600</v>
      </c>
      <c r="C117" s="11" t="s">
        <v>12</v>
      </c>
      <c r="D117" s="11"/>
      <c r="E117" s="11"/>
      <c r="F117" s="11"/>
      <c r="G117" s="11"/>
      <c r="K117" s="4"/>
    </row>
    <row r="118" spans="2:11" x14ac:dyDescent="0.25">
      <c r="B118">
        <v>-600</v>
      </c>
      <c r="C118" s="11" t="s">
        <v>13</v>
      </c>
      <c r="D118" s="11">
        <v>45136</v>
      </c>
      <c r="E118" s="11"/>
      <c r="F118" s="11"/>
      <c r="G118" s="11"/>
      <c r="K118" s="4"/>
    </row>
    <row r="119" spans="2:11" x14ac:dyDescent="0.25">
      <c r="B119">
        <v>2400</v>
      </c>
      <c r="C119" s="11" t="s">
        <v>74</v>
      </c>
      <c r="D119" s="11">
        <v>45166</v>
      </c>
      <c r="E119" s="11"/>
      <c r="F119" s="11"/>
      <c r="G119" s="11"/>
      <c r="K119" s="4"/>
    </row>
    <row r="120" spans="2:11" x14ac:dyDescent="0.25">
      <c r="B120">
        <v>-2400</v>
      </c>
      <c r="C120" s="11" t="s">
        <v>93</v>
      </c>
      <c r="D120" s="11">
        <v>45166</v>
      </c>
      <c r="E120" s="11"/>
      <c r="F120" s="11"/>
      <c r="G120" s="11"/>
      <c r="K120" s="4"/>
    </row>
    <row r="121" spans="2:11" x14ac:dyDescent="0.25">
      <c r="B121">
        <v>800</v>
      </c>
      <c r="C121" s="11" t="s">
        <v>74</v>
      </c>
      <c r="D121" s="11">
        <v>45234</v>
      </c>
      <c r="E121" s="11"/>
      <c r="F121" s="11"/>
      <c r="G121" s="11"/>
      <c r="K121" s="4"/>
    </row>
    <row r="122" spans="2:11" x14ac:dyDescent="0.25">
      <c r="B122">
        <v>-800</v>
      </c>
      <c r="C122" s="11" t="s">
        <v>93</v>
      </c>
      <c r="D122" s="11">
        <v>45234</v>
      </c>
      <c r="E122" s="11"/>
      <c r="F122" s="11"/>
      <c r="G122" s="11"/>
      <c r="K122" s="4"/>
    </row>
    <row r="123" spans="2:11" x14ac:dyDescent="0.25">
      <c r="B123">
        <v>-300</v>
      </c>
      <c r="C123" s="11" t="s">
        <v>190</v>
      </c>
      <c r="D123" s="11">
        <v>45258</v>
      </c>
      <c r="E123" s="11"/>
      <c r="F123" s="11"/>
      <c r="G123" s="11"/>
      <c r="K123" s="4"/>
    </row>
    <row r="124" spans="2:11" x14ac:dyDescent="0.25">
      <c r="B124">
        <v>17500</v>
      </c>
      <c r="C124" s="11" t="s">
        <v>95</v>
      </c>
      <c r="D124" s="11">
        <v>45345</v>
      </c>
      <c r="E124" s="11"/>
      <c r="F124" s="11"/>
      <c r="G124" s="11"/>
      <c r="K124" s="4"/>
    </row>
    <row r="125" spans="2:11" x14ac:dyDescent="0.25">
      <c r="B125">
        <v>-17500</v>
      </c>
      <c r="C125" s="11" t="s">
        <v>95</v>
      </c>
      <c r="D125" s="11"/>
      <c r="E125" s="11"/>
      <c r="F125" s="11"/>
      <c r="G125" s="11"/>
      <c r="K125" s="4"/>
    </row>
    <row r="126" spans="2:11" x14ac:dyDescent="0.25">
      <c r="B126">
        <v>32800</v>
      </c>
      <c r="C126" s="11" t="s">
        <v>74</v>
      </c>
      <c r="D126" s="11">
        <v>45481</v>
      </c>
      <c r="E126" s="11"/>
      <c r="F126" s="11"/>
      <c r="G126" s="11"/>
      <c r="K126" s="4"/>
    </row>
    <row r="127" spans="2:11" x14ac:dyDescent="0.25">
      <c r="B127">
        <v>-40000</v>
      </c>
      <c r="C127" s="11" t="s">
        <v>256</v>
      </c>
      <c r="D127" s="11">
        <v>45481</v>
      </c>
      <c r="E127" s="11"/>
      <c r="F127" s="11"/>
      <c r="G127" s="11"/>
      <c r="K127" s="4"/>
    </row>
    <row r="128" spans="2:11" x14ac:dyDescent="0.25">
      <c r="B128">
        <v>72000</v>
      </c>
      <c r="C128" s="11"/>
      <c r="D128" s="11"/>
      <c r="E128" s="11"/>
      <c r="F128" s="11"/>
      <c r="G128" s="11"/>
      <c r="K128" s="4"/>
    </row>
    <row r="129" spans="2:11" x14ac:dyDescent="0.25">
      <c r="B129">
        <v>-72000</v>
      </c>
      <c r="C129" s="11"/>
      <c r="D129" s="11">
        <v>45503</v>
      </c>
      <c r="E129" s="11"/>
      <c r="F129" s="11"/>
      <c r="G129" s="11"/>
      <c r="K129" s="4"/>
    </row>
    <row r="130" spans="2:11" x14ac:dyDescent="0.25">
      <c r="B130">
        <v>-50000</v>
      </c>
      <c r="C130" s="11" t="s">
        <v>93</v>
      </c>
      <c r="D130" s="11">
        <v>45538</v>
      </c>
      <c r="E130" s="11"/>
      <c r="F130" s="11"/>
      <c r="G130" s="11"/>
      <c r="K130" s="4"/>
    </row>
    <row r="131" spans="2:11" x14ac:dyDescent="0.25">
      <c r="B131">
        <v>28000</v>
      </c>
      <c r="C131" s="11" t="s">
        <v>12</v>
      </c>
      <c r="D131" s="11">
        <v>45562</v>
      </c>
      <c r="E131" s="11"/>
      <c r="F131" s="11"/>
      <c r="G131" s="11"/>
      <c r="K131" s="4"/>
    </row>
    <row r="132" spans="2:11" x14ac:dyDescent="0.25">
      <c r="B132">
        <v>6400</v>
      </c>
      <c r="C132" s="11" t="s">
        <v>269</v>
      </c>
      <c r="D132" s="11">
        <v>45607</v>
      </c>
      <c r="E132" s="11"/>
      <c r="F132" s="11"/>
      <c r="G132" s="11"/>
      <c r="K132" s="4"/>
    </row>
    <row r="133" spans="2:11" x14ac:dyDescent="0.25">
      <c r="B133">
        <v>62900</v>
      </c>
      <c r="C133" s="11" t="s">
        <v>12</v>
      </c>
      <c r="D133" s="11">
        <v>45812</v>
      </c>
      <c r="E133" s="11"/>
      <c r="F133" s="11"/>
      <c r="G133" s="11"/>
      <c r="K133" s="4"/>
    </row>
    <row r="134" spans="2:11" x14ac:dyDescent="0.25">
      <c r="B134">
        <v>-37790</v>
      </c>
      <c r="C134" s="11" t="s">
        <v>264</v>
      </c>
      <c r="D134" s="11"/>
      <c r="E134" s="11"/>
      <c r="F134" s="11"/>
      <c r="G134" s="11"/>
      <c r="K134" s="4"/>
    </row>
    <row r="135" spans="2:11" x14ac:dyDescent="0.25">
      <c r="B135">
        <v>-50000</v>
      </c>
      <c r="C135" s="11" t="s">
        <v>13</v>
      </c>
      <c r="D135" s="11"/>
      <c r="E135" s="11"/>
      <c r="F135" s="11"/>
      <c r="G135" s="11"/>
      <c r="K135" s="4"/>
    </row>
    <row r="136" spans="2:11" x14ac:dyDescent="0.25">
      <c r="B136">
        <v>90800</v>
      </c>
      <c r="C136" s="11" t="s">
        <v>12</v>
      </c>
      <c r="D136" s="11">
        <v>45818</v>
      </c>
      <c r="E136" s="11"/>
      <c r="F136" s="11"/>
      <c r="G136" s="11"/>
      <c r="K136" s="4"/>
    </row>
    <row r="137" spans="2:11" x14ac:dyDescent="0.25">
      <c r="B137">
        <v>-91000</v>
      </c>
      <c r="C137" s="11" t="s">
        <v>13</v>
      </c>
      <c r="D137" s="11"/>
      <c r="E137" s="11"/>
      <c r="F137" s="11"/>
      <c r="G137" s="11"/>
      <c r="K137" s="4"/>
    </row>
    <row r="138" spans="2:11" x14ac:dyDescent="0.25">
      <c r="B138">
        <v>15300</v>
      </c>
      <c r="C138" s="11" t="s">
        <v>12</v>
      </c>
      <c r="D138" s="11"/>
      <c r="E138" s="11"/>
      <c r="F138" s="11"/>
      <c r="G138" s="11"/>
      <c r="K138" s="4"/>
    </row>
    <row r="139" spans="2:11" x14ac:dyDescent="0.25">
      <c r="B139">
        <v>-15500</v>
      </c>
      <c r="C139" s="11" t="s">
        <v>13</v>
      </c>
      <c r="D139" s="11"/>
      <c r="E139" s="11"/>
      <c r="F139" s="11"/>
      <c r="G139" s="11"/>
      <c r="K139" s="4"/>
    </row>
    <row r="140" spans="2:11" x14ac:dyDescent="0.25">
      <c r="B140">
        <v>1800</v>
      </c>
      <c r="C140" s="11" t="s">
        <v>74</v>
      </c>
      <c r="D140" s="11"/>
      <c r="E140" s="11"/>
      <c r="F140" s="11"/>
      <c r="G140" s="11"/>
      <c r="K140" s="4"/>
    </row>
    <row r="141" spans="2:11" x14ac:dyDescent="0.25">
      <c r="B141">
        <v>-2000</v>
      </c>
      <c r="C141" s="11" t="s">
        <v>93</v>
      </c>
      <c r="D141" s="11">
        <v>45896</v>
      </c>
      <c r="E141" s="11"/>
      <c r="F141" s="11"/>
      <c r="G141" s="11"/>
      <c r="K141" s="4"/>
    </row>
    <row r="142" spans="2:11" x14ac:dyDescent="0.25">
      <c r="B142">
        <v>30600</v>
      </c>
      <c r="C142" s="11" t="s">
        <v>264</v>
      </c>
      <c r="D142" s="11">
        <v>45901</v>
      </c>
      <c r="E142" s="11"/>
      <c r="F142" s="11"/>
      <c r="G142" s="11"/>
      <c r="K142" s="4"/>
    </row>
    <row r="143" spans="2:11" x14ac:dyDescent="0.25">
      <c r="B143">
        <v>34900</v>
      </c>
      <c r="C143" s="11" t="s">
        <v>279</v>
      </c>
      <c r="D143" s="11">
        <v>45974</v>
      </c>
      <c r="E143" s="11"/>
      <c r="F143" s="11"/>
      <c r="G143" s="11"/>
      <c r="K143" s="4"/>
    </row>
    <row r="144" spans="2:11" x14ac:dyDescent="0.25">
      <c r="B144">
        <v>-35000</v>
      </c>
      <c r="C144" s="11" t="s">
        <v>264</v>
      </c>
      <c r="D144" s="11">
        <v>45974</v>
      </c>
      <c r="E144" s="11"/>
      <c r="F144" s="11"/>
      <c r="G144" s="11"/>
      <c r="K144" s="4"/>
    </row>
    <row r="145" spans="2:11" x14ac:dyDescent="0.25">
      <c r="B145">
        <v>1000</v>
      </c>
      <c r="C145" s="11" t="s">
        <v>175</v>
      </c>
      <c r="D145" s="11">
        <v>45974</v>
      </c>
      <c r="E145" s="11"/>
      <c r="F145" s="11"/>
      <c r="G145" s="11"/>
      <c r="K145" s="4"/>
    </row>
    <row r="146" spans="2:11" x14ac:dyDescent="0.25">
      <c r="B146" s="135">
        <f>SUM(B67:B145)</f>
        <v>-19100</v>
      </c>
      <c r="C146" s="11">
        <v>45974</v>
      </c>
      <c r="D146" s="11"/>
      <c r="E146" s="11"/>
      <c r="F146" s="11"/>
      <c r="G146" s="11"/>
      <c r="K146" s="4"/>
    </row>
    <row r="147" spans="2:11" x14ac:dyDescent="0.25">
      <c r="B147" s="11"/>
      <c r="D147" s="11"/>
      <c r="E147" s="11"/>
      <c r="F147" s="11"/>
      <c r="G147" s="11"/>
      <c r="K147" s="4"/>
    </row>
    <row r="148" spans="2:11" x14ac:dyDescent="0.25">
      <c r="B148" s="11"/>
      <c r="E148" s="11"/>
      <c r="F148" s="11"/>
      <c r="G148" s="11"/>
      <c r="K148" s="4"/>
    </row>
    <row r="149" spans="2:11" x14ac:dyDescent="0.25">
      <c r="B149" s="11"/>
      <c r="E149" s="11"/>
      <c r="F149" s="11"/>
      <c r="G149" s="11"/>
      <c r="K149" s="4"/>
    </row>
    <row r="150" spans="2:11" x14ac:dyDescent="0.25">
      <c r="B150" s="11"/>
      <c r="E150" s="11"/>
      <c r="F150" s="11"/>
      <c r="G150" s="11"/>
      <c r="K150" s="4"/>
    </row>
    <row r="151" spans="2:11" x14ac:dyDescent="0.25">
      <c r="B151" s="11"/>
      <c r="C151" s="11"/>
      <c r="E151" s="11"/>
      <c r="F151" s="11"/>
      <c r="G151" s="11"/>
      <c r="K151" s="4"/>
    </row>
    <row r="152" spans="2:11" x14ac:dyDescent="0.25">
      <c r="B152" s="11"/>
      <c r="E152" s="4"/>
      <c r="K152" s="4"/>
    </row>
    <row r="153" spans="2:11" x14ac:dyDescent="0.25">
      <c r="B153" s="11"/>
      <c r="F153" s="11"/>
      <c r="G153" s="11"/>
      <c r="I153" s="173"/>
      <c r="K153" s="4"/>
    </row>
    <row r="154" spans="2:11" x14ac:dyDescent="0.25">
      <c r="B154" s="11"/>
      <c r="E154" s="11"/>
      <c r="F154" s="11"/>
      <c r="G154" s="11"/>
      <c r="K154" s="4"/>
    </row>
    <row r="155" spans="2:11" x14ac:dyDescent="0.25">
      <c r="B155" s="11"/>
      <c r="K155" s="4"/>
    </row>
    <row r="156" spans="2:11" x14ac:dyDescent="0.25">
      <c r="B156" s="11"/>
      <c r="E156" s="11"/>
      <c r="F156" s="11"/>
      <c r="G156" s="11"/>
      <c r="K156" s="4"/>
    </row>
    <row r="157" spans="2:11" x14ac:dyDescent="0.25">
      <c r="B157" s="11"/>
      <c r="I157" s="4"/>
    </row>
    <row r="158" spans="2:11" x14ac:dyDescent="0.25">
      <c r="B158" s="11"/>
      <c r="E158" s="11"/>
      <c r="F158" s="11"/>
      <c r="G158" s="11"/>
      <c r="K158" s="4"/>
    </row>
    <row r="159" spans="2:11" x14ac:dyDescent="0.25">
      <c r="B159" s="11"/>
      <c r="E159" s="11"/>
      <c r="F159" s="11"/>
      <c r="G159" s="11"/>
      <c r="K159" s="4"/>
    </row>
    <row r="160" spans="2:11" x14ac:dyDescent="0.25">
      <c r="B160" s="11"/>
      <c r="E160" s="11"/>
      <c r="F160" s="11"/>
      <c r="G160" s="11"/>
      <c r="K160" s="4"/>
    </row>
    <row r="161" spans="2:11" x14ac:dyDescent="0.25">
      <c r="B161" s="11"/>
      <c r="E161" s="11"/>
      <c r="F161" s="11"/>
      <c r="G161" s="11"/>
      <c r="K161" s="4"/>
    </row>
    <row r="162" spans="2:11" x14ac:dyDescent="0.25">
      <c r="B162" s="11"/>
      <c r="E162" s="11"/>
      <c r="F162" s="11"/>
      <c r="G162" s="11"/>
      <c r="K162" s="4"/>
    </row>
    <row r="163" spans="2:11" x14ac:dyDescent="0.25">
      <c r="B163" s="11"/>
      <c r="D163" s="11"/>
      <c r="E163" s="11"/>
      <c r="F163" s="11"/>
      <c r="G163" s="11"/>
      <c r="K163" s="4"/>
    </row>
    <row r="164" spans="2:11" x14ac:dyDescent="0.25">
      <c r="B164" s="11"/>
      <c r="E164" s="11"/>
      <c r="F164" s="11"/>
      <c r="G164" s="11"/>
      <c r="K164" s="4"/>
    </row>
    <row r="165" spans="2:11" x14ac:dyDescent="0.25">
      <c r="B165" s="11"/>
      <c r="E165" s="11"/>
      <c r="F165" s="11"/>
      <c r="G165" s="11"/>
      <c r="K165" s="4"/>
    </row>
    <row r="166" spans="2:11" x14ac:dyDescent="0.25">
      <c r="B166" s="11"/>
      <c r="E166" s="11"/>
      <c r="F166" s="11"/>
      <c r="G166" s="11"/>
      <c r="K166" s="4"/>
    </row>
    <row r="167" spans="2:11" x14ac:dyDescent="0.25">
      <c r="B167" s="11"/>
      <c r="E167" s="11"/>
      <c r="F167" s="11"/>
      <c r="G167" s="11"/>
      <c r="K167" s="4"/>
    </row>
    <row r="168" spans="2:11" x14ac:dyDescent="0.25">
      <c r="B168" s="11"/>
      <c r="E168" s="11"/>
      <c r="F168" s="11"/>
      <c r="G168" s="11"/>
      <c r="K168" s="4"/>
    </row>
    <row r="169" spans="2:11" x14ac:dyDescent="0.25">
      <c r="B169" s="11"/>
      <c r="E169" s="11"/>
      <c r="F169" s="11"/>
      <c r="G169" s="11"/>
      <c r="K169" s="4"/>
    </row>
    <row r="170" spans="2:11" x14ac:dyDescent="0.25">
      <c r="B170" s="11"/>
      <c r="E170" s="11"/>
      <c r="F170" s="11"/>
      <c r="G170" s="11"/>
    </row>
    <row r="171" spans="2:11" x14ac:dyDescent="0.25">
      <c r="B171" s="11"/>
      <c r="E171" s="11"/>
      <c r="F171" s="11"/>
      <c r="G171" s="11"/>
    </row>
    <row r="172" spans="2:11" x14ac:dyDescent="0.25">
      <c r="B172" s="11"/>
      <c r="E172" s="11"/>
      <c r="F172" s="11"/>
      <c r="G172" s="11"/>
    </row>
    <row r="173" spans="2:11" x14ac:dyDescent="0.25">
      <c r="B173" s="11"/>
      <c r="E173" s="11"/>
      <c r="F173" s="11"/>
      <c r="G173" s="11"/>
    </row>
    <row r="174" spans="2:11" x14ac:dyDescent="0.25">
      <c r="B174" s="11"/>
      <c r="E174" s="11"/>
      <c r="F174" s="11"/>
      <c r="G174" s="11"/>
    </row>
    <row r="175" spans="2:11" x14ac:dyDescent="0.25">
      <c r="B175" s="11"/>
      <c r="E175" s="11"/>
      <c r="F175" s="11"/>
      <c r="G175" s="11"/>
    </row>
    <row r="176" spans="2:11" x14ac:dyDescent="0.25">
      <c r="B176" s="11"/>
      <c r="E176" s="11"/>
      <c r="F176" s="11"/>
      <c r="G176" s="11"/>
    </row>
    <row r="177" spans="2:7" x14ac:dyDescent="0.25">
      <c r="B177" s="11"/>
      <c r="E177" s="11"/>
      <c r="F177" s="11"/>
      <c r="G177" s="11"/>
    </row>
    <row r="178" spans="2:7" x14ac:dyDescent="0.25">
      <c r="B178" s="11"/>
      <c r="E178" s="11"/>
      <c r="F178" s="11"/>
      <c r="G178" s="11"/>
    </row>
    <row r="179" spans="2:7" x14ac:dyDescent="0.25">
      <c r="B179" s="11"/>
      <c r="E179" s="11"/>
      <c r="F179" s="11"/>
      <c r="G179" s="11"/>
    </row>
    <row r="180" spans="2:7" x14ac:dyDescent="0.25">
      <c r="B180" s="11"/>
      <c r="E180" s="11"/>
      <c r="F180" s="11"/>
      <c r="G180" s="11"/>
    </row>
    <row r="181" spans="2:7" x14ac:dyDescent="0.25">
      <c r="B181" s="11"/>
      <c r="E181" s="11"/>
      <c r="F181" s="11"/>
      <c r="G181" s="11"/>
    </row>
    <row r="182" spans="2:7" x14ac:dyDescent="0.25">
      <c r="B182" s="11"/>
      <c r="E182" s="11"/>
      <c r="F182" s="11"/>
      <c r="G182" s="11"/>
    </row>
    <row r="183" spans="2:7" x14ac:dyDescent="0.25">
      <c r="B183" s="11"/>
      <c r="E183" s="11"/>
      <c r="F183" s="11"/>
      <c r="G183" s="11"/>
    </row>
    <row r="184" spans="2:7" x14ac:dyDescent="0.25">
      <c r="B184" s="11"/>
      <c r="E184" s="11"/>
      <c r="F184" s="11"/>
      <c r="G184" s="11"/>
    </row>
    <row r="185" spans="2:7" x14ac:dyDescent="0.25">
      <c r="B185" s="11"/>
      <c r="E185" s="11"/>
      <c r="F185" s="11"/>
      <c r="G185" s="11"/>
    </row>
    <row r="186" spans="2:7" x14ac:dyDescent="0.25">
      <c r="B186" s="11"/>
      <c r="E186" s="11"/>
      <c r="F186" s="11"/>
      <c r="G186" s="11"/>
    </row>
    <row r="187" spans="2:7" x14ac:dyDescent="0.25">
      <c r="E187" s="11"/>
      <c r="F187" s="11"/>
      <c r="G187" s="11"/>
    </row>
    <row r="188" spans="2:7" x14ac:dyDescent="0.25">
      <c r="E188" s="11"/>
      <c r="F188" s="11"/>
      <c r="G188" s="11"/>
    </row>
    <row r="189" spans="2:7" x14ac:dyDescent="0.25">
      <c r="E189" s="11"/>
      <c r="F189" s="11"/>
      <c r="G189" s="11"/>
    </row>
    <row r="190" spans="2:7" x14ac:dyDescent="0.25">
      <c r="E190" s="11"/>
      <c r="F190" s="11"/>
      <c r="G190" s="11"/>
    </row>
    <row r="191" spans="2:7" x14ac:dyDescent="0.25">
      <c r="E191" s="11"/>
      <c r="F191" s="11"/>
      <c r="G191" s="11"/>
    </row>
    <row r="192" spans="2:7" x14ac:dyDescent="0.25">
      <c r="E192" s="11"/>
      <c r="F192" s="11"/>
      <c r="G192" s="11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63"/>
  <sheetViews>
    <sheetView topLeftCell="A22" zoomScale="110" zoomScaleNormal="110" workbookViewId="0">
      <selection activeCell="B39" sqref="B39:I40"/>
    </sheetView>
  </sheetViews>
  <sheetFormatPr baseColWidth="10" defaultRowHeight="15" x14ac:dyDescent="0.25"/>
  <cols>
    <col min="3" max="3" width="12.5703125" customWidth="1"/>
    <col min="5" max="6" width="11.140625" customWidth="1"/>
    <col min="7" max="7" width="12.140625" customWidth="1"/>
    <col min="8" max="8" width="12.7109375" bestFit="1" customWidth="1"/>
    <col min="9" max="9" width="14.140625" bestFit="1" customWidth="1"/>
    <col min="11" max="11" width="12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82"/>
      <c r="C3" s="124"/>
      <c r="D3" s="82"/>
      <c r="E3" s="82"/>
      <c r="F3" s="82"/>
      <c r="G3" s="82"/>
      <c r="H3" s="90"/>
      <c r="I3" s="90"/>
      <c r="J3" s="82"/>
      <c r="K3" s="222"/>
    </row>
    <row r="4" spans="1:11" x14ac:dyDescent="0.25">
      <c r="A4" s="91"/>
      <c r="B4" s="82"/>
      <c r="C4" s="124"/>
      <c r="D4" s="82"/>
      <c r="E4" s="82"/>
      <c r="F4" s="82"/>
      <c r="G4" s="82"/>
      <c r="H4" s="90"/>
      <c r="I4" s="90"/>
      <c r="J4" s="82"/>
      <c r="K4" s="222"/>
    </row>
    <row r="5" spans="1:11" x14ac:dyDescent="0.25">
      <c r="A5" s="91"/>
      <c r="B5" s="82"/>
      <c r="C5" s="124"/>
      <c r="D5" s="82"/>
      <c r="E5" s="82"/>
      <c r="F5" s="82"/>
      <c r="G5" s="82"/>
      <c r="H5" s="90"/>
      <c r="I5" s="90"/>
      <c r="J5" s="82"/>
      <c r="K5" s="222"/>
    </row>
    <row r="6" spans="1:11" x14ac:dyDescent="0.25">
      <c r="A6" s="91"/>
      <c r="B6" s="82"/>
      <c r="C6" s="124"/>
      <c r="D6" s="82"/>
      <c r="E6" s="82"/>
      <c r="F6" s="82"/>
      <c r="G6" s="82"/>
      <c r="H6" s="90"/>
      <c r="I6" s="90"/>
      <c r="J6" s="82"/>
      <c r="K6" s="222"/>
    </row>
    <row r="7" spans="1:11" x14ac:dyDescent="0.25">
      <c r="A7" s="91"/>
      <c r="B7" s="82"/>
      <c r="C7" s="124"/>
      <c r="D7" s="82"/>
      <c r="E7" s="82"/>
      <c r="F7" s="82"/>
      <c r="G7" s="82"/>
      <c r="H7" s="90"/>
      <c r="I7" s="90"/>
      <c r="J7" s="82"/>
      <c r="K7" s="222"/>
    </row>
    <row r="8" spans="1:11" x14ac:dyDescent="0.25">
      <c r="A8" s="91"/>
      <c r="B8" s="82"/>
      <c r="C8" s="124"/>
      <c r="D8" s="82"/>
      <c r="E8" s="82"/>
      <c r="F8" s="82"/>
      <c r="G8" s="82"/>
      <c r="H8" s="90"/>
      <c r="I8" s="90"/>
      <c r="J8" s="82"/>
      <c r="K8" s="222"/>
    </row>
    <row r="9" spans="1:11" x14ac:dyDescent="0.25">
      <c r="A9" s="91"/>
      <c r="B9" s="82"/>
      <c r="C9" s="124"/>
      <c r="D9" s="82"/>
      <c r="E9" s="82"/>
      <c r="F9" s="82"/>
      <c r="G9" s="82"/>
      <c r="H9" s="90"/>
      <c r="I9" s="90"/>
      <c r="J9" s="82"/>
      <c r="K9" s="222"/>
    </row>
    <row r="10" spans="1:11" x14ac:dyDescent="0.25">
      <c r="A10" s="91"/>
      <c r="B10" s="82"/>
      <c r="C10" s="124"/>
      <c r="D10" s="82"/>
      <c r="E10" s="82"/>
      <c r="F10" s="82"/>
      <c r="G10" s="82"/>
      <c r="H10" s="90"/>
      <c r="I10" s="90"/>
      <c r="J10" s="82"/>
      <c r="K10" s="222"/>
    </row>
    <row r="11" spans="1:11" x14ac:dyDescent="0.25">
      <c r="A11" s="91"/>
      <c r="B11" s="82"/>
      <c r="C11" s="124"/>
      <c r="D11" s="82"/>
      <c r="E11" s="82"/>
      <c r="F11" s="82"/>
      <c r="G11" s="82"/>
      <c r="H11" s="90"/>
      <c r="I11" s="90"/>
      <c r="J11" s="82"/>
      <c r="K11" s="222"/>
    </row>
    <row r="12" spans="1:11" x14ac:dyDescent="0.25">
      <c r="A12" s="91"/>
      <c r="B12" s="82"/>
      <c r="C12" s="124"/>
      <c r="D12" s="82"/>
      <c r="E12" s="82"/>
      <c r="F12" s="82"/>
      <c r="G12" s="82"/>
      <c r="H12" s="90"/>
      <c r="I12" s="90"/>
      <c r="J12" s="82"/>
      <c r="K12" s="222"/>
    </row>
    <row r="13" spans="1:11" x14ac:dyDescent="0.25">
      <c r="A13" s="91"/>
      <c r="B13" s="82"/>
      <c r="C13" s="124"/>
      <c r="D13" s="82"/>
      <c r="E13" s="82"/>
      <c r="F13" s="82"/>
      <c r="G13" s="82"/>
      <c r="H13" s="90"/>
      <c r="I13" s="90"/>
      <c r="J13" s="82"/>
      <c r="K13" s="222"/>
    </row>
    <row r="14" spans="1:11" x14ac:dyDescent="0.25">
      <c r="A14" s="91"/>
      <c r="B14" s="82"/>
      <c r="C14" s="124"/>
      <c r="D14" s="82"/>
      <c r="E14" s="82"/>
      <c r="F14" s="82"/>
      <c r="G14" s="82"/>
      <c r="H14" s="90"/>
      <c r="I14" s="90"/>
      <c r="J14" s="82"/>
      <c r="K14" s="222"/>
    </row>
    <row r="15" spans="1:11" x14ac:dyDescent="0.25">
      <c r="A15" s="91"/>
      <c r="B15" s="82"/>
      <c r="C15" s="124"/>
      <c r="D15" s="82"/>
      <c r="E15" s="82"/>
      <c r="F15" s="82"/>
      <c r="G15" s="82"/>
      <c r="H15" s="90"/>
      <c r="I15" s="90"/>
      <c r="J15" s="82"/>
      <c r="K15" s="222"/>
    </row>
    <row r="16" spans="1:11" x14ac:dyDescent="0.25">
      <c r="A16" s="91"/>
      <c r="B16" s="82"/>
      <c r="C16" s="124"/>
      <c r="D16" s="82"/>
      <c r="E16" s="82"/>
      <c r="F16" s="82"/>
      <c r="G16" s="82"/>
      <c r="H16" s="90"/>
      <c r="I16" s="90"/>
      <c r="J16" s="82"/>
      <c r="K16" s="222"/>
    </row>
    <row r="17" spans="1:11" x14ac:dyDescent="0.25">
      <c r="A17" s="91"/>
      <c r="B17" s="82"/>
      <c r="C17" s="124"/>
      <c r="D17" s="82"/>
      <c r="E17" s="82"/>
      <c r="F17" s="82"/>
      <c r="G17" s="82"/>
      <c r="H17" s="90"/>
      <c r="I17" s="90"/>
      <c r="J17" s="82"/>
      <c r="K17" s="222"/>
    </row>
    <row r="18" spans="1:11" x14ac:dyDescent="0.25">
      <c r="A18" s="91"/>
      <c r="B18" s="82"/>
      <c r="C18" s="124"/>
      <c r="D18" s="82"/>
      <c r="E18" s="82"/>
      <c r="F18" s="82"/>
      <c r="G18" s="82"/>
      <c r="H18" s="90"/>
      <c r="I18" s="90"/>
      <c r="J18" s="82"/>
      <c r="K18" s="222"/>
    </row>
    <row r="19" spans="1:11" x14ac:dyDescent="0.25">
      <c r="A19" s="91"/>
      <c r="B19" s="82"/>
      <c r="C19" s="124"/>
      <c r="D19" s="82"/>
      <c r="E19" s="82"/>
      <c r="F19" s="82"/>
      <c r="G19" s="82"/>
      <c r="H19" s="90"/>
      <c r="I19" s="90"/>
      <c r="J19" s="82"/>
      <c r="K19" s="222"/>
    </row>
    <row r="20" spans="1:11" x14ac:dyDescent="0.25">
      <c r="A20" s="91"/>
      <c r="B20" s="82"/>
      <c r="C20" s="124"/>
      <c r="D20" s="82"/>
      <c r="E20" s="82"/>
      <c r="F20" s="82"/>
      <c r="G20" s="82"/>
      <c r="H20" s="90"/>
      <c r="I20" s="90"/>
      <c r="J20" s="82"/>
      <c r="K20" s="222"/>
    </row>
    <row r="21" spans="1:11" x14ac:dyDescent="0.25">
      <c r="A21" s="91"/>
      <c r="B21" s="82"/>
      <c r="C21" s="124"/>
      <c r="D21" s="82"/>
      <c r="E21" s="82"/>
      <c r="F21" s="82"/>
      <c r="G21" s="82"/>
      <c r="H21" s="90"/>
      <c r="I21" s="90"/>
      <c r="J21" s="82"/>
      <c r="K21" s="222"/>
    </row>
    <row r="22" spans="1:11" x14ac:dyDescent="0.25">
      <c r="A22" s="91"/>
      <c r="B22" s="82"/>
      <c r="C22" s="124"/>
      <c r="D22" s="82"/>
      <c r="E22" s="82"/>
      <c r="F22" s="82"/>
      <c r="G22" s="82"/>
      <c r="H22" s="90"/>
      <c r="I22" s="90"/>
      <c r="J22" s="82"/>
      <c r="K22" s="222"/>
    </row>
    <row r="23" spans="1:11" x14ac:dyDescent="0.25">
      <c r="A23" s="91"/>
      <c r="B23" s="82"/>
      <c r="C23" s="124"/>
      <c r="D23" s="82"/>
      <c r="E23" s="82"/>
      <c r="F23" s="82"/>
      <c r="G23" s="82"/>
      <c r="H23" s="90"/>
      <c r="I23" s="90"/>
      <c r="J23" s="82"/>
      <c r="K23" s="222"/>
    </row>
    <row r="24" spans="1:11" x14ac:dyDescent="0.25">
      <c r="A24" s="91"/>
      <c r="B24" s="82"/>
      <c r="C24" s="124"/>
      <c r="D24" s="82"/>
      <c r="E24" s="82"/>
      <c r="F24" s="82"/>
      <c r="G24" s="82"/>
      <c r="H24" s="90"/>
      <c r="I24" s="90"/>
      <c r="J24" s="82"/>
      <c r="K24" s="222"/>
    </row>
    <row r="25" spans="1:11" x14ac:dyDescent="0.25">
      <c r="A25" s="91"/>
      <c r="B25" s="82"/>
      <c r="C25" s="124"/>
      <c r="D25" s="82"/>
      <c r="E25" s="82"/>
      <c r="F25" s="82"/>
      <c r="G25" s="82"/>
      <c r="H25" s="90"/>
      <c r="I25" s="90"/>
      <c r="J25" s="82"/>
      <c r="K25" s="222"/>
    </row>
    <row r="26" spans="1:11" x14ac:dyDescent="0.25">
      <c r="A26" s="91"/>
      <c r="B26" s="82"/>
      <c r="C26" s="124"/>
      <c r="D26" s="82"/>
      <c r="E26" s="82"/>
      <c r="F26" s="82"/>
      <c r="G26" s="82"/>
      <c r="H26" s="90"/>
      <c r="I26" s="90"/>
      <c r="J26" s="82"/>
      <c r="K26" s="222"/>
    </row>
    <row r="27" spans="1:11" x14ac:dyDescent="0.25">
      <c r="A27" s="91"/>
      <c r="B27" s="82"/>
      <c r="C27" s="124"/>
      <c r="D27" s="82"/>
      <c r="E27" s="82"/>
      <c r="F27" s="82"/>
      <c r="G27" s="82"/>
      <c r="H27" s="90"/>
      <c r="I27" s="90"/>
      <c r="J27" s="82"/>
      <c r="K27" s="222"/>
    </row>
    <row r="28" spans="1:11" x14ac:dyDescent="0.25">
      <c r="A28" s="91">
        <v>46112</v>
      </c>
      <c r="B28" s="82" t="s">
        <v>296</v>
      </c>
      <c r="C28" s="124" t="s">
        <v>9</v>
      </c>
      <c r="D28" s="82">
        <v>820</v>
      </c>
      <c r="E28" s="82"/>
      <c r="F28" s="82">
        <v>35.200000000000003</v>
      </c>
      <c r="G28" s="82"/>
      <c r="H28" s="90">
        <v>189330</v>
      </c>
      <c r="I28" s="90" t="s">
        <v>304</v>
      </c>
      <c r="J28" s="82"/>
      <c r="K28" s="222"/>
    </row>
    <row r="29" spans="1:11" x14ac:dyDescent="0.25">
      <c r="A29" s="91">
        <v>46118</v>
      </c>
      <c r="B29" s="227" t="s">
        <v>9</v>
      </c>
      <c r="C29" s="82" t="s">
        <v>104</v>
      </c>
      <c r="D29" s="82">
        <v>320</v>
      </c>
      <c r="E29" s="82"/>
      <c r="F29" s="82"/>
      <c r="G29" s="82"/>
      <c r="H29" s="123">
        <v>764961</v>
      </c>
      <c r="I29" s="90"/>
      <c r="J29" s="82"/>
      <c r="K29" s="222">
        <v>857189.3</v>
      </c>
    </row>
    <row r="30" spans="1:11" x14ac:dyDescent="0.25">
      <c r="A30" s="91">
        <v>46119</v>
      </c>
      <c r="B30" s="227" t="s">
        <v>104</v>
      </c>
      <c r="C30" s="82" t="s">
        <v>9</v>
      </c>
      <c r="D30" s="82">
        <v>320</v>
      </c>
      <c r="E30" s="82"/>
      <c r="F30" s="82"/>
      <c r="G30" s="82"/>
      <c r="H30" s="128" t="s">
        <v>66</v>
      </c>
      <c r="I30" s="90"/>
      <c r="J30" s="82"/>
      <c r="K30" s="222"/>
    </row>
    <row r="31" spans="1:11" x14ac:dyDescent="0.25">
      <c r="A31" s="91">
        <v>46120</v>
      </c>
      <c r="B31" s="227" t="s">
        <v>9</v>
      </c>
      <c r="C31" s="82" t="s">
        <v>300</v>
      </c>
      <c r="D31" s="82">
        <v>420</v>
      </c>
      <c r="E31" s="82"/>
      <c r="F31" s="82">
        <v>34.619999999999997</v>
      </c>
      <c r="G31" s="82"/>
      <c r="H31" s="123">
        <v>619200</v>
      </c>
      <c r="I31" s="90" t="s">
        <v>301</v>
      </c>
      <c r="J31" s="82"/>
      <c r="K31" s="222"/>
    </row>
    <row r="32" spans="1:11" x14ac:dyDescent="0.25">
      <c r="A32" s="91">
        <v>46120</v>
      </c>
      <c r="B32" s="227" t="s">
        <v>300</v>
      </c>
      <c r="C32" s="82" t="s">
        <v>118</v>
      </c>
      <c r="D32" s="82">
        <v>85</v>
      </c>
      <c r="E32" s="82"/>
      <c r="F32" s="82"/>
      <c r="G32" s="82"/>
      <c r="H32" s="128" t="s">
        <v>66</v>
      </c>
      <c r="I32" s="90"/>
      <c r="J32" s="82"/>
      <c r="K32" s="222"/>
    </row>
    <row r="33" spans="1:11" x14ac:dyDescent="0.25">
      <c r="A33" s="91">
        <v>46121</v>
      </c>
      <c r="B33" s="82" t="s">
        <v>118</v>
      </c>
      <c r="C33" s="124" t="s">
        <v>385</v>
      </c>
      <c r="D33" s="82">
        <v>1570</v>
      </c>
      <c r="E33" s="82"/>
      <c r="F33" s="82"/>
      <c r="G33" s="82"/>
      <c r="H33" s="90">
        <v>120071</v>
      </c>
      <c r="I33" s="215" t="s">
        <v>399</v>
      </c>
      <c r="J33" s="82"/>
      <c r="K33" s="222"/>
    </row>
    <row r="34" spans="1:11" x14ac:dyDescent="0.25">
      <c r="A34" s="91">
        <v>46123</v>
      </c>
      <c r="B34" s="124" t="s">
        <v>385</v>
      </c>
      <c r="C34" s="124" t="s">
        <v>9</v>
      </c>
      <c r="D34" s="82">
        <v>1070</v>
      </c>
      <c r="E34" s="82"/>
      <c r="F34" s="82"/>
      <c r="G34" s="82"/>
      <c r="H34" s="83" t="s">
        <v>66</v>
      </c>
      <c r="I34" s="90"/>
      <c r="J34" s="82"/>
      <c r="K34" s="222"/>
    </row>
    <row r="35" spans="1:11" x14ac:dyDescent="0.25">
      <c r="A35" s="91">
        <v>46126</v>
      </c>
      <c r="B35" s="82" t="s">
        <v>9</v>
      </c>
      <c r="C35" s="124" t="s">
        <v>400</v>
      </c>
      <c r="D35" s="82">
        <v>450</v>
      </c>
      <c r="E35" s="82"/>
      <c r="F35" s="82"/>
      <c r="G35" s="82"/>
      <c r="H35" s="90">
        <v>766231</v>
      </c>
      <c r="I35" s="90"/>
      <c r="J35" s="82"/>
      <c r="K35" s="222"/>
    </row>
    <row r="36" spans="1:11" x14ac:dyDescent="0.25">
      <c r="A36" s="91">
        <v>46127</v>
      </c>
      <c r="B36" s="82" t="s">
        <v>400</v>
      </c>
      <c r="C36" s="124" t="s">
        <v>9</v>
      </c>
      <c r="D36" s="82">
        <v>450</v>
      </c>
      <c r="E36" s="82"/>
      <c r="F36" s="82"/>
      <c r="G36" s="82"/>
      <c r="H36" s="83" t="s">
        <v>66</v>
      </c>
      <c r="I36" s="90"/>
      <c r="J36" s="82"/>
      <c r="K36" s="222"/>
    </row>
    <row r="37" spans="1:11" x14ac:dyDescent="0.25">
      <c r="A37" s="91">
        <v>46128</v>
      </c>
      <c r="B37" s="82" t="s">
        <v>9</v>
      </c>
      <c r="C37" s="124" t="s">
        <v>351</v>
      </c>
      <c r="D37" s="82">
        <v>1010</v>
      </c>
      <c r="E37" s="82"/>
      <c r="F37" s="82">
        <v>34.56</v>
      </c>
      <c r="G37" s="82"/>
      <c r="H37" s="90">
        <v>619778</v>
      </c>
      <c r="I37" s="90" t="s">
        <v>257</v>
      </c>
      <c r="J37" s="82"/>
      <c r="K37" s="222"/>
    </row>
    <row r="38" spans="1:11" x14ac:dyDescent="0.25">
      <c r="A38" s="91">
        <v>46129</v>
      </c>
      <c r="B38" s="82" t="s">
        <v>351</v>
      </c>
      <c r="C38" s="124" t="s">
        <v>9</v>
      </c>
      <c r="D38" s="82">
        <v>1060</v>
      </c>
      <c r="E38" s="82"/>
      <c r="F38" s="82"/>
      <c r="G38" s="82"/>
      <c r="H38" s="90">
        <v>16415</v>
      </c>
      <c r="I38" s="90" t="s">
        <v>365</v>
      </c>
      <c r="J38" s="82"/>
      <c r="K38" s="222"/>
    </row>
    <row r="39" spans="1:11" x14ac:dyDescent="0.25">
      <c r="A39" s="91">
        <v>46132</v>
      </c>
      <c r="B39" s="82" t="s">
        <v>9</v>
      </c>
      <c r="C39" s="124" t="s">
        <v>308</v>
      </c>
      <c r="D39" s="82">
        <v>360</v>
      </c>
      <c r="E39" s="82"/>
      <c r="F39" s="82">
        <v>34.4</v>
      </c>
      <c r="G39" s="82"/>
      <c r="H39" s="123">
        <v>294169</v>
      </c>
      <c r="I39" s="90" t="s">
        <v>15</v>
      </c>
      <c r="J39" s="82"/>
      <c r="K39" s="222"/>
    </row>
    <row r="40" spans="1:11" x14ac:dyDescent="0.25">
      <c r="A40" s="91">
        <v>46133</v>
      </c>
      <c r="B40" s="82" t="s">
        <v>308</v>
      </c>
      <c r="C40" s="124" t="s">
        <v>220</v>
      </c>
      <c r="D40" s="82">
        <v>110</v>
      </c>
      <c r="E40" s="82"/>
      <c r="F40" s="82"/>
      <c r="G40" s="82"/>
      <c r="H40" s="128" t="s">
        <v>66</v>
      </c>
      <c r="I40" s="90"/>
      <c r="J40" s="82"/>
      <c r="K40" s="222"/>
    </row>
    <row r="41" spans="1:11" x14ac:dyDescent="0.25">
      <c r="A41" s="91">
        <v>46133</v>
      </c>
      <c r="B41" s="82" t="s">
        <v>220</v>
      </c>
      <c r="C41" s="124" t="s">
        <v>351</v>
      </c>
      <c r="D41" s="82">
        <v>1300</v>
      </c>
      <c r="E41" s="82"/>
      <c r="F41" s="82"/>
      <c r="G41" s="82"/>
      <c r="H41" s="90">
        <v>5279</v>
      </c>
      <c r="I41" s="90" t="s">
        <v>102</v>
      </c>
      <c r="J41" s="82"/>
      <c r="K41" s="222"/>
    </row>
    <row r="42" spans="1:11" x14ac:dyDescent="0.25">
      <c r="A42" s="91">
        <v>46135</v>
      </c>
      <c r="B42" s="82" t="s">
        <v>351</v>
      </c>
      <c r="C42" s="124" t="s">
        <v>9</v>
      </c>
      <c r="D42" s="82">
        <v>1060</v>
      </c>
      <c r="E42" s="82"/>
      <c r="F42" s="82"/>
      <c r="G42" s="82"/>
      <c r="H42" s="90">
        <v>16433</v>
      </c>
      <c r="I42" s="90" t="s">
        <v>365</v>
      </c>
      <c r="J42" s="82"/>
      <c r="K42" s="222"/>
    </row>
    <row r="43" spans="1:11" x14ac:dyDescent="0.25">
      <c r="A43" s="91">
        <v>46136</v>
      </c>
      <c r="B43" s="227" t="s">
        <v>9</v>
      </c>
      <c r="C43" s="82" t="s">
        <v>104</v>
      </c>
      <c r="D43" s="82">
        <v>320</v>
      </c>
      <c r="E43" s="82"/>
      <c r="F43" s="82"/>
      <c r="G43" s="82"/>
      <c r="H43" s="123">
        <v>767985</v>
      </c>
      <c r="I43" s="90"/>
      <c r="J43" s="82"/>
      <c r="K43" s="222"/>
    </row>
    <row r="44" spans="1:11" x14ac:dyDescent="0.25">
      <c r="A44" s="91">
        <v>46139</v>
      </c>
      <c r="B44" s="227" t="s">
        <v>104</v>
      </c>
      <c r="C44" s="82" t="s">
        <v>9</v>
      </c>
      <c r="D44" s="82">
        <v>320</v>
      </c>
      <c r="E44" s="82"/>
      <c r="F44" s="82"/>
      <c r="G44" s="82"/>
      <c r="H44" s="128" t="s">
        <v>66</v>
      </c>
      <c r="I44" s="90"/>
      <c r="J44" s="82"/>
      <c r="K44" s="222"/>
    </row>
    <row r="45" spans="1:11" x14ac:dyDescent="0.25">
      <c r="A45" s="91">
        <v>46139</v>
      </c>
      <c r="B45" s="82" t="s">
        <v>9</v>
      </c>
      <c r="C45" s="124" t="s">
        <v>276</v>
      </c>
      <c r="D45" s="82">
        <v>400</v>
      </c>
      <c r="E45" s="82"/>
      <c r="F45" s="82">
        <v>34.54</v>
      </c>
      <c r="G45" s="82"/>
      <c r="H45" s="90">
        <v>294677</v>
      </c>
      <c r="I45" s="90" t="s">
        <v>15</v>
      </c>
      <c r="J45" s="82"/>
      <c r="K45" s="222"/>
    </row>
    <row r="46" spans="1:11" x14ac:dyDescent="0.25">
      <c r="A46" s="91">
        <v>46140</v>
      </c>
      <c r="B46" s="82" t="s">
        <v>424</v>
      </c>
      <c r="C46" s="124" t="s">
        <v>118</v>
      </c>
      <c r="D46" s="82">
        <v>150</v>
      </c>
      <c r="E46" s="82"/>
      <c r="F46" s="82"/>
      <c r="G46" s="82"/>
      <c r="H46" s="128" t="s">
        <v>66</v>
      </c>
      <c r="I46" s="90"/>
      <c r="J46" s="82"/>
      <c r="K46" s="222"/>
    </row>
    <row r="47" spans="1:11" x14ac:dyDescent="0.25">
      <c r="A47" s="91">
        <v>46140</v>
      </c>
      <c r="B47" s="82" t="s">
        <v>118</v>
      </c>
      <c r="C47" s="124" t="s">
        <v>385</v>
      </c>
      <c r="D47" s="82">
        <v>1560</v>
      </c>
      <c r="E47" s="82"/>
      <c r="F47" s="82"/>
      <c r="G47" s="82"/>
      <c r="H47" s="90" t="s">
        <v>252</v>
      </c>
      <c r="I47" s="90" t="s">
        <v>386</v>
      </c>
      <c r="J47" s="82"/>
      <c r="K47" s="222"/>
    </row>
    <row r="48" spans="1:11" x14ac:dyDescent="0.25">
      <c r="A48" s="91"/>
      <c r="B48" s="82"/>
      <c r="C48" s="124"/>
      <c r="D48" s="151" t="s">
        <v>463</v>
      </c>
      <c r="E48" s="82"/>
      <c r="F48" s="82"/>
      <c r="G48" s="82"/>
      <c r="H48" s="90"/>
      <c r="I48" s="90"/>
      <c r="J48" s="82"/>
      <c r="K48" s="222"/>
    </row>
    <row r="49" spans="1:12" x14ac:dyDescent="0.25">
      <c r="A49" s="5"/>
      <c r="B49" s="6"/>
      <c r="C49" s="6"/>
      <c r="D49" s="6"/>
      <c r="E49" s="6"/>
      <c r="F49" s="6"/>
      <c r="G49" s="6"/>
      <c r="H49" s="7"/>
      <c r="I49" s="7"/>
      <c r="J49" s="140"/>
      <c r="K49" s="223"/>
    </row>
    <row r="50" spans="1:12" x14ac:dyDescent="0.25">
      <c r="D50" s="17">
        <f>SUM(D3:D49)</f>
        <v>13155</v>
      </c>
      <c r="E50" s="13"/>
      <c r="F50" s="13">
        <f>AVERAGE(F3:F48)</f>
        <v>34.664000000000001</v>
      </c>
      <c r="G50" s="13"/>
      <c r="J50" s="139">
        <f>SUM(J3:J49)</f>
        <v>0</v>
      </c>
      <c r="K50" s="224">
        <f>SUM(K3:K49)</f>
        <v>857189.3</v>
      </c>
      <c r="L50">
        <f>+K50/D50</f>
        <v>65.160722158874961</v>
      </c>
    </row>
    <row r="52" spans="1:12" x14ac:dyDescent="0.25">
      <c r="B52">
        <v>-2000</v>
      </c>
      <c r="D52" s="11"/>
      <c r="E52" s="11"/>
      <c r="F52" s="11"/>
      <c r="G52" s="11"/>
      <c r="K52" s="4"/>
    </row>
    <row r="53" spans="1:12" x14ac:dyDescent="0.25">
      <c r="B53">
        <v>220</v>
      </c>
      <c r="C53" s="11" t="s">
        <v>12</v>
      </c>
      <c r="D53" s="11">
        <v>44517</v>
      </c>
      <c r="E53" s="11"/>
      <c r="F53" s="11"/>
      <c r="G53" s="11"/>
      <c r="K53" s="4"/>
    </row>
    <row r="54" spans="1:12" x14ac:dyDescent="0.25">
      <c r="B54">
        <v>-300</v>
      </c>
      <c r="C54" s="11" t="s">
        <v>13</v>
      </c>
      <c r="D54" s="11">
        <v>44517</v>
      </c>
      <c r="E54" s="11"/>
      <c r="F54" s="11"/>
      <c r="G54" s="11"/>
      <c r="K54" s="4"/>
    </row>
    <row r="55" spans="1:12" x14ac:dyDescent="0.25">
      <c r="B55">
        <v>620</v>
      </c>
      <c r="C55" s="11" t="s">
        <v>12</v>
      </c>
      <c r="D55" s="11"/>
      <c r="E55" s="11"/>
      <c r="F55" s="11"/>
      <c r="G55" s="11"/>
      <c r="K55" s="4"/>
    </row>
    <row r="56" spans="1:12" x14ac:dyDescent="0.25">
      <c r="B56">
        <v>-600</v>
      </c>
      <c r="C56" s="11" t="s">
        <v>13</v>
      </c>
      <c r="D56" s="11">
        <v>44530</v>
      </c>
      <c r="E56" s="11"/>
      <c r="F56" s="11"/>
      <c r="G56" s="11"/>
      <c r="K56" s="4"/>
    </row>
    <row r="57" spans="1:12" x14ac:dyDescent="0.25">
      <c r="B57">
        <v>220</v>
      </c>
      <c r="C57" s="11" t="s">
        <v>12</v>
      </c>
      <c r="D57" s="11">
        <v>44558</v>
      </c>
      <c r="E57" s="11"/>
      <c r="F57" s="11"/>
      <c r="G57" s="11"/>
      <c r="K57" s="4"/>
    </row>
    <row r="58" spans="1:12" x14ac:dyDescent="0.25">
      <c r="B58">
        <v>-200</v>
      </c>
      <c r="C58" s="11" t="s">
        <v>13</v>
      </c>
      <c r="D58" s="11">
        <v>44558</v>
      </c>
      <c r="E58" s="11"/>
      <c r="F58" s="11"/>
      <c r="G58" s="11"/>
      <c r="K58" s="4"/>
    </row>
    <row r="59" spans="1:12" x14ac:dyDescent="0.25">
      <c r="B59">
        <v>620</v>
      </c>
      <c r="C59" s="11" t="s">
        <v>12</v>
      </c>
      <c r="D59" s="11">
        <v>44560</v>
      </c>
      <c r="E59" s="11"/>
      <c r="F59" s="11"/>
      <c r="G59" s="11"/>
      <c r="K59" s="4"/>
    </row>
    <row r="60" spans="1:12" x14ac:dyDescent="0.25">
      <c r="B60">
        <v>-600</v>
      </c>
      <c r="C60" s="11" t="s">
        <v>13</v>
      </c>
      <c r="D60" s="11">
        <v>44560</v>
      </c>
      <c r="E60" s="11"/>
      <c r="F60" s="11"/>
      <c r="G60" s="11"/>
      <c r="K60" s="4"/>
    </row>
    <row r="61" spans="1:12" x14ac:dyDescent="0.25">
      <c r="B61">
        <v>220</v>
      </c>
      <c r="C61" s="11" t="s">
        <v>12</v>
      </c>
      <c r="D61" s="11">
        <v>44564</v>
      </c>
      <c r="E61" s="11"/>
      <c r="F61" s="11"/>
      <c r="G61" s="11"/>
      <c r="K61" s="4"/>
    </row>
    <row r="62" spans="1:12" x14ac:dyDescent="0.25">
      <c r="B62">
        <v>-200</v>
      </c>
      <c r="C62" s="11" t="s">
        <v>13</v>
      </c>
      <c r="D62" s="11"/>
      <c r="E62" s="11"/>
      <c r="F62" s="11"/>
      <c r="G62" s="11"/>
      <c r="K62" s="4"/>
    </row>
    <row r="63" spans="1:12" x14ac:dyDescent="0.25">
      <c r="B63">
        <v>220</v>
      </c>
      <c r="C63" s="11" t="s">
        <v>12</v>
      </c>
      <c r="D63" s="11">
        <v>44568</v>
      </c>
      <c r="E63" s="11"/>
      <c r="F63" s="11"/>
      <c r="G63" s="11"/>
      <c r="K63" s="4"/>
    </row>
    <row r="64" spans="1:12" x14ac:dyDescent="0.25">
      <c r="B64">
        <v>-220</v>
      </c>
      <c r="C64" s="11" t="s">
        <v>13</v>
      </c>
      <c r="D64" s="11">
        <v>44568</v>
      </c>
      <c r="E64" s="11"/>
      <c r="F64" s="11"/>
      <c r="G64" s="11"/>
      <c r="K64" s="4"/>
    </row>
    <row r="65" spans="2:11" x14ac:dyDescent="0.25">
      <c r="B65">
        <v>420</v>
      </c>
      <c r="C65" s="11" t="s">
        <v>94</v>
      </c>
      <c r="D65" s="11">
        <v>44571</v>
      </c>
      <c r="E65" s="11"/>
      <c r="F65" s="11"/>
      <c r="G65" s="11"/>
      <c r="K65" s="4"/>
    </row>
    <row r="66" spans="2:11" x14ac:dyDescent="0.25">
      <c r="B66">
        <v>500</v>
      </c>
      <c r="C66" s="11" t="s">
        <v>13</v>
      </c>
      <c r="D66" s="11"/>
      <c r="E66" s="11"/>
      <c r="F66" s="11"/>
      <c r="G66" s="11"/>
      <c r="K66" s="4"/>
    </row>
    <row r="67" spans="2:11" x14ac:dyDescent="0.25">
      <c r="B67">
        <v>620</v>
      </c>
      <c r="C67" s="11" t="s">
        <v>12</v>
      </c>
      <c r="D67" s="11">
        <v>44576</v>
      </c>
      <c r="E67" s="11"/>
      <c r="F67" s="11"/>
      <c r="G67" s="11"/>
      <c r="K67" s="4"/>
    </row>
    <row r="68" spans="2:11" x14ac:dyDescent="0.25">
      <c r="B68">
        <v>-1000</v>
      </c>
      <c r="C68" s="11" t="s">
        <v>13</v>
      </c>
      <c r="D68" s="11">
        <v>44576</v>
      </c>
      <c r="E68" s="11"/>
      <c r="F68" s="11"/>
      <c r="G68" s="11"/>
      <c r="K68" s="4"/>
    </row>
    <row r="69" spans="2:11" x14ac:dyDescent="0.25">
      <c r="B69">
        <v>-1000</v>
      </c>
      <c r="C69" s="11" t="s">
        <v>141</v>
      </c>
      <c r="D69" s="11">
        <v>44576</v>
      </c>
      <c r="E69" s="11"/>
      <c r="F69" s="11"/>
      <c r="G69" s="11"/>
      <c r="K69" s="4"/>
    </row>
    <row r="70" spans="2:11" x14ac:dyDescent="0.25">
      <c r="B70">
        <v>840</v>
      </c>
      <c r="C70" s="11" t="s">
        <v>12</v>
      </c>
      <c r="D70" s="11">
        <v>44579</v>
      </c>
      <c r="E70" s="11"/>
      <c r="F70" s="11"/>
      <c r="G70" s="11"/>
      <c r="K70" s="4"/>
    </row>
    <row r="71" spans="2:11" x14ac:dyDescent="0.25">
      <c r="B71">
        <v>-400</v>
      </c>
      <c r="C71" s="11" t="s">
        <v>13</v>
      </c>
      <c r="D71" s="11"/>
      <c r="E71" s="11"/>
      <c r="F71" s="11"/>
      <c r="G71" s="11"/>
      <c r="K71" s="4"/>
    </row>
    <row r="72" spans="2:11" x14ac:dyDescent="0.25">
      <c r="B72">
        <v>220</v>
      </c>
      <c r="C72" s="11" t="s">
        <v>12</v>
      </c>
      <c r="D72" s="11">
        <v>44581</v>
      </c>
      <c r="E72" s="11"/>
      <c r="F72" s="11"/>
      <c r="G72" s="11"/>
      <c r="K72" s="4"/>
    </row>
    <row r="73" spans="2:11" x14ac:dyDescent="0.25">
      <c r="B73">
        <v>-200</v>
      </c>
      <c r="C73" s="11" t="s">
        <v>13</v>
      </c>
      <c r="D73" s="11">
        <v>44581</v>
      </c>
      <c r="E73" s="11"/>
      <c r="F73" s="11"/>
      <c r="G73" s="11"/>
      <c r="K73" s="4"/>
    </row>
    <row r="74" spans="2:11" x14ac:dyDescent="0.25">
      <c r="B74">
        <v>420</v>
      </c>
      <c r="C74" s="11" t="s">
        <v>94</v>
      </c>
      <c r="D74" s="11">
        <v>44589</v>
      </c>
      <c r="E74" s="11"/>
      <c r="F74" s="11"/>
      <c r="G74" s="11"/>
      <c r="K74" s="4"/>
    </row>
    <row r="75" spans="2:11" x14ac:dyDescent="0.25">
      <c r="B75">
        <v>-500</v>
      </c>
      <c r="C75" s="11" t="s">
        <v>13</v>
      </c>
      <c r="D75" s="11"/>
      <c r="E75" s="11"/>
      <c r="F75" s="11"/>
      <c r="G75" s="11"/>
      <c r="K75" s="4"/>
    </row>
    <row r="76" spans="2:11" x14ac:dyDescent="0.25">
      <c r="B76">
        <v>620</v>
      </c>
      <c r="C76" s="11" t="s">
        <v>12</v>
      </c>
      <c r="D76" s="11">
        <v>44596</v>
      </c>
      <c r="E76" s="11"/>
      <c r="F76" s="11"/>
      <c r="G76" s="11"/>
      <c r="K76" s="4"/>
    </row>
    <row r="77" spans="2:11" x14ac:dyDescent="0.25">
      <c r="B77">
        <v>-600</v>
      </c>
      <c r="C77" s="11" t="s">
        <v>13</v>
      </c>
      <c r="D77" s="11"/>
      <c r="E77" s="11"/>
      <c r="F77" s="11"/>
      <c r="G77" s="11"/>
      <c r="K77" s="4"/>
    </row>
    <row r="78" spans="2:11" x14ac:dyDescent="0.25">
      <c r="B78">
        <v>220</v>
      </c>
      <c r="C78" s="11" t="s">
        <v>12</v>
      </c>
      <c r="D78" s="11">
        <v>44599</v>
      </c>
      <c r="E78" s="11"/>
      <c r="F78" s="11"/>
      <c r="G78" s="11"/>
      <c r="K78" s="4"/>
    </row>
    <row r="79" spans="2:11" x14ac:dyDescent="0.25">
      <c r="B79">
        <v>-200</v>
      </c>
      <c r="C79" s="11" t="s">
        <v>13</v>
      </c>
      <c r="D79" s="11"/>
      <c r="E79" s="11"/>
      <c r="F79" s="11"/>
      <c r="G79" s="11"/>
      <c r="K79" s="4"/>
    </row>
    <row r="80" spans="2:11" x14ac:dyDescent="0.25">
      <c r="B80">
        <v>620</v>
      </c>
      <c r="C80" s="11" t="s">
        <v>12</v>
      </c>
      <c r="D80" s="11">
        <v>44601</v>
      </c>
      <c r="E80" s="11"/>
      <c r="F80" s="11"/>
      <c r="G80" s="11"/>
      <c r="K80" s="4"/>
    </row>
    <row r="81" spans="2:11" x14ac:dyDescent="0.25">
      <c r="B81">
        <v>-600</v>
      </c>
      <c r="C81" s="11" t="s">
        <v>13</v>
      </c>
      <c r="D81" s="11">
        <v>44601</v>
      </c>
      <c r="E81" s="11"/>
      <c r="F81" s="11"/>
      <c r="G81" s="11"/>
      <c r="K81" s="4"/>
    </row>
    <row r="82" spans="2:11" x14ac:dyDescent="0.25">
      <c r="B82">
        <v>640</v>
      </c>
      <c r="C82" s="11" t="s">
        <v>12</v>
      </c>
      <c r="D82" s="11">
        <v>44603</v>
      </c>
      <c r="E82" s="11"/>
      <c r="F82" s="11"/>
      <c r="G82" s="11"/>
      <c r="K82" s="4"/>
    </row>
    <row r="83" spans="2:11" x14ac:dyDescent="0.25">
      <c r="B83">
        <v>-700</v>
      </c>
      <c r="C83" s="11" t="s">
        <v>13</v>
      </c>
      <c r="D83" s="11">
        <v>44603</v>
      </c>
      <c r="E83" s="11"/>
      <c r="F83" s="11"/>
      <c r="G83" s="11"/>
      <c r="K83" s="4"/>
    </row>
    <row r="84" spans="2:11" x14ac:dyDescent="0.25">
      <c r="B84">
        <v>880</v>
      </c>
      <c r="C84" s="11" t="s">
        <v>12</v>
      </c>
      <c r="D84" s="11"/>
      <c r="E84" s="11"/>
      <c r="F84" s="11"/>
      <c r="G84" s="11"/>
      <c r="K84" s="4"/>
    </row>
    <row r="85" spans="2:11" x14ac:dyDescent="0.25">
      <c r="B85">
        <v>-900</v>
      </c>
      <c r="C85" s="11" t="s">
        <v>13</v>
      </c>
      <c r="D85" s="11"/>
      <c r="E85" s="11"/>
      <c r="F85" s="11"/>
      <c r="G85" s="11"/>
      <c r="K85" s="4"/>
    </row>
    <row r="86" spans="2:11" x14ac:dyDescent="0.25">
      <c r="B86">
        <v>560</v>
      </c>
      <c r="C86" s="11" t="s">
        <v>12</v>
      </c>
      <c r="D86" s="11">
        <v>44628</v>
      </c>
      <c r="E86" s="11"/>
      <c r="F86" s="11"/>
      <c r="G86" s="11"/>
      <c r="K86" s="4"/>
    </row>
    <row r="87" spans="2:11" x14ac:dyDescent="0.25">
      <c r="B87">
        <v>-500</v>
      </c>
      <c r="C87" s="11" t="s">
        <v>13</v>
      </c>
      <c r="D87" s="11">
        <v>44628</v>
      </c>
      <c r="E87" s="11"/>
      <c r="F87" s="11"/>
      <c r="G87" s="11"/>
      <c r="K87" s="4"/>
    </row>
    <row r="88" spans="2:11" x14ac:dyDescent="0.25">
      <c r="B88">
        <v>100</v>
      </c>
      <c r="C88" s="11" t="s">
        <v>12</v>
      </c>
      <c r="D88" s="11">
        <v>44628</v>
      </c>
      <c r="E88" s="11"/>
      <c r="F88" s="11"/>
      <c r="G88" s="11"/>
      <c r="K88" s="4"/>
    </row>
    <row r="89" spans="2:11" x14ac:dyDescent="0.25">
      <c r="B89">
        <v>840</v>
      </c>
      <c r="C89" s="11" t="s">
        <v>12</v>
      </c>
      <c r="D89" s="11">
        <v>44634</v>
      </c>
      <c r="E89" s="11"/>
      <c r="F89" s="11"/>
      <c r="G89" s="11"/>
      <c r="K89" s="4"/>
    </row>
    <row r="90" spans="2:11" x14ac:dyDescent="0.25">
      <c r="B90">
        <v>-900</v>
      </c>
      <c r="C90" s="11" t="s">
        <v>13</v>
      </c>
      <c r="D90" s="11">
        <v>44634</v>
      </c>
      <c r="E90" s="11"/>
      <c r="F90" s="11"/>
      <c r="G90" s="11"/>
      <c r="K90" s="4"/>
    </row>
    <row r="91" spans="2:11" x14ac:dyDescent="0.25">
      <c r="B91">
        <v>100</v>
      </c>
      <c r="C91" s="11" t="s">
        <v>12</v>
      </c>
      <c r="D91" s="11">
        <v>44636</v>
      </c>
      <c r="E91" s="11"/>
      <c r="F91" s="11"/>
      <c r="G91" s="11"/>
      <c r="K91" s="4"/>
    </row>
    <row r="92" spans="2:11" x14ac:dyDescent="0.25">
      <c r="B92">
        <v>-100</v>
      </c>
      <c r="C92" s="11" t="s">
        <v>13</v>
      </c>
      <c r="D92" s="11"/>
      <c r="E92" s="11"/>
      <c r="F92" s="11"/>
      <c r="G92" s="11"/>
      <c r="K92" s="4"/>
    </row>
    <row r="93" spans="2:11" x14ac:dyDescent="0.25">
      <c r="B93">
        <v>560</v>
      </c>
      <c r="C93" s="11" t="s">
        <v>12</v>
      </c>
      <c r="D93" s="11">
        <v>44645</v>
      </c>
      <c r="E93" s="11"/>
      <c r="F93" s="11"/>
      <c r="G93" s="11"/>
      <c r="K93" s="4"/>
    </row>
    <row r="94" spans="2:11" x14ac:dyDescent="0.25">
      <c r="B94">
        <v>-600</v>
      </c>
      <c r="C94" s="11" t="s">
        <v>13</v>
      </c>
      <c r="D94" s="11">
        <v>44645</v>
      </c>
      <c r="E94" s="11"/>
      <c r="F94" s="11"/>
      <c r="G94" s="11"/>
      <c r="K94" s="4"/>
    </row>
    <row r="95" spans="2:11" x14ac:dyDescent="0.25">
      <c r="B95">
        <v>280</v>
      </c>
      <c r="C95" s="11" t="s">
        <v>12</v>
      </c>
      <c r="D95" s="11">
        <v>44649</v>
      </c>
      <c r="E95" s="11"/>
      <c r="F95" s="11"/>
      <c r="G95" s="11"/>
      <c r="K95" s="4"/>
    </row>
    <row r="96" spans="2:11" x14ac:dyDescent="0.25">
      <c r="B96">
        <v>-300</v>
      </c>
      <c r="C96" s="11" t="s">
        <v>13</v>
      </c>
      <c r="D96" s="11">
        <v>44649</v>
      </c>
      <c r="E96" s="11"/>
      <c r="F96" s="11"/>
      <c r="G96" s="11"/>
      <c r="K96" s="4"/>
    </row>
    <row r="97" spans="2:11" x14ac:dyDescent="0.25">
      <c r="B97">
        <v>1320</v>
      </c>
      <c r="C97" s="11" t="s">
        <v>12</v>
      </c>
      <c r="D97" s="11">
        <v>44660</v>
      </c>
      <c r="E97" s="11"/>
      <c r="F97" s="11"/>
      <c r="G97" s="11"/>
      <c r="K97" s="4"/>
    </row>
    <row r="98" spans="2:11" x14ac:dyDescent="0.25">
      <c r="B98">
        <v>-1300</v>
      </c>
      <c r="C98" s="11" t="s">
        <v>13</v>
      </c>
      <c r="D98" s="11">
        <v>44660</v>
      </c>
      <c r="E98" s="11"/>
      <c r="F98" s="11"/>
      <c r="G98" s="11"/>
      <c r="K98" s="4"/>
    </row>
    <row r="99" spans="2:11" x14ac:dyDescent="0.25">
      <c r="B99">
        <v>280</v>
      </c>
      <c r="C99" s="11" t="s">
        <v>12</v>
      </c>
      <c r="D99" s="11">
        <v>44665</v>
      </c>
      <c r="E99" s="11"/>
      <c r="F99" s="11"/>
      <c r="G99" s="11"/>
      <c r="K99" s="4"/>
    </row>
    <row r="100" spans="2:11" x14ac:dyDescent="0.25">
      <c r="B100">
        <v>-300</v>
      </c>
      <c r="C100" s="11" t="s">
        <v>13</v>
      </c>
      <c r="D100" s="11">
        <v>44665</v>
      </c>
      <c r="E100" s="11"/>
      <c r="F100" s="11"/>
      <c r="G100" s="11"/>
      <c r="K100" s="4"/>
    </row>
    <row r="101" spans="2:11" x14ac:dyDescent="0.25">
      <c r="B101">
        <v>560</v>
      </c>
      <c r="C101" s="11" t="s">
        <v>12</v>
      </c>
      <c r="D101" s="11">
        <v>44670</v>
      </c>
      <c r="E101" s="11"/>
      <c r="F101" s="11"/>
      <c r="G101" s="11"/>
      <c r="K101" s="4"/>
    </row>
    <row r="102" spans="2:11" x14ac:dyDescent="0.25">
      <c r="B102">
        <v>-600</v>
      </c>
      <c r="C102" s="11" t="s">
        <v>13</v>
      </c>
      <c r="D102" s="11">
        <v>44670</v>
      </c>
      <c r="E102" s="11"/>
      <c r="F102" s="11"/>
      <c r="G102" s="11"/>
      <c r="K102" s="4"/>
    </row>
    <row r="103" spans="2:11" x14ac:dyDescent="0.25">
      <c r="B103">
        <v>280</v>
      </c>
      <c r="C103" s="11" t="s">
        <v>12</v>
      </c>
      <c r="D103" s="11">
        <v>44687</v>
      </c>
      <c r="E103" s="11"/>
      <c r="F103" s="11"/>
      <c r="G103" s="11"/>
      <c r="K103" s="4"/>
    </row>
    <row r="104" spans="2:11" x14ac:dyDescent="0.25">
      <c r="B104">
        <v>-200</v>
      </c>
      <c r="C104" s="11" t="s">
        <v>13</v>
      </c>
      <c r="D104" s="11">
        <v>44687</v>
      </c>
      <c r="E104" s="11"/>
      <c r="F104" s="11"/>
      <c r="G104" s="11"/>
      <c r="K104" s="4"/>
    </row>
    <row r="105" spans="2:11" x14ac:dyDescent="0.25">
      <c r="B105">
        <v>280</v>
      </c>
      <c r="C105" s="11" t="s">
        <v>12</v>
      </c>
      <c r="D105" s="11">
        <v>44691</v>
      </c>
      <c r="E105" s="11"/>
      <c r="F105" s="11"/>
      <c r="G105" s="11"/>
      <c r="K105" s="4"/>
    </row>
    <row r="106" spans="2:11" x14ac:dyDescent="0.25">
      <c r="B106">
        <v>-300</v>
      </c>
      <c r="C106" s="11" t="s">
        <v>13</v>
      </c>
      <c r="D106" s="11"/>
      <c r="E106" s="11"/>
      <c r="F106" s="11"/>
      <c r="G106" s="11"/>
      <c r="K106" s="4"/>
    </row>
    <row r="107" spans="2:11" x14ac:dyDescent="0.25">
      <c r="B107">
        <v>640</v>
      </c>
      <c r="C107" s="11" t="s">
        <v>12</v>
      </c>
      <c r="D107" s="11">
        <v>44694</v>
      </c>
      <c r="E107" s="11"/>
      <c r="F107" s="11"/>
      <c r="G107" s="11"/>
      <c r="K107" s="4"/>
    </row>
    <row r="108" spans="2:11" x14ac:dyDescent="0.25">
      <c r="B108">
        <v>-600</v>
      </c>
      <c r="C108" s="11" t="s">
        <v>13</v>
      </c>
      <c r="D108" s="11">
        <v>44694</v>
      </c>
      <c r="E108" s="11"/>
      <c r="F108" s="11"/>
      <c r="G108" s="11"/>
      <c r="K108" s="4"/>
    </row>
    <row r="109" spans="2:11" x14ac:dyDescent="0.25">
      <c r="B109">
        <v>1320</v>
      </c>
      <c r="C109" s="11" t="s">
        <v>12</v>
      </c>
      <c r="D109" s="11">
        <v>44698</v>
      </c>
      <c r="E109" s="11"/>
      <c r="F109" s="11"/>
      <c r="G109" s="11"/>
      <c r="K109" s="4"/>
    </row>
    <row r="110" spans="2:11" x14ac:dyDescent="0.25">
      <c r="B110">
        <v>-1400</v>
      </c>
      <c r="C110" s="11" t="s">
        <v>13</v>
      </c>
      <c r="D110" s="11"/>
      <c r="E110" s="11"/>
      <c r="F110" s="11"/>
      <c r="G110" s="11"/>
      <c r="K110" s="4"/>
    </row>
    <row r="111" spans="2:11" x14ac:dyDescent="0.25">
      <c r="B111">
        <v>280</v>
      </c>
      <c r="C111" s="11" t="s">
        <v>12</v>
      </c>
      <c r="D111" s="11">
        <v>44705</v>
      </c>
      <c r="E111" s="11"/>
      <c r="F111" s="11"/>
      <c r="G111" s="11"/>
      <c r="K111" s="4"/>
    </row>
    <row r="112" spans="2:11" x14ac:dyDescent="0.25">
      <c r="B112">
        <v>-300</v>
      </c>
      <c r="C112" s="11"/>
      <c r="D112" s="11">
        <v>44705</v>
      </c>
      <c r="E112" s="11"/>
      <c r="F112" s="11"/>
      <c r="G112" s="11"/>
      <c r="K112" s="4"/>
    </row>
    <row r="113" spans="2:11" x14ac:dyDescent="0.25">
      <c r="B113">
        <v>560</v>
      </c>
      <c r="C113" s="11" t="s">
        <v>12</v>
      </c>
      <c r="D113" s="11">
        <v>44712</v>
      </c>
      <c r="E113" s="11"/>
      <c r="F113" s="11"/>
      <c r="G113" s="11"/>
      <c r="K113" s="4"/>
    </row>
    <row r="114" spans="2:11" x14ac:dyDescent="0.25">
      <c r="B114">
        <v>-500</v>
      </c>
      <c r="C114" s="11" t="s">
        <v>13</v>
      </c>
      <c r="D114" s="11">
        <v>44712</v>
      </c>
      <c r="E114" s="11"/>
      <c r="F114" s="11"/>
      <c r="G114" s="11"/>
      <c r="K114" s="4"/>
    </row>
    <row r="115" spans="2:11" x14ac:dyDescent="0.25">
      <c r="B115">
        <v>1160</v>
      </c>
      <c r="C115" s="11" t="s">
        <v>12</v>
      </c>
      <c r="D115" s="11"/>
      <c r="E115" s="11"/>
      <c r="F115" s="11"/>
      <c r="G115" s="11"/>
      <c r="K115" s="4"/>
    </row>
    <row r="116" spans="2:11" x14ac:dyDescent="0.25">
      <c r="B116">
        <v>-1200</v>
      </c>
      <c r="C116" s="11" t="s">
        <v>13</v>
      </c>
      <c r="D116" s="11">
        <v>44714</v>
      </c>
      <c r="E116" s="11"/>
      <c r="F116" s="11"/>
      <c r="G116" s="11"/>
      <c r="K116" s="4"/>
    </row>
    <row r="117" spans="2:11" x14ac:dyDescent="0.25">
      <c r="B117">
        <v>560</v>
      </c>
      <c r="C117" s="11" t="s">
        <v>12</v>
      </c>
      <c r="D117" s="11">
        <v>44719</v>
      </c>
      <c r="E117" s="11"/>
      <c r="F117" s="11"/>
      <c r="G117" s="11"/>
      <c r="K117" s="4"/>
    </row>
    <row r="118" spans="2:11" x14ac:dyDescent="0.25">
      <c r="B118">
        <v>-500</v>
      </c>
      <c r="C118" s="11" t="s">
        <v>13</v>
      </c>
      <c r="D118" s="11">
        <v>44719</v>
      </c>
      <c r="E118" s="11"/>
      <c r="F118" s="11"/>
      <c r="G118" s="11"/>
      <c r="K118" s="4"/>
    </row>
    <row r="119" spans="2:11" x14ac:dyDescent="0.25">
      <c r="B119">
        <v>560</v>
      </c>
      <c r="C119" s="11" t="s">
        <v>12</v>
      </c>
      <c r="D119" s="11">
        <v>44726</v>
      </c>
      <c r="E119" s="11"/>
      <c r="F119" s="11"/>
      <c r="G119" s="11"/>
      <c r="K119" s="4"/>
    </row>
    <row r="120" spans="2:11" x14ac:dyDescent="0.25">
      <c r="B120">
        <v>-600</v>
      </c>
      <c r="C120" s="11" t="s">
        <v>13</v>
      </c>
      <c r="D120" s="11"/>
      <c r="E120" s="11"/>
      <c r="F120" s="11"/>
      <c r="G120" s="11"/>
      <c r="K120" s="4"/>
    </row>
    <row r="121" spans="2:11" x14ac:dyDescent="0.25">
      <c r="B121">
        <v>280</v>
      </c>
      <c r="C121" s="11" t="s">
        <v>12</v>
      </c>
      <c r="D121" s="11">
        <v>44728</v>
      </c>
      <c r="E121" s="11"/>
      <c r="F121" s="11"/>
      <c r="G121" s="11"/>
      <c r="K121" s="4"/>
    </row>
    <row r="122" spans="2:11" x14ac:dyDescent="0.25">
      <c r="B122">
        <v>-1300</v>
      </c>
      <c r="C122" s="11" t="s">
        <v>13</v>
      </c>
      <c r="D122" s="11">
        <v>44728</v>
      </c>
      <c r="E122" s="11"/>
      <c r="F122" s="11"/>
      <c r="G122" s="11"/>
      <c r="K122" s="4"/>
    </row>
    <row r="123" spans="2:11" x14ac:dyDescent="0.25">
      <c r="B123">
        <v>1560</v>
      </c>
      <c r="C123" s="11" t="s">
        <v>12</v>
      </c>
      <c r="D123" s="11">
        <v>44735</v>
      </c>
      <c r="E123" s="11"/>
      <c r="F123" s="11"/>
      <c r="G123" s="11"/>
      <c r="K123" s="4"/>
    </row>
    <row r="124" spans="2:11" x14ac:dyDescent="0.25">
      <c r="B124">
        <v>-1500</v>
      </c>
      <c r="C124" s="11" t="s">
        <v>13</v>
      </c>
      <c r="D124" s="11">
        <v>44735</v>
      </c>
      <c r="E124" s="11"/>
      <c r="F124" s="11"/>
      <c r="G124" s="11"/>
      <c r="K124" s="4"/>
    </row>
    <row r="125" spans="2:11" x14ac:dyDescent="0.25">
      <c r="B125">
        <v>280</v>
      </c>
      <c r="C125" s="11" t="s">
        <v>74</v>
      </c>
      <c r="D125" s="11">
        <v>44740</v>
      </c>
      <c r="E125" s="11"/>
      <c r="F125" s="11"/>
      <c r="G125" s="11"/>
      <c r="K125" s="4"/>
    </row>
    <row r="126" spans="2:11" x14ac:dyDescent="0.25">
      <c r="B126">
        <v>-300</v>
      </c>
      <c r="C126" s="11" t="s">
        <v>12</v>
      </c>
      <c r="D126" s="11">
        <v>44740</v>
      </c>
      <c r="E126" s="11"/>
      <c r="F126" s="11"/>
      <c r="G126" s="11"/>
      <c r="K126" s="4"/>
    </row>
    <row r="127" spans="2:11" x14ac:dyDescent="0.25">
      <c r="B127">
        <v>1160</v>
      </c>
      <c r="C127" s="11" t="s">
        <v>12</v>
      </c>
      <c r="D127" s="11">
        <v>44742</v>
      </c>
      <c r="E127" s="11"/>
      <c r="F127" s="11"/>
      <c r="G127" s="11"/>
      <c r="K127" s="4"/>
    </row>
    <row r="128" spans="2:11" x14ac:dyDescent="0.25">
      <c r="B128">
        <v>-1200</v>
      </c>
      <c r="C128" s="11" t="s">
        <v>13</v>
      </c>
      <c r="D128" s="11">
        <v>44742</v>
      </c>
      <c r="E128" s="11"/>
      <c r="F128" s="11"/>
      <c r="G128" s="11"/>
      <c r="K128" s="4"/>
    </row>
    <row r="129" spans="2:11" x14ac:dyDescent="0.25">
      <c r="B129">
        <v>1160</v>
      </c>
      <c r="C129" s="11" t="s">
        <v>12</v>
      </c>
      <c r="D129" s="11">
        <v>44750</v>
      </c>
      <c r="E129" s="11"/>
      <c r="F129" s="11"/>
      <c r="G129" s="11"/>
      <c r="K129" s="4"/>
    </row>
    <row r="130" spans="2:11" x14ac:dyDescent="0.25">
      <c r="B130">
        <v>-1100</v>
      </c>
      <c r="C130" s="11" t="s">
        <v>13</v>
      </c>
      <c r="D130" s="11">
        <v>44750</v>
      </c>
      <c r="E130" s="11"/>
      <c r="F130" s="11"/>
      <c r="G130" s="11"/>
      <c r="K130" s="4"/>
    </row>
    <row r="131" spans="2:11" x14ac:dyDescent="0.25">
      <c r="B131">
        <v>880</v>
      </c>
      <c r="C131" s="11" t="s">
        <v>12</v>
      </c>
      <c r="D131" s="11"/>
      <c r="E131" s="11"/>
      <c r="F131" s="11"/>
      <c r="G131" s="11"/>
      <c r="K131" s="4"/>
    </row>
    <row r="132" spans="2:11" x14ac:dyDescent="0.25">
      <c r="B132">
        <v>-900</v>
      </c>
      <c r="C132" s="11" t="s">
        <v>13</v>
      </c>
      <c r="D132" s="11"/>
      <c r="E132" s="11"/>
      <c r="F132" s="11"/>
      <c r="G132" s="11"/>
      <c r="K132" s="4"/>
    </row>
    <row r="133" spans="2:11" x14ac:dyDescent="0.25">
      <c r="B133">
        <v>1560</v>
      </c>
      <c r="C133" s="11" t="s">
        <v>12</v>
      </c>
      <c r="D133" s="11"/>
      <c r="E133" s="11"/>
      <c r="F133" s="11"/>
      <c r="G133" s="11"/>
      <c r="K133" s="4"/>
    </row>
    <row r="134" spans="2:11" x14ac:dyDescent="0.25">
      <c r="B134">
        <v>-1600</v>
      </c>
      <c r="C134" s="11" t="s">
        <v>13</v>
      </c>
      <c r="D134" s="11"/>
      <c r="E134" s="11"/>
      <c r="F134" s="11"/>
      <c r="G134" s="11"/>
      <c r="K134" s="4"/>
    </row>
    <row r="135" spans="2:11" x14ac:dyDescent="0.25">
      <c r="B135">
        <f>280*2</f>
        <v>560</v>
      </c>
      <c r="C135" s="11" t="s">
        <v>12</v>
      </c>
      <c r="D135" s="11">
        <v>44764</v>
      </c>
      <c r="E135" s="11"/>
      <c r="F135" s="11"/>
      <c r="G135" s="11"/>
      <c r="K135" s="4"/>
    </row>
    <row r="136" spans="2:11" x14ac:dyDescent="0.25">
      <c r="B136">
        <v>-600</v>
      </c>
      <c r="C136" s="11" t="s">
        <v>13</v>
      </c>
      <c r="D136" s="11">
        <v>44764</v>
      </c>
      <c r="E136" s="11"/>
      <c r="F136" s="11"/>
      <c r="G136" s="11"/>
      <c r="K136" s="4"/>
    </row>
    <row r="137" spans="2:11" x14ac:dyDescent="0.25">
      <c r="B137">
        <v>560</v>
      </c>
      <c r="C137" s="11" t="s">
        <v>12</v>
      </c>
      <c r="D137" s="11"/>
      <c r="E137" s="11"/>
      <c r="F137" s="11"/>
      <c r="G137" s="11"/>
      <c r="K137" s="4"/>
    </row>
    <row r="138" spans="2:11" x14ac:dyDescent="0.25">
      <c r="B138">
        <v>-600</v>
      </c>
      <c r="C138" s="11" t="s">
        <v>13</v>
      </c>
      <c r="D138" s="11">
        <v>44772</v>
      </c>
      <c r="E138" s="11"/>
      <c r="F138" s="11"/>
      <c r="G138" s="11"/>
      <c r="K138" s="4"/>
    </row>
    <row r="139" spans="2:11" x14ac:dyDescent="0.25">
      <c r="B139">
        <v>560</v>
      </c>
      <c r="C139" s="11" t="s">
        <v>74</v>
      </c>
      <c r="D139" s="11">
        <v>44776</v>
      </c>
      <c r="E139" s="11"/>
      <c r="F139" s="11"/>
      <c r="G139" s="11"/>
      <c r="K139" s="4"/>
    </row>
    <row r="140" spans="2:11" x14ac:dyDescent="0.25">
      <c r="B140">
        <v>-500</v>
      </c>
      <c r="C140" s="11" t="s">
        <v>13</v>
      </c>
      <c r="D140" s="11">
        <v>44776</v>
      </c>
      <c r="E140" s="11"/>
      <c r="F140" s="11"/>
      <c r="G140" s="11"/>
      <c r="K140" s="4"/>
    </row>
    <row r="141" spans="2:11" x14ac:dyDescent="0.25">
      <c r="B141">
        <v>280</v>
      </c>
      <c r="C141" s="11" t="s">
        <v>12</v>
      </c>
      <c r="D141" s="11">
        <v>44783</v>
      </c>
      <c r="E141" s="11"/>
      <c r="F141" s="11"/>
      <c r="G141" s="11"/>
      <c r="K141" s="4"/>
    </row>
    <row r="142" spans="2:11" x14ac:dyDescent="0.25">
      <c r="B142">
        <v>-300</v>
      </c>
      <c r="C142" s="11" t="s">
        <v>13</v>
      </c>
      <c r="D142" s="11">
        <v>44783</v>
      </c>
      <c r="E142" s="11"/>
      <c r="F142" s="11"/>
      <c r="G142" s="11"/>
      <c r="K142" s="4"/>
    </row>
    <row r="143" spans="2:11" x14ac:dyDescent="0.25">
      <c r="B143">
        <v>560</v>
      </c>
      <c r="C143" s="11" t="s">
        <v>12</v>
      </c>
      <c r="D143" s="11">
        <v>44786</v>
      </c>
      <c r="E143" s="11"/>
      <c r="F143" s="11"/>
      <c r="G143" s="11"/>
      <c r="K143" s="4"/>
    </row>
    <row r="144" spans="2:11" x14ac:dyDescent="0.25">
      <c r="B144">
        <v>-500</v>
      </c>
      <c r="C144" s="11" t="s">
        <v>13</v>
      </c>
      <c r="D144" s="11">
        <v>44786</v>
      </c>
      <c r="E144" s="11"/>
      <c r="F144" s="11"/>
      <c r="G144" s="11"/>
      <c r="K144" s="4"/>
    </row>
    <row r="145" spans="2:11" x14ac:dyDescent="0.25">
      <c r="B145">
        <v>560</v>
      </c>
      <c r="C145" s="11" t="s">
        <v>12</v>
      </c>
      <c r="D145" s="11">
        <v>44791</v>
      </c>
      <c r="E145" s="11"/>
      <c r="F145" s="11"/>
      <c r="G145" s="11"/>
      <c r="K145" s="4"/>
    </row>
    <row r="146" spans="2:11" x14ac:dyDescent="0.25">
      <c r="B146">
        <v>1160</v>
      </c>
      <c r="C146" s="11" t="s">
        <v>12</v>
      </c>
      <c r="D146" s="11">
        <v>44795</v>
      </c>
      <c r="E146" s="11"/>
      <c r="F146" s="11"/>
      <c r="G146" s="11"/>
      <c r="K146" s="4"/>
    </row>
    <row r="147" spans="2:11" x14ac:dyDescent="0.25">
      <c r="B147">
        <v>-700</v>
      </c>
      <c r="C147" s="11" t="s">
        <v>13</v>
      </c>
      <c r="D147" s="11">
        <v>44797</v>
      </c>
      <c r="E147" s="11"/>
      <c r="F147" s="11"/>
      <c r="G147" s="11"/>
      <c r="K147" s="4"/>
    </row>
    <row r="148" spans="2:11" x14ac:dyDescent="0.25">
      <c r="B148">
        <v>280</v>
      </c>
      <c r="C148" s="11" t="s">
        <v>12</v>
      </c>
      <c r="D148" s="11"/>
      <c r="E148" s="11"/>
      <c r="F148" s="11"/>
      <c r="G148" s="11"/>
      <c r="K148" s="4"/>
    </row>
    <row r="149" spans="2:11" x14ac:dyDescent="0.25">
      <c r="B149">
        <v>280</v>
      </c>
      <c r="C149" s="11" t="s">
        <v>12</v>
      </c>
      <c r="D149" s="11">
        <v>44799</v>
      </c>
      <c r="E149" s="11"/>
      <c r="F149" s="11"/>
      <c r="G149" s="11"/>
      <c r="K149" s="4"/>
    </row>
    <row r="150" spans="2:11" x14ac:dyDescent="0.25">
      <c r="B150">
        <v>-600</v>
      </c>
      <c r="C150" s="11" t="s">
        <v>13</v>
      </c>
      <c r="D150" s="11"/>
      <c r="E150" s="11"/>
      <c r="F150" s="11"/>
      <c r="G150" s="11"/>
      <c r="K150" s="4"/>
    </row>
    <row r="151" spans="2:11" x14ac:dyDescent="0.25">
      <c r="B151">
        <v>1160</v>
      </c>
      <c r="C151" s="11" t="s">
        <v>12</v>
      </c>
      <c r="D151" s="11">
        <v>44803</v>
      </c>
      <c r="E151" s="11"/>
      <c r="F151" s="11"/>
      <c r="G151" s="11"/>
      <c r="K151" s="4"/>
    </row>
    <row r="152" spans="2:11" x14ac:dyDescent="0.25">
      <c r="B152">
        <v>-1100</v>
      </c>
      <c r="C152" s="11" t="s">
        <v>13</v>
      </c>
      <c r="D152" s="11"/>
      <c r="E152" s="11"/>
      <c r="F152" s="11"/>
      <c r="G152" s="11"/>
      <c r="K152" s="4"/>
    </row>
    <row r="153" spans="2:11" x14ac:dyDescent="0.25">
      <c r="B153">
        <v>560</v>
      </c>
      <c r="C153" s="11" t="s">
        <v>12</v>
      </c>
      <c r="D153" s="11"/>
      <c r="E153" s="11"/>
      <c r="F153" s="11"/>
      <c r="G153" s="11"/>
      <c r="K153" s="4"/>
    </row>
    <row r="154" spans="2:11" x14ac:dyDescent="0.25">
      <c r="B154">
        <v>-560</v>
      </c>
      <c r="C154" s="11" t="s">
        <v>13</v>
      </c>
      <c r="D154" s="11"/>
      <c r="E154" s="11"/>
      <c r="F154" s="11"/>
      <c r="G154" s="11"/>
      <c r="K154" s="4"/>
    </row>
    <row r="155" spans="2:11" x14ac:dyDescent="0.25">
      <c r="B155">
        <v>1160</v>
      </c>
      <c r="C155" s="11" t="s">
        <v>74</v>
      </c>
      <c r="D155" s="11">
        <v>44818</v>
      </c>
      <c r="E155" s="11"/>
      <c r="F155" s="11"/>
      <c r="G155" s="11"/>
      <c r="K155" s="4"/>
    </row>
    <row r="156" spans="2:11" x14ac:dyDescent="0.25">
      <c r="B156">
        <v>-1200</v>
      </c>
      <c r="C156" s="11" t="s">
        <v>13</v>
      </c>
      <c r="D156" s="11">
        <v>44818</v>
      </c>
      <c r="E156" s="11"/>
      <c r="F156" s="11"/>
      <c r="G156" s="11"/>
      <c r="K156" s="4"/>
    </row>
    <row r="157" spans="2:11" x14ac:dyDescent="0.25">
      <c r="B157">
        <v>480</v>
      </c>
      <c r="C157" s="11" t="s">
        <v>12</v>
      </c>
      <c r="D157" s="11">
        <v>44827</v>
      </c>
      <c r="E157" s="11"/>
      <c r="F157" s="11"/>
      <c r="G157" s="11"/>
      <c r="K157" s="4"/>
    </row>
    <row r="158" spans="2:11" x14ac:dyDescent="0.25">
      <c r="B158">
        <v>-500</v>
      </c>
      <c r="C158" s="11" t="s">
        <v>13</v>
      </c>
      <c r="D158" s="11"/>
      <c r="E158" s="11"/>
      <c r="F158" s="11"/>
      <c r="G158" s="11"/>
      <c r="K158" s="4"/>
    </row>
    <row r="159" spans="2:11" x14ac:dyDescent="0.25">
      <c r="B159">
        <v>860</v>
      </c>
      <c r="C159" s="11" t="s">
        <v>12</v>
      </c>
      <c r="D159" s="11">
        <v>44832</v>
      </c>
      <c r="E159" s="11"/>
      <c r="F159" s="11"/>
      <c r="G159" s="11"/>
      <c r="K159" s="4"/>
    </row>
    <row r="160" spans="2:11" x14ac:dyDescent="0.25">
      <c r="B160">
        <v>-800</v>
      </c>
      <c r="C160" s="11" t="s">
        <v>13</v>
      </c>
      <c r="D160" s="11"/>
      <c r="E160" s="11"/>
      <c r="F160" s="11"/>
      <c r="G160" s="11"/>
      <c r="K160" s="4"/>
    </row>
    <row r="161" spans="2:11" x14ac:dyDescent="0.25">
      <c r="B161">
        <v>560</v>
      </c>
      <c r="C161" s="11" t="s">
        <v>12</v>
      </c>
      <c r="D161" s="11">
        <v>44837</v>
      </c>
      <c r="E161" s="11"/>
      <c r="F161" s="11"/>
      <c r="G161" s="11"/>
      <c r="K161" s="4"/>
    </row>
    <row r="162" spans="2:11" x14ac:dyDescent="0.25">
      <c r="B162">
        <v>-600</v>
      </c>
      <c r="C162" s="11" t="s">
        <v>13</v>
      </c>
      <c r="D162" s="11"/>
      <c r="E162" s="11"/>
      <c r="F162" s="11"/>
      <c r="G162" s="11"/>
      <c r="K162" s="4"/>
    </row>
    <row r="163" spans="2:11" x14ac:dyDescent="0.25">
      <c r="B163">
        <v>1720</v>
      </c>
      <c r="C163" s="11" t="s">
        <v>12</v>
      </c>
      <c r="D163" s="11"/>
      <c r="E163" s="11"/>
      <c r="F163" s="11"/>
      <c r="G163" s="11"/>
      <c r="K163" s="4"/>
    </row>
    <row r="164" spans="2:11" x14ac:dyDescent="0.25">
      <c r="B164">
        <v>-1700</v>
      </c>
      <c r="C164" s="11" t="s">
        <v>13</v>
      </c>
      <c r="D164" s="11"/>
      <c r="E164" s="11"/>
      <c r="F164" s="11"/>
      <c r="G164" s="11"/>
      <c r="K164" s="4"/>
    </row>
    <row r="165" spans="2:11" x14ac:dyDescent="0.25">
      <c r="B165">
        <v>840</v>
      </c>
      <c r="C165" s="11" t="s">
        <v>12</v>
      </c>
      <c r="D165" s="11">
        <v>44847</v>
      </c>
      <c r="E165" s="11"/>
      <c r="F165" s="11"/>
      <c r="G165" s="11"/>
      <c r="K165" s="4"/>
    </row>
    <row r="166" spans="2:11" x14ac:dyDescent="0.25">
      <c r="B166">
        <v>-800</v>
      </c>
      <c r="C166" s="11" t="s">
        <v>13</v>
      </c>
      <c r="D166" s="11">
        <v>44847</v>
      </c>
      <c r="E166" s="11"/>
      <c r="F166" s="11"/>
      <c r="G166" s="11"/>
      <c r="K166" s="4"/>
    </row>
    <row r="167" spans="2:11" x14ac:dyDescent="0.25">
      <c r="B167">
        <v>1160</v>
      </c>
      <c r="C167" s="11" t="s">
        <v>12</v>
      </c>
      <c r="D167" s="11">
        <v>44849</v>
      </c>
      <c r="E167" s="11"/>
      <c r="F167" s="11"/>
      <c r="G167" s="11"/>
      <c r="K167" s="4"/>
    </row>
    <row r="168" spans="2:11" x14ac:dyDescent="0.25">
      <c r="B168">
        <v>-1200</v>
      </c>
      <c r="C168" s="11" t="s">
        <v>13</v>
      </c>
      <c r="D168" s="11">
        <v>44849</v>
      </c>
      <c r="E168" s="11"/>
      <c r="F168" s="11"/>
      <c r="G168" s="11"/>
      <c r="K168" s="4"/>
    </row>
    <row r="169" spans="2:11" x14ac:dyDescent="0.25">
      <c r="B169">
        <v>560</v>
      </c>
      <c r="C169" s="11" t="s">
        <v>74</v>
      </c>
      <c r="D169" s="11">
        <v>44854</v>
      </c>
      <c r="E169" s="11"/>
      <c r="F169" s="11"/>
      <c r="G169" s="11"/>
      <c r="K169" s="4"/>
    </row>
    <row r="170" spans="2:11" x14ac:dyDescent="0.25">
      <c r="B170">
        <v>-600</v>
      </c>
      <c r="C170" s="11" t="s">
        <v>13</v>
      </c>
      <c r="D170" s="11">
        <v>44854</v>
      </c>
      <c r="E170" s="11"/>
      <c r="F170" s="11"/>
      <c r="G170" s="11"/>
      <c r="K170" s="4"/>
    </row>
    <row r="171" spans="2:11" x14ac:dyDescent="0.25">
      <c r="B171">
        <v>560</v>
      </c>
      <c r="C171" s="11" t="s">
        <v>12</v>
      </c>
      <c r="D171" s="11">
        <v>44859</v>
      </c>
      <c r="E171" s="11"/>
      <c r="F171" s="11"/>
      <c r="G171" s="11"/>
      <c r="K171" s="4"/>
    </row>
    <row r="172" spans="2:11" x14ac:dyDescent="0.25">
      <c r="B172">
        <v>-500</v>
      </c>
      <c r="C172" s="11" t="s">
        <v>13</v>
      </c>
      <c r="D172" s="11">
        <v>44859</v>
      </c>
      <c r="E172" s="11"/>
      <c r="F172" s="11"/>
      <c r="G172" s="11"/>
      <c r="K172" s="4"/>
    </row>
    <row r="173" spans="2:11" x14ac:dyDescent="0.25">
      <c r="B173">
        <v>400</v>
      </c>
      <c r="C173" s="11" t="s">
        <v>12</v>
      </c>
      <c r="D173" s="11"/>
      <c r="E173" s="11"/>
      <c r="F173" s="11"/>
      <c r="G173" s="11"/>
      <c r="K173" s="4"/>
    </row>
    <row r="174" spans="2:11" x14ac:dyDescent="0.25">
      <c r="B174">
        <v>-400</v>
      </c>
      <c r="C174" s="11" t="s">
        <v>13</v>
      </c>
      <c r="D174" s="11"/>
      <c r="E174" s="11"/>
      <c r="F174" s="11"/>
      <c r="G174" s="11"/>
      <c r="K174" s="4"/>
    </row>
    <row r="175" spans="2:11" x14ac:dyDescent="0.25">
      <c r="B175">
        <v>800</v>
      </c>
      <c r="C175" s="11" t="s">
        <v>12</v>
      </c>
      <c r="D175" s="11">
        <v>44865</v>
      </c>
      <c r="E175" s="11"/>
      <c r="F175" s="11"/>
      <c r="G175" s="11"/>
      <c r="K175" s="4"/>
    </row>
    <row r="176" spans="2:11" x14ac:dyDescent="0.25">
      <c r="B176">
        <v>-800</v>
      </c>
      <c r="C176" s="11" t="s">
        <v>13</v>
      </c>
      <c r="D176" s="11">
        <v>44865</v>
      </c>
      <c r="E176" s="11"/>
      <c r="F176" s="11"/>
      <c r="G176" s="11"/>
      <c r="K176" s="4"/>
    </row>
    <row r="177" spans="2:11" x14ac:dyDescent="0.25">
      <c r="B177">
        <v>800</v>
      </c>
      <c r="C177" s="11" t="s">
        <v>12</v>
      </c>
      <c r="D177" s="11">
        <v>44868</v>
      </c>
      <c r="E177" s="11"/>
      <c r="F177" s="11"/>
      <c r="G177" s="11"/>
      <c r="K177" s="4"/>
    </row>
    <row r="178" spans="2:11" x14ac:dyDescent="0.25">
      <c r="B178">
        <v>-800</v>
      </c>
      <c r="C178" s="11" t="s">
        <v>13</v>
      </c>
      <c r="D178" s="11"/>
      <c r="E178" s="11"/>
      <c r="F178" s="11"/>
      <c r="G178" s="11"/>
      <c r="K178" s="4"/>
    </row>
    <row r="179" spans="2:11" x14ac:dyDescent="0.25">
      <c r="B179">
        <v>800</v>
      </c>
      <c r="C179" s="11" t="s">
        <v>12</v>
      </c>
      <c r="D179" s="11">
        <v>44874</v>
      </c>
      <c r="E179" s="11"/>
      <c r="F179" s="11"/>
      <c r="G179" s="11"/>
      <c r="K179" s="4"/>
    </row>
    <row r="180" spans="2:11" x14ac:dyDescent="0.25">
      <c r="B180">
        <v>-800</v>
      </c>
      <c r="C180" s="11" t="s">
        <v>13</v>
      </c>
      <c r="D180" s="11"/>
      <c r="E180" s="11"/>
      <c r="F180" s="11"/>
      <c r="G180" s="11"/>
      <c r="K180" s="4"/>
    </row>
    <row r="181" spans="2:11" x14ac:dyDescent="0.25">
      <c r="B181">
        <v>400</v>
      </c>
      <c r="C181" s="11" t="s">
        <v>12</v>
      </c>
      <c r="D181" s="11">
        <v>44881</v>
      </c>
      <c r="E181" s="11"/>
      <c r="F181" s="11"/>
      <c r="G181" s="11"/>
      <c r="K181" s="4"/>
    </row>
    <row r="182" spans="2:11" x14ac:dyDescent="0.25">
      <c r="B182">
        <v>-400</v>
      </c>
      <c r="C182" s="11" t="s">
        <v>13</v>
      </c>
      <c r="D182" s="11"/>
      <c r="E182" s="11"/>
      <c r="F182" s="11"/>
      <c r="G182" s="11"/>
      <c r="K182" s="4"/>
    </row>
    <row r="183" spans="2:11" x14ac:dyDescent="0.25">
      <c r="B183">
        <v>800</v>
      </c>
      <c r="C183" s="11" t="s">
        <v>12</v>
      </c>
      <c r="D183" s="11">
        <v>44883</v>
      </c>
      <c r="E183" s="11"/>
      <c r="F183" s="11"/>
      <c r="G183" s="11"/>
      <c r="K183" s="4"/>
    </row>
    <row r="184" spans="2:11" x14ac:dyDescent="0.25">
      <c r="B184">
        <v>-800</v>
      </c>
      <c r="C184" s="11" t="s">
        <v>13</v>
      </c>
      <c r="D184" s="11"/>
      <c r="E184" s="11"/>
      <c r="F184" s="11"/>
      <c r="G184" s="11"/>
      <c r="K184" s="4"/>
    </row>
    <row r="185" spans="2:11" x14ac:dyDescent="0.25">
      <c r="B185">
        <v>400</v>
      </c>
      <c r="C185" s="11" t="s">
        <v>12</v>
      </c>
      <c r="D185" s="11">
        <v>44891</v>
      </c>
      <c r="E185" s="11"/>
      <c r="F185" s="11"/>
      <c r="G185" s="11"/>
      <c r="K185" s="4"/>
    </row>
    <row r="186" spans="2:11" x14ac:dyDescent="0.25">
      <c r="B186">
        <v>-400</v>
      </c>
      <c r="C186" s="11" t="s">
        <v>13</v>
      </c>
      <c r="D186" s="11">
        <v>44891</v>
      </c>
      <c r="E186" s="11"/>
      <c r="F186" s="11"/>
      <c r="G186" s="11"/>
      <c r="K186" s="4"/>
    </row>
    <row r="187" spans="2:11" x14ac:dyDescent="0.25">
      <c r="B187">
        <v>400</v>
      </c>
      <c r="C187" s="11" t="s">
        <v>12</v>
      </c>
      <c r="D187" s="11">
        <v>44900</v>
      </c>
      <c r="E187" s="11"/>
      <c r="F187" s="11"/>
      <c r="G187" s="11"/>
      <c r="K187" s="4"/>
    </row>
    <row r="188" spans="2:11" x14ac:dyDescent="0.25">
      <c r="B188">
        <v>-400</v>
      </c>
      <c r="C188" s="11" t="s">
        <v>13</v>
      </c>
      <c r="D188" s="11"/>
      <c r="E188" s="11"/>
      <c r="F188" s="11"/>
      <c r="G188" s="11"/>
      <c r="K188" s="4"/>
    </row>
    <row r="189" spans="2:11" x14ac:dyDescent="0.25">
      <c r="B189">
        <v>400</v>
      </c>
      <c r="C189" s="11" t="s">
        <v>74</v>
      </c>
      <c r="D189" s="11">
        <v>44905</v>
      </c>
      <c r="E189" s="11"/>
      <c r="F189" s="11"/>
      <c r="G189" s="11"/>
      <c r="K189" s="4"/>
    </row>
    <row r="190" spans="2:11" x14ac:dyDescent="0.25">
      <c r="B190">
        <v>-400</v>
      </c>
      <c r="C190" s="11" t="s">
        <v>93</v>
      </c>
      <c r="D190" s="11"/>
      <c r="E190" s="11"/>
      <c r="F190" s="11"/>
      <c r="G190" s="11"/>
      <c r="K190" s="4"/>
    </row>
    <row r="191" spans="2:11" x14ac:dyDescent="0.25">
      <c r="B191">
        <v>800</v>
      </c>
      <c r="C191" s="11" t="s">
        <v>12</v>
      </c>
      <c r="D191" s="11"/>
      <c r="E191" s="11"/>
      <c r="F191" s="11"/>
      <c r="G191" s="11"/>
      <c r="K191" s="4"/>
    </row>
    <row r="192" spans="2:11" x14ac:dyDescent="0.25">
      <c r="B192">
        <v>-800</v>
      </c>
      <c r="C192" s="11" t="s">
        <v>13</v>
      </c>
      <c r="D192" s="11"/>
      <c r="E192" s="11"/>
      <c r="F192" s="11"/>
      <c r="G192" s="11"/>
      <c r="K192" s="4"/>
    </row>
    <row r="193" spans="2:11" x14ac:dyDescent="0.25">
      <c r="B193">
        <v>800</v>
      </c>
      <c r="C193" s="11" t="s">
        <v>12</v>
      </c>
      <c r="D193" s="11">
        <v>44911</v>
      </c>
      <c r="E193" s="11"/>
      <c r="F193" s="11"/>
      <c r="G193" s="11"/>
      <c r="K193" s="4"/>
    </row>
    <row r="194" spans="2:11" x14ac:dyDescent="0.25">
      <c r="B194">
        <v>-800</v>
      </c>
      <c r="C194" s="11" t="s">
        <v>13</v>
      </c>
      <c r="D194" s="11"/>
      <c r="E194" s="11"/>
      <c r="F194" s="11"/>
      <c r="G194" s="11"/>
      <c r="K194" s="4"/>
    </row>
    <row r="195" spans="2:11" x14ac:dyDescent="0.25">
      <c r="B195">
        <v>800</v>
      </c>
      <c r="C195" s="11" t="s">
        <v>12</v>
      </c>
      <c r="D195" s="11">
        <v>44916</v>
      </c>
      <c r="E195" s="11"/>
      <c r="F195" s="11"/>
      <c r="G195" s="11"/>
      <c r="K195" s="4"/>
    </row>
    <row r="196" spans="2:11" x14ac:dyDescent="0.25">
      <c r="B196">
        <v>-800</v>
      </c>
      <c r="C196" s="11" t="s">
        <v>13</v>
      </c>
      <c r="D196" s="11">
        <v>44916</v>
      </c>
      <c r="E196" s="11"/>
      <c r="F196" s="11"/>
      <c r="G196" s="11"/>
      <c r="K196" s="4"/>
    </row>
    <row r="197" spans="2:11" x14ac:dyDescent="0.25">
      <c r="B197">
        <v>800</v>
      </c>
      <c r="C197" s="11" t="s">
        <v>12</v>
      </c>
      <c r="D197" s="11">
        <v>44925</v>
      </c>
      <c r="E197" s="11"/>
      <c r="F197" s="11"/>
      <c r="G197" s="11"/>
      <c r="K197" s="4"/>
    </row>
    <row r="198" spans="2:11" x14ac:dyDescent="0.25">
      <c r="B198">
        <v>-800</v>
      </c>
      <c r="C198" s="11" t="s">
        <v>13</v>
      </c>
      <c r="D198" s="11">
        <v>44925</v>
      </c>
      <c r="E198" s="11"/>
      <c r="F198" s="11"/>
      <c r="G198" s="11"/>
      <c r="K198" s="4"/>
    </row>
    <row r="199" spans="2:11" x14ac:dyDescent="0.25">
      <c r="B199">
        <v>800</v>
      </c>
      <c r="C199" s="11" t="s">
        <v>74</v>
      </c>
      <c r="D199" s="11">
        <v>44930</v>
      </c>
      <c r="E199" s="11"/>
      <c r="F199" s="11"/>
      <c r="G199" s="11"/>
      <c r="K199" s="4"/>
    </row>
    <row r="200" spans="2:11" x14ac:dyDescent="0.25">
      <c r="B200">
        <v>-800</v>
      </c>
      <c r="C200" s="11" t="s">
        <v>13</v>
      </c>
      <c r="D200" s="11">
        <v>44930</v>
      </c>
      <c r="E200" s="11"/>
      <c r="F200" s="11"/>
      <c r="G200" s="11"/>
      <c r="K200" s="4"/>
    </row>
    <row r="201" spans="2:11" x14ac:dyDescent="0.25">
      <c r="B201">
        <v>1200</v>
      </c>
      <c r="C201" s="11" t="s">
        <v>12</v>
      </c>
      <c r="D201" s="11">
        <v>44938</v>
      </c>
      <c r="E201" s="11"/>
      <c r="F201" s="11"/>
      <c r="G201" s="11"/>
      <c r="K201" s="4"/>
    </row>
    <row r="202" spans="2:11" x14ac:dyDescent="0.25">
      <c r="B202">
        <v>-1200</v>
      </c>
      <c r="C202" s="11" t="s">
        <v>13</v>
      </c>
      <c r="D202" s="11"/>
      <c r="E202" s="11"/>
      <c r="F202" s="11"/>
      <c r="G202" s="11"/>
      <c r="K202" s="4"/>
    </row>
    <row r="203" spans="2:11" x14ac:dyDescent="0.25">
      <c r="B203">
        <v>400</v>
      </c>
      <c r="C203" s="11" t="s">
        <v>12</v>
      </c>
      <c r="D203" s="11"/>
      <c r="E203" s="11"/>
      <c r="F203" s="11"/>
      <c r="G203" s="11"/>
      <c r="K203" s="4"/>
    </row>
    <row r="204" spans="2:11" x14ac:dyDescent="0.25">
      <c r="B204">
        <v>-400</v>
      </c>
      <c r="C204" s="11" t="s">
        <v>93</v>
      </c>
      <c r="D204" s="11"/>
      <c r="E204" s="11"/>
      <c r="F204" s="11"/>
      <c r="G204" s="11"/>
      <c r="K204" s="4"/>
    </row>
    <row r="205" spans="2:11" x14ac:dyDescent="0.25">
      <c r="B205">
        <v>800</v>
      </c>
      <c r="C205" s="11" t="s">
        <v>74</v>
      </c>
      <c r="D205" s="11"/>
      <c r="E205" s="11"/>
      <c r="F205" s="11"/>
      <c r="G205" s="11"/>
      <c r="K205" s="4"/>
    </row>
    <row r="206" spans="2:11" x14ac:dyDescent="0.25">
      <c r="B206">
        <v>-800</v>
      </c>
      <c r="C206" s="11" t="s">
        <v>13</v>
      </c>
      <c r="D206" s="11">
        <v>44951</v>
      </c>
      <c r="E206" s="11"/>
      <c r="F206" s="11"/>
      <c r="G206" s="11"/>
      <c r="K206" s="4"/>
    </row>
    <row r="207" spans="2:11" x14ac:dyDescent="0.25">
      <c r="B207">
        <v>800</v>
      </c>
      <c r="C207" s="11" t="s">
        <v>12</v>
      </c>
      <c r="D207" s="11">
        <v>44960</v>
      </c>
      <c r="E207" s="11"/>
      <c r="F207" s="11"/>
      <c r="G207" s="11"/>
      <c r="K207" s="4"/>
    </row>
    <row r="208" spans="2:11" x14ac:dyDescent="0.25">
      <c r="B208">
        <v>-800</v>
      </c>
      <c r="C208" s="11" t="s">
        <v>13</v>
      </c>
      <c r="D208" s="11"/>
      <c r="E208" s="11"/>
      <c r="F208" s="11"/>
      <c r="G208" s="11"/>
      <c r="K208" s="4"/>
    </row>
    <row r="209" spans="2:11" x14ac:dyDescent="0.25">
      <c r="B209">
        <v>400</v>
      </c>
      <c r="C209" s="11" t="s">
        <v>12</v>
      </c>
      <c r="D209" s="11"/>
      <c r="E209" s="11"/>
      <c r="F209" s="11"/>
      <c r="G209" s="11"/>
      <c r="K209" s="4"/>
    </row>
    <row r="210" spans="2:11" x14ac:dyDescent="0.25">
      <c r="B210">
        <v>-400</v>
      </c>
      <c r="C210" s="11" t="s">
        <v>13</v>
      </c>
      <c r="D210" s="11">
        <v>44965</v>
      </c>
      <c r="E210" s="11"/>
      <c r="F210" s="11"/>
      <c r="G210" s="11"/>
      <c r="K210" s="4"/>
    </row>
    <row r="211" spans="2:11" x14ac:dyDescent="0.25">
      <c r="B211">
        <v>400</v>
      </c>
      <c r="C211" s="11" t="s">
        <v>12</v>
      </c>
      <c r="D211" s="11">
        <v>44988</v>
      </c>
      <c r="E211" s="11"/>
      <c r="F211" s="11"/>
      <c r="G211" s="11"/>
      <c r="K211" s="4"/>
    </row>
    <row r="212" spans="2:11" ht="14.25" customHeight="1" x14ac:dyDescent="0.25">
      <c r="B212">
        <v>-400</v>
      </c>
      <c r="C212" s="11" t="s">
        <v>13</v>
      </c>
      <c r="D212" s="11"/>
      <c r="E212" s="11"/>
      <c r="F212" s="11"/>
      <c r="G212" s="11"/>
      <c r="K212" s="4"/>
    </row>
    <row r="213" spans="2:11" ht="14.25" customHeight="1" x14ac:dyDescent="0.25">
      <c r="B213">
        <v>800</v>
      </c>
      <c r="C213" s="11" t="s">
        <v>12</v>
      </c>
      <c r="D213" s="11"/>
      <c r="E213" s="11"/>
      <c r="F213" s="11"/>
      <c r="G213" s="11"/>
      <c r="K213" s="4"/>
    </row>
    <row r="214" spans="2:11" ht="14.25" customHeight="1" x14ac:dyDescent="0.25">
      <c r="B214">
        <v>-800</v>
      </c>
      <c r="C214" s="11" t="s">
        <v>13</v>
      </c>
      <c r="D214" s="11">
        <v>44992</v>
      </c>
      <c r="E214" s="11"/>
      <c r="F214" s="11"/>
      <c r="G214" s="11"/>
      <c r="K214" s="4"/>
    </row>
    <row r="215" spans="2:11" ht="14.25" customHeight="1" x14ac:dyDescent="0.25">
      <c r="B215">
        <v>800</v>
      </c>
      <c r="C215" s="11" t="s">
        <v>12</v>
      </c>
      <c r="D215" s="11">
        <v>44996</v>
      </c>
      <c r="E215" s="11"/>
      <c r="F215" s="11"/>
      <c r="G215" s="11"/>
      <c r="K215" s="4"/>
    </row>
    <row r="216" spans="2:11" ht="14.25" customHeight="1" x14ac:dyDescent="0.25">
      <c r="B216">
        <v>-800</v>
      </c>
      <c r="C216" s="11" t="s">
        <v>13</v>
      </c>
      <c r="D216" s="11">
        <v>44996</v>
      </c>
      <c r="E216" s="11"/>
      <c r="F216" s="11"/>
      <c r="G216" s="11"/>
      <c r="K216" s="4"/>
    </row>
    <row r="217" spans="2:11" ht="14.25" customHeight="1" x14ac:dyDescent="0.25">
      <c r="B217">
        <v>400</v>
      </c>
      <c r="C217" s="11" t="s">
        <v>12</v>
      </c>
      <c r="D217" s="11">
        <v>45024</v>
      </c>
      <c r="E217" s="11"/>
      <c r="F217" s="11"/>
      <c r="G217" s="11"/>
      <c r="K217" s="4"/>
    </row>
    <row r="218" spans="2:11" ht="14.25" customHeight="1" x14ac:dyDescent="0.25">
      <c r="B218">
        <v>-400</v>
      </c>
      <c r="C218" s="11" t="s">
        <v>13</v>
      </c>
      <c r="D218" s="11">
        <v>45024</v>
      </c>
      <c r="E218" s="11"/>
      <c r="F218" s="11"/>
      <c r="G218" s="11"/>
      <c r="K218" s="4"/>
    </row>
    <row r="219" spans="2:11" ht="14.25" customHeight="1" x14ac:dyDescent="0.25">
      <c r="B219">
        <v>400</v>
      </c>
      <c r="C219" s="11" t="s">
        <v>12</v>
      </c>
      <c r="D219" s="11">
        <v>45034</v>
      </c>
      <c r="E219" s="11"/>
      <c r="F219" s="11"/>
      <c r="G219" s="11"/>
      <c r="K219" s="4"/>
    </row>
    <row r="220" spans="2:11" ht="14.25" customHeight="1" x14ac:dyDescent="0.25">
      <c r="B220">
        <v>-400</v>
      </c>
      <c r="C220" s="11" t="s">
        <v>13</v>
      </c>
      <c r="D220" s="11"/>
      <c r="E220" s="11"/>
      <c r="F220" s="11"/>
      <c r="G220" s="11"/>
      <c r="K220" s="4"/>
    </row>
    <row r="221" spans="2:11" ht="14.25" customHeight="1" x14ac:dyDescent="0.25">
      <c r="B221">
        <v>800</v>
      </c>
      <c r="C221" s="11" t="s">
        <v>12</v>
      </c>
      <c r="D221" s="11">
        <v>45038</v>
      </c>
      <c r="E221" s="11"/>
      <c r="F221" s="11"/>
      <c r="G221" s="11"/>
      <c r="K221" s="4"/>
    </row>
    <row r="222" spans="2:11" ht="14.25" customHeight="1" x14ac:dyDescent="0.25">
      <c r="B222">
        <v>-800</v>
      </c>
      <c r="C222" s="11" t="s">
        <v>13</v>
      </c>
      <c r="D222" s="11">
        <v>45038</v>
      </c>
      <c r="E222" s="11"/>
      <c r="F222" s="11"/>
      <c r="G222" s="11"/>
      <c r="K222" s="4"/>
    </row>
    <row r="223" spans="2:11" ht="14.25" customHeight="1" x14ac:dyDescent="0.25">
      <c r="B223">
        <v>800</v>
      </c>
      <c r="C223" s="11" t="s">
        <v>74</v>
      </c>
      <c r="D223" s="11">
        <v>45048</v>
      </c>
      <c r="E223" s="11"/>
      <c r="F223" s="11"/>
      <c r="G223" s="11"/>
      <c r="K223" s="4"/>
    </row>
    <row r="224" spans="2:11" ht="14.25" customHeight="1" x14ac:dyDescent="0.25">
      <c r="B224">
        <v>-800</v>
      </c>
      <c r="C224" s="11" t="s">
        <v>13</v>
      </c>
      <c r="D224" s="11">
        <v>45048</v>
      </c>
      <c r="E224" s="11"/>
      <c r="F224" s="11"/>
      <c r="G224" s="11"/>
      <c r="K224" s="4"/>
    </row>
    <row r="225" spans="2:11" ht="14.25" customHeight="1" x14ac:dyDescent="0.25">
      <c r="B225">
        <v>-1600</v>
      </c>
      <c r="C225" s="11" t="s">
        <v>13</v>
      </c>
      <c r="D225" s="11"/>
      <c r="E225" s="11"/>
      <c r="F225" s="11"/>
      <c r="G225" s="11"/>
      <c r="K225" s="4"/>
    </row>
    <row r="226" spans="2:11" ht="14.25" customHeight="1" x14ac:dyDescent="0.25">
      <c r="B226">
        <v>1600</v>
      </c>
      <c r="C226" s="11" t="s">
        <v>74</v>
      </c>
      <c r="D226" s="11">
        <v>45051</v>
      </c>
      <c r="E226" s="11"/>
      <c r="F226" s="11"/>
      <c r="G226" s="11"/>
      <c r="K226" s="4"/>
    </row>
    <row r="227" spans="2:11" ht="14.25" customHeight="1" x14ac:dyDescent="0.25">
      <c r="B227">
        <v>400</v>
      </c>
      <c r="C227" s="11" t="s">
        <v>12</v>
      </c>
      <c r="D227" s="11">
        <v>45055</v>
      </c>
      <c r="E227" s="11"/>
      <c r="F227" s="11"/>
      <c r="G227" s="11"/>
      <c r="K227" s="4"/>
    </row>
    <row r="228" spans="2:11" ht="14.25" customHeight="1" x14ac:dyDescent="0.25">
      <c r="B228">
        <v>-400</v>
      </c>
      <c r="C228" s="11" t="s">
        <v>13</v>
      </c>
      <c r="D228" s="11"/>
      <c r="E228" s="11"/>
      <c r="F228" s="11"/>
      <c r="G228" s="11"/>
      <c r="K228" s="4"/>
    </row>
    <row r="229" spans="2:11" ht="14.25" customHeight="1" x14ac:dyDescent="0.25">
      <c r="B229">
        <v>400</v>
      </c>
      <c r="C229" s="11" t="s">
        <v>12</v>
      </c>
      <c r="D229" s="11">
        <v>45061</v>
      </c>
      <c r="E229" s="11"/>
      <c r="F229" s="11"/>
      <c r="G229" s="11"/>
      <c r="K229" s="4"/>
    </row>
    <row r="230" spans="2:11" ht="14.25" customHeight="1" x14ac:dyDescent="0.25">
      <c r="B230">
        <v>-400</v>
      </c>
      <c r="C230" s="11" t="s">
        <v>13</v>
      </c>
      <c r="D230" s="11">
        <v>45061</v>
      </c>
      <c r="E230" s="11"/>
      <c r="F230" s="11"/>
      <c r="G230" s="11"/>
      <c r="K230" s="4"/>
    </row>
    <row r="231" spans="2:11" ht="14.25" customHeight="1" x14ac:dyDescent="0.25">
      <c r="B231">
        <v>1800</v>
      </c>
      <c r="C231" s="11" t="s">
        <v>12</v>
      </c>
      <c r="D231" s="11">
        <v>45075</v>
      </c>
      <c r="E231" s="11"/>
      <c r="F231" s="11"/>
      <c r="G231" s="11"/>
      <c r="K231" s="4"/>
    </row>
    <row r="232" spans="2:11" ht="14.25" customHeight="1" x14ac:dyDescent="0.25">
      <c r="B232">
        <v>-1800</v>
      </c>
      <c r="C232" s="11" t="s">
        <v>13</v>
      </c>
      <c r="D232" s="11"/>
      <c r="E232" s="11"/>
      <c r="F232" s="11"/>
      <c r="G232" s="11"/>
      <c r="K232" s="4"/>
    </row>
    <row r="233" spans="2:11" ht="14.25" customHeight="1" x14ac:dyDescent="0.25">
      <c r="B233">
        <v>600</v>
      </c>
      <c r="C233" s="11" t="s">
        <v>12</v>
      </c>
      <c r="D233" s="11">
        <v>45093</v>
      </c>
      <c r="E233" s="11"/>
      <c r="F233" s="11"/>
      <c r="G233" s="11"/>
      <c r="K233" s="4"/>
    </row>
    <row r="234" spans="2:11" ht="14.25" customHeight="1" x14ac:dyDescent="0.25">
      <c r="B234">
        <v>-600</v>
      </c>
      <c r="C234" s="11" t="s">
        <v>13</v>
      </c>
      <c r="D234" s="11">
        <v>45093</v>
      </c>
      <c r="E234" s="11"/>
      <c r="F234" s="11"/>
      <c r="G234" s="11"/>
      <c r="K234" s="4"/>
    </row>
    <row r="235" spans="2:11" ht="14.25" customHeight="1" x14ac:dyDescent="0.25">
      <c r="B235">
        <v>1200</v>
      </c>
      <c r="C235" s="11" t="s">
        <v>74</v>
      </c>
      <c r="D235" s="11">
        <v>45108</v>
      </c>
      <c r="E235" s="11"/>
      <c r="F235" s="11"/>
      <c r="G235" s="11"/>
      <c r="K235" s="4"/>
    </row>
    <row r="236" spans="2:11" ht="14.25" customHeight="1" x14ac:dyDescent="0.25">
      <c r="B236">
        <v>-1200</v>
      </c>
      <c r="C236" s="11" t="s">
        <v>13</v>
      </c>
      <c r="D236" s="11">
        <v>45108</v>
      </c>
      <c r="E236" s="11"/>
      <c r="F236" s="11"/>
      <c r="G236" s="11"/>
      <c r="K236" s="4"/>
    </row>
    <row r="237" spans="2:11" ht="14.25" customHeight="1" x14ac:dyDescent="0.25">
      <c r="B237">
        <v>600</v>
      </c>
      <c r="C237" s="11" t="s">
        <v>12</v>
      </c>
      <c r="D237" s="11">
        <v>45126</v>
      </c>
      <c r="E237" s="11"/>
      <c r="F237" s="11"/>
      <c r="G237" s="11"/>
      <c r="K237" s="4"/>
    </row>
    <row r="238" spans="2:11" ht="14.25" customHeight="1" x14ac:dyDescent="0.25">
      <c r="B238">
        <v>-600</v>
      </c>
      <c r="C238" s="11" t="s">
        <v>13</v>
      </c>
      <c r="D238" s="11"/>
      <c r="E238" s="11"/>
      <c r="F238" s="11"/>
      <c r="G238" s="11"/>
      <c r="K238" s="4"/>
    </row>
    <row r="239" spans="2:11" ht="14.25" customHeight="1" x14ac:dyDescent="0.25">
      <c r="B239">
        <v>600</v>
      </c>
      <c r="C239" s="11" t="s">
        <v>12</v>
      </c>
      <c r="D239" s="11">
        <v>45134</v>
      </c>
      <c r="E239" s="11"/>
      <c r="F239" s="11"/>
      <c r="G239" s="11"/>
      <c r="K239" s="4"/>
    </row>
    <row r="240" spans="2:11" ht="14.25" customHeight="1" x14ac:dyDescent="0.25">
      <c r="B240">
        <v>-600</v>
      </c>
      <c r="C240" s="11" t="s">
        <v>13</v>
      </c>
      <c r="D240" s="11"/>
      <c r="E240" s="11"/>
      <c r="F240" s="11"/>
      <c r="G240" s="11"/>
      <c r="K240" s="4"/>
    </row>
    <row r="241" spans="2:11" ht="14.25" customHeight="1" x14ac:dyDescent="0.25">
      <c r="B241">
        <v>1200</v>
      </c>
      <c r="C241" s="11" t="s">
        <v>12</v>
      </c>
      <c r="D241" s="11">
        <v>45141</v>
      </c>
      <c r="E241" s="11"/>
      <c r="F241" s="11"/>
      <c r="G241" s="11"/>
      <c r="K241" s="4"/>
    </row>
    <row r="242" spans="2:11" ht="14.25" customHeight="1" x14ac:dyDescent="0.25">
      <c r="B242">
        <v>-1200</v>
      </c>
      <c r="C242" s="11" t="s">
        <v>13</v>
      </c>
      <c r="D242" s="11">
        <v>45141</v>
      </c>
      <c r="E242" s="11"/>
      <c r="F242" s="11"/>
      <c r="G242" s="11"/>
      <c r="K242" s="4"/>
    </row>
    <row r="243" spans="2:11" ht="14.25" customHeight="1" x14ac:dyDescent="0.25">
      <c r="B243">
        <v>1600</v>
      </c>
      <c r="C243" s="11" t="s">
        <v>12</v>
      </c>
      <c r="D243" s="11">
        <v>45145</v>
      </c>
      <c r="E243" s="11"/>
      <c r="F243" s="11"/>
      <c r="G243" s="11"/>
      <c r="K243" s="4"/>
    </row>
    <row r="244" spans="2:11" ht="14.25" customHeight="1" x14ac:dyDescent="0.25">
      <c r="B244">
        <v>-1600</v>
      </c>
      <c r="C244" s="11" t="s">
        <v>13</v>
      </c>
      <c r="D244" s="11"/>
      <c r="E244" s="11"/>
      <c r="F244" s="11"/>
      <c r="G244" s="11"/>
      <c r="K244" s="4"/>
    </row>
    <row r="245" spans="2:11" ht="14.25" customHeight="1" x14ac:dyDescent="0.25">
      <c r="B245">
        <v>1600</v>
      </c>
      <c r="C245" s="11" t="s">
        <v>12</v>
      </c>
      <c r="D245" s="11"/>
      <c r="E245" s="11"/>
      <c r="F245" s="11"/>
      <c r="G245" s="11"/>
      <c r="K245" s="4"/>
    </row>
    <row r="246" spans="2:11" ht="14.25" customHeight="1" x14ac:dyDescent="0.25">
      <c r="B246">
        <v>-1700</v>
      </c>
      <c r="C246" s="11" t="s">
        <v>13</v>
      </c>
      <c r="D246" s="11"/>
      <c r="E246" s="11"/>
      <c r="F246" s="11"/>
      <c r="G246" s="11"/>
      <c r="K246" s="4"/>
    </row>
    <row r="247" spans="2:11" ht="14.25" customHeight="1" x14ac:dyDescent="0.25">
      <c r="B247">
        <v>800</v>
      </c>
      <c r="C247" s="11" t="s">
        <v>12</v>
      </c>
      <c r="D247" s="11">
        <v>45168</v>
      </c>
      <c r="E247" s="11"/>
      <c r="F247" s="11"/>
      <c r="G247" s="11"/>
      <c r="K247" s="4"/>
    </row>
    <row r="248" spans="2:11" ht="14.25" customHeight="1" x14ac:dyDescent="0.25">
      <c r="B248">
        <v>-800</v>
      </c>
      <c r="C248" s="11" t="s">
        <v>13</v>
      </c>
      <c r="D248" s="11">
        <v>45168</v>
      </c>
      <c r="E248" s="11"/>
      <c r="F248" s="11"/>
      <c r="G248" s="11"/>
      <c r="K248" s="4"/>
    </row>
    <row r="249" spans="2:11" ht="14.25" customHeight="1" x14ac:dyDescent="0.25">
      <c r="B249">
        <v>1600</v>
      </c>
      <c r="C249" s="11" t="s">
        <v>12</v>
      </c>
      <c r="D249" s="11"/>
      <c r="E249" s="11"/>
      <c r="F249" s="11"/>
      <c r="G249" s="11"/>
      <c r="K249" s="4"/>
    </row>
    <row r="250" spans="2:11" ht="14.25" customHeight="1" x14ac:dyDescent="0.25">
      <c r="B250">
        <v>-1600</v>
      </c>
      <c r="C250" s="11" t="s">
        <v>13</v>
      </c>
      <c r="D250" s="11"/>
      <c r="E250" s="11"/>
      <c r="F250" s="11"/>
      <c r="G250" s="11"/>
      <c r="K250" s="4"/>
    </row>
    <row r="251" spans="2:11" ht="14.25" customHeight="1" x14ac:dyDescent="0.25">
      <c r="B251">
        <v>800</v>
      </c>
      <c r="C251" s="11" t="s">
        <v>12</v>
      </c>
      <c r="D251" s="11">
        <v>45175</v>
      </c>
      <c r="E251" s="11"/>
      <c r="F251" s="11"/>
      <c r="G251" s="11"/>
      <c r="K251" s="4"/>
    </row>
    <row r="252" spans="2:11" ht="14.25" customHeight="1" x14ac:dyDescent="0.25">
      <c r="B252">
        <v>-800</v>
      </c>
      <c r="C252" s="11" t="s">
        <v>13</v>
      </c>
      <c r="D252" s="11"/>
      <c r="E252" s="11"/>
      <c r="F252" s="11"/>
      <c r="G252" s="11"/>
      <c r="K252" s="4"/>
    </row>
    <row r="253" spans="2:11" ht="14.25" customHeight="1" x14ac:dyDescent="0.25">
      <c r="B253">
        <v>800</v>
      </c>
      <c r="C253" s="11" t="s">
        <v>12</v>
      </c>
      <c r="D253" s="11">
        <v>45209</v>
      </c>
      <c r="E253" s="11"/>
      <c r="F253" s="11"/>
      <c r="G253" s="11"/>
      <c r="K253" s="4"/>
    </row>
    <row r="254" spans="2:11" ht="14.25" customHeight="1" x14ac:dyDescent="0.25">
      <c r="B254">
        <v>-800</v>
      </c>
      <c r="C254" s="11" t="s">
        <v>13</v>
      </c>
      <c r="D254" s="11"/>
      <c r="E254" s="11"/>
      <c r="F254" s="11"/>
      <c r="G254" s="11"/>
      <c r="K254" s="4"/>
    </row>
    <row r="255" spans="2:11" ht="14.25" customHeight="1" x14ac:dyDescent="0.25">
      <c r="B255">
        <v>800</v>
      </c>
      <c r="C255" s="11" t="s">
        <v>12</v>
      </c>
      <c r="D255" s="11">
        <v>45217</v>
      </c>
      <c r="E255" s="11"/>
      <c r="F255" s="11"/>
      <c r="G255" s="11"/>
      <c r="K255" s="4"/>
    </row>
    <row r="256" spans="2:11" ht="14.25" customHeight="1" x14ac:dyDescent="0.25">
      <c r="B256">
        <v>-800</v>
      </c>
      <c r="C256" s="11" t="s">
        <v>13</v>
      </c>
      <c r="D256" s="11"/>
      <c r="E256" s="11"/>
      <c r="F256" s="11"/>
      <c r="G256" s="11"/>
      <c r="K256" s="4"/>
    </row>
    <row r="257" spans="2:11" ht="14.25" customHeight="1" x14ac:dyDescent="0.25">
      <c r="B257">
        <v>1600</v>
      </c>
      <c r="C257" s="11" t="s">
        <v>12</v>
      </c>
      <c r="D257" s="11">
        <v>45240</v>
      </c>
      <c r="E257" s="11"/>
      <c r="F257" s="11"/>
      <c r="G257" s="11"/>
      <c r="K257" s="4"/>
    </row>
    <row r="258" spans="2:11" ht="14.25" customHeight="1" x14ac:dyDescent="0.25">
      <c r="B258">
        <v>-1600</v>
      </c>
      <c r="C258" s="11" t="s">
        <v>13</v>
      </c>
      <c r="D258" s="11"/>
      <c r="E258" s="11"/>
      <c r="F258" s="11"/>
      <c r="G258" s="11"/>
      <c r="K258" s="4"/>
    </row>
    <row r="259" spans="2:11" ht="14.25" customHeight="1" x14ac:dyDescent="0.25">
      <c r="B259">
        <v>800</v>
      </c>
      <c r="C259" s="11" t="s">
        <v>12</v>
      </c>
      <c r="D259" s="11"/>
      <c r="E259" s="11"/>
      <c r="F259" s="11"/>
      <c r="G259" s="11"/>
      <c r="K259" s="4"/>
    </row>
    <row r="260" spans="2:11" ht="14.25" customHeight="1" x14ac:dyDescent="0.25">
      <c r="B260">
        <v>-800</v>
      </c>
      <c r="C260" s="11" t="s">
        <v>13</v>
      </c>
      <c r="D260" s="11"/>
      <c r="E260" s="11"/>
      <c r="F260" s="11"/>
      <c r="G260" s="11"/>
      <c r="K260" s="4"/>
    </row>
    <row r="261" spans="2:11" ht="14.25" customHeight="1" x14ac:dyDescent="0.25">
      <c r="B261">
        <v>2400</v>
      </c>
      <c r="C261" s="11" t="s">
        <v>12</v>
      </c>
      <c r="D261" s="11"/>
      <c r="E261" s="11"/>
      <c r="F261" s="11"/>
      <c r="G261" s="11"/>
      <c r="K261" s="4"/>
    </row>
    <row r="262" spans="2:11" ht="14.25" customHeight="1" x14ac:dyDescent="0.25">
      <c r="B262">
        <v>-4000</v>
      </c>
      <c r="C262" s="11" t="s">
        <v>13</v>
      </c>
      <c r="D262" s="11">
        <v>45264</v>
      </c>
      <c r="E262" s="11"/>
      <c r="F262" s="11"/>
      <c r="G262" s="11"/>
      <c r="K262" s="4"/>
    </row>
    <row r="263" spans="2:11" ht="14.25" customHeight="1" x14ac:dyDescent="0.25">
      <c r="B263">
        <v>1200</v>
      </c>
      <c r="C263" s="11" t="s">
        <v>12</v>
      </c>
      <c r="D263" s="11">
        <v>45283</v>
      </c>
      <c r="E263" s="11"/>
      <c r="F263" s="11"/>
      <c r="G263" s="11"/>
      <c r="K263" s="4"/>
    </row>
    <row r="264" spans="2:11" ht="14.25" customHeight="1" x14ac:dyDescent="0.25">
      <c r="B264">
        <v>-1200</v>
      </c>
      <c r="C264" s="11" t="s">
        <v>13</v>
      </c>
      <c r="D264" s="11">
        <v>45283</v>
      </c>
      <c r="E264" s="11"/>
      <c r="F264" s="11"/>
      <c r="G264" s="11"/>
      <c r="K264" s="4"/>
    </row>
    <row r="265" spans="2:11" ht="14.25" customHeight="1" x14ac:dyDescent="0.25">
      <c r="B265">
        <v>1200</v>
      </c>
      <c r="C265" s="11" t="s">
        <v>12</v>
      </c>
      <c r="D265" s="11">
        <v>45290</v>
      </c>
      <c r="E265" s="11"/>
      <c r="F265" s="11"/>
      <c r="G265" s="11"/>
      <c r="K265" s="4"/>
    </row>
    <row r="266" spans="2:11" ht="14.25" customHeight="1" x14ac:dyDescent="0.25">
      <c r="B266">
        <v>-1200</v>
      </c>
      <c r="C266" s="11" t="s">
        <v>13</v>
      </c>
      <c r="D266" s="11"/>
      <c r="E266" s="11"/>
      <c r="F266" s="11"/>
      <c r="G266" s="11"/>
      <c r="K266" s="4"/>
    </row>
    <row r="267" spans="2:11" ht="14.25" customHeight="1" x14ac:dyDescent="0.25">
      <c r="B267">
        <v>2400</v>
      </c>
      <c r="C267" s="11" t="s">
        <v>12</v>
      </c>
      <c r="D267" s="11">
        <v>45331</v>
      </c>
      <c r="E267" s="11"/>
      <c r="F267" s="11"/>
      <c r="G267" s="11"/>
      <c r="K267" s="4"/>
    </row>
    <row r="268" spans="2:11" ht="14.25" customHeight="1" x14ac:dyDescent="0.25">
      <c r="B268">
        <v>-2400</v>
      </c>
      <c r="C268" s="11" t="s">
        <v>13</v>
      </c>
      <c r="D268" s="11"/>
      <c r="E268" s="11"/>
      <c r="F268" s="11"/>
      <c r="G268" s="11"/>
      <c r="K268" s="4"/>
    </row>
    <row r="269" spans="2:11" ht="14.25" customHeight="1" x14ac:dyDescent="0.25">
      <c r="B269">
        <v>-15000</v>
      </c>
      <c r="C269" s="11" t="s">
        <v>246</v>
      </c>
      <c r="D269" s="11"/>
      <c r="E269" s="11"/>
      <c r="F269" s="11"/>
      <c r="G269" s="11"/>
      <c r="K269" s="4"/>
    </row>
    <row r="270" spans="2:11" ht="14.25" customHeight="1" x14ac:dyDescent="0.25">
      <c r="B270">
        <v>15400</v>
      </c>
      <c r="C270" s="11" t="s">
        <v>12</v>
      </c>
      <c r="D270" s="11">
        <v>45357</v>
      </c>
      <c r="E270" s="11"/>
      <c r="F270" s="11"/>
      <c r="G270" s="11"/>
      <c r="K270" s="4"/>
    </row>
    <row r="271" spans="2:11" ht="14.25" customHeight="1" x14ac:dyDescent="0.25">
      <c r="B271">
        <v>-7000</v>
      </c>
      <c r="C271" s="11" t="s">
        <v>13</v>
      </c>
      <c r="D271" s="11">
        <v>45357</v>
      </c>
      <c r="E271" s="11"/>
      <c r="F271" s="11"/>
      <c r="G271" s="11"/>
      <c r="K271" s="4"/>
    </row>
    <row r="272" spans="2:11" ht="14.25" customHeight="1" x14ac:dyDescent="0.25">
      <c r="B272">
        <v>1200</v>
      </c>
      <c r="C272" s="11" t="s">
        <v>12</v>
      </c>
      <c r="D272" s="11">
        <v>45362</v>
      </c>
      <c r="E272" s="11"/>
      <c r="F272" s="11"/>
      <c r="G272" s="11"/>
      <c r="K272" s="4"/>
    </row>
    <row r="273" spans="2:11" ht="14.25" customHeight="1" x14ac:dyDescent="0.25">
      <c r="B273">
        <v>-1200</v>
      </c>
      <c r="C273" s="11" t="s">
        <v>13</v>
      </c>
      <c r="D273" s="11"/>
      <c r="E273" s="11"/>
      <c r="F273" s="11"/>
      <c r="G273" s="11"/>
      <c r="K273" s="4"/>
    </row>
    <row r="274" spans="2:11" ht="14.25" customHeight="1" x14ac:dyDescent="0.25">
      <c r="B274">
        <v>1200</v>
      </c>
      <c r="C274" s="11" t="s">
        <v>12</v>
      </c>
      <c r="D274" s="11">
        <v>45391</v>
      </c>
      <c r="E274" s="11"/>
      <c r="F274" s="11"/>
      <c r="G274" s="11"/>
      <c r="K274" s="4"/>
    </row>
    <row r="275" spans="2:11" ht="14.25" customHeight="1" x14ac:dyDescent="0.25">
      <c r="B275">
        <v>-1200</v>
      </c>
      <c r="C275" s="11" t="s">
        <v>13</v>
      </c>
      <c r="D275" s="11"/>
      <c r="E275" s="11"/>
      <c r="F275" s="11"/>
      <c r="G275" s="11"/>
      <c r="K275" s="4"/>
    </row>
    <row r="276" spans="2:11" ht="14.25" customHeight="1" x14ac:dyDescent="0.25">
      <c r="B276">
        <v>1200</v>
      </c>
      <c r="C276" s="11" t="s">
        <v>12</v>
      </c>
      <c r="D276" s="11"/>
      <c r="E276" s="11"/>
      <c r="F276" s="11"/>
      <c r="G276" s="11"/>
      <c r="K276" s="4"/>
    </row>
    <row r="277" spans="2:11" ht="14.25" customHeight="1" x14ac:dyDescent="0.25">
      <c r="B277">
        <v>-30000</v>
      </c>
      <c r="C277" s="11" t="s">
        <v>93</v>
      </c>
      <c r="D277" s="11">
        <v>45472</v>
      </c>
      <c r="E277" s="11"/>
      <c r="F277" s="11"/>
      <c r="G277" s="11"/>
      <c r="K277" s="4"/>
    </row>
    <row r="278" spans="2:11" ht="14.25" customHeight="1" x14ac:dyDescent="0.25">
      <c r="B278">
        <v>22750</v>
      </c>
      <c r="C278" s="11" t="s">
        <v>12</v>
      </c>
      <c r="D278" s="11">
        <v>45477</v>
      </c>
      <c r="E278" s="11"/>
      <c r="F278" s="11"/>
      <c r="G278" s="11"/>
      <c r="K278" s="4"/>
    </row>
    <row r="279" spans="2:11" ht="14.25" customHeight="1" x14ac:dyDescent="0.25">
      <c r="B279">
        <v>55900</v>
      </c>
      <c r="C279" s="11" t="s">
        <v>12</v>
      </c>
      <c r="D279" s="11">
        <v>45532</v>
      </c>
      <c r="E279" s="11"/>
      <c r="F279" s="11"/>
      <c r="G279" s="11"/>
      <c r="K279" s="4"/>
    </row>
    <row r="280" spans="2:11" ht="14.25" customHeight="1" x14ac:dyDescent="0.25">
      <c r="B280">
        <v>-50000</v>
      </c>
      <c r="C280" s="11" t="s">
        <v>13</v>
      </c>
      <c r="D280" s="11">
        <v>45532</v>
      </c>
      <c r="E280" s="11"/>
      <c r="F280" s="11"/>
      <c r="G280" s="11"/>
      <c r="K280" s="4"/>
    </row>
    <row r="281" spans="2:11" ht="14.25" customHeight="1" x14ac:dyDescent="0.25">
      <c r="B281">
        <v>8600</v>
      </c>
      <c r="C281" s="11" t="s">
        <v>12</v>
      </c>
      <c r="D281" s="11">
        <v>45537</v>
      </c>
      <c r="E281" s="11"/>
      <c r="F281" s="11"/>
      <c r="G281" s="11"/>
      <c r="K281" s="4"/>
    </row>
    <row r="282" spans="2:11" ht="14.25" customHeight="1" x14ac:dyDescent="0.25">
      <c r="B282">
        <v>-8600</v>
      </c>
      <c r="C282" s="11" t="s">
        <v>13</v>
      </c>
      <c r="D282" s="11">
        <v>45537</v>
      </c>
      <c r="E282" s="11"/>
      <c r="F282" s="11"/>
      <c r="G282" s="11"/>
      <c r="K282" s="4"/>
    </row>
    <row r="283" spans="2:11" ht="14.25" customHeight="1" x14ac:dyDescent="0.25">
      <c r="B283">
        <v>4500</v>
      </c>
      <c r="C283" s="11" t="s">
        <v>12</v>
      </c>
      <c r="D283" s="11">
        <v>45574</v>
      </c>
      <c r="E283" s="11"/>
      <c r="F283" s="11"/>
      <c r="G283" s="11"/>
      <c r="K283" s="4"/>
    </row>
    <row r="284" spans="2:11" ht="14.25" customHeight="1" x14ac:dyDescent="0.25">
      <c r="B284">
        <v>-4500</v>
      </c>
      <c r="C284" s="11" t="s">
        <v>13</v>
      </c>
      <c r="D284" s="11">
        <v>45574</v>
      </c>
      <c r="E284" s="11"/>
      <c r="F284" s="11"/>
      <c r="G284" s="11"/>
      <c r="K284" s="4"/>
    </row>
    <row r="285" spans="2:11" ht="14.25" customHeight="1" x14ac:dyDescent="0.25">
      <c r="B285">
        <v>4700</v>
      </c>
      <c r="C285" s="11" t="s">
        <v>12</v>
      </c>
      <c r="D285" s="11">
        <v>45595</v>
      </c>
      <c r="E285" s="11"/>
      <c r="F285" s="11"/>
      <c r="G285" s="11"/>
      <c r="K285" s="4"/>
    </row>
    <row r="286" spans="2:11" ht="14.25" customHeight="1" x14ac:dyDescent="0.25">
      <c r="B286">
        <v>-5000</v>
      </c>
      <c r="C286" s="11" t="s">
        <v>13</v>
      </c>
      <c r="D286" s="11">
        <v>45595</v>
      </c>
      <c r="E286" s="11"/>
      <c r="F286" s="11"/>
      <c r="G286" s="11"/>
      <c r="K286" s="4"/>
    </row>
    <row r="287" spans="2:11" ht="14.25" customHeight="1" x14ac:dyDescent="0.25">
      <c r="B287">
        <v>9400</v>
      </c>
      <c r="C287" s="11" t="s">
        <v>12</v>
      </c>
      <c r="D287" s="11">
        <v>45618</v>
      </c>
      <c r="E287" s="11"/>
      <c r="F287" s="11"/>
      <c r="G287" s="11"/>
      <c r="K287" s="4"/>
    </row>
    <row r="288" spans="2:11" ht="14.25" customHeight="1" x14ac:dyDescent="0.25">
      <c r="B288">
        <v>-9400</v>
      </c>
      <c r="C288" s="11" t="s">
        <v>13</v>
      </c>
      <c r="D288" s="11"/>
      <c r="E288" s="11"/>
      <c r="F288" s="11"/>
      <c r="G288" s="11"/>
      <c r="K288" s="4"/>
    </row>
    <row r="289" spans="2:11" ht="14.25" customHeight="1" x14ac:dyDescent="0.25">
      <c r="B289">
        <v>4900</v>
      </c>
      <c r="C289" s="11" t="s">
        <v>138</v>
      </c>
      <c r="D289" s="11">
        <v>45631</v>
      </c>
      <c r="E289" s="11"/>
      <c r="F289" s="11"/>
      <c r="G289" s="11"/>
      <c r="K289" s="4"/>
    </row>
    <row r="290" spans="2:11" ht="14.25" customHeight="1" x14ac:dyDescent="0.25">
      <c r="B290">
        <v>-5000</v>
      </c>
      <c r="C290" s="11" t="s">
        <v>13</v>
      </c>
      <c r="D290" s="11"/>
      <c r="E290" s="11"/>
      <c r="F290" s="11"/>
      <c r="G290" s="11"/>
      <c r="K290" s="4"/>
    </row>
    <row r="291" spans="2:11" ht="14.25" customHeight="1" x14ac:dyDescent="0.25">
      <c r="B291">
        <v>5100</v>
      </c>
      <c r="C291" s="11" t="s">
        <v>138</v>
      </c>
      <c r="D291" s="11">
        <v>45652</v>
      </c>
      <c r="E291" s="11"/>
      <c r="F291" s="11"/>
      <c r="G291" s="11"/>
      <c r="K291" s="4"/>
    </row>
    <row r="292" spans="2:11" ht="14.25" customHeight="1" x14ac:dyDescent="0.25">
      <c r="B292">
        <v>-5100</v>
      </c>
      <c r="C292" s="11" t="s">
        <v>13</v>
      </c>
      <c r="D292" s="11">
        <v>45652</v>
      </c>
      <c r="E292" s="11"/>
      <c r="F292" s="11"/>
      <c r="G292" s="11"/>
      <c r="K292" s="4"/>
    </row>
    <row r="293" spans="2:11" ht="14.25" customHeight="1" x14ac:dyDescent="0.25">
      <c r="B293">
        <v>10200</v>
      </c>
      <c r="C293" s="11" t="s">
        <v>12</v>
      </c>
      <c r="D293" s="11"/>
      <c r="E293" s="11"/>
      <c r="F293" s="11"/>
      <c r="G293" s="11"/>
      <c r="K293" s="4"/>
    </row>
    <row r="294" spans="2:11" ht="14.25" customHeight="1" x14ac:dyDescent="0.25">
      <c r="B294">
        <v>-10200</v>
      </c>
      <c r="C294" s="11" t="s">
        <v>13</v>
      </c>
      <c r="D294" s="11">
        <v>45666</v>
      </c>
      <c r="E294" s="11"/>
      <c r="F294" s="11"/>
      <c r="G294" s="11"/>
      <c r="K294" s="4"/>
    </row>
    <row r="295" spans="2:11" ht="14.25" customHeight="1" x14ac:dyDescent="0.25">
      <c r="B295">
        <v>5100</v>
      </c>
      <c r="C295" s="11" t="s">
        <v>12</v>
      </c>
      <c r="D295" s="11"/>
      <c r="E295" s="11"/>
      <c r="F295" s="11"/>
      <c r="G295" s="11"/>
      <c r="K295" s="4"/>
    </row>
    <row r="296" spans="2:11" ht="14.25" customHeight="1" x14ac:dyDescent="0.25">
      <c r="B296">
        <v>-5100</v>
      </c>
      <c r="C296" s="11" t="s">
        <v>13</v>
      </c>
      <c r="D296" s="11">
        <v>45701</v>
      </c>
      <c r="E296" s="11"/>
      <c r="F296" s="11"/>
      <c r="G296" s="11"/>
      <c r="K296" s="4"/>
    </row>
    <row r="297" spans="2:11" ht="14.25" customHeight="1" x14ac:dyDescent="0.25">
      <c r="B297">
        <v>21100</v>
      </c>
      <c r="C297" s="11" t="s">
        <v>12</v>
      </c>
      <c r="D297" s="11">
        <v>45766</v>
      </c>
      <c r="E297" s="11"/>
      <c r="F297" s="11"/>
      <c r="G297" s="11"/>
      <c r="K297" s="4"/>
    </row>
    <row r="298" spans="2:11" ht="14.25" customHeight="1" x14ac:dyDescent="0.25">
      <c r="B298">
        <v>-21100</v>
      </c>
      <c r="C298" s="11" t="s">
        <v>13</v>
      </c>
      <c r="D298" s="11">
        <v>45766</v>
      </c>
      <c r="E298" s="11"/>
      <c r="F298" s="11"/>
      <c r="G298" s="11"/>
      <c r="K298" s="4"/>
    </row>
    <row r="299" spans="2:11" ht="14.25" customHeight="1" x14ac:dyDescent="0.25">
      <c r="B299">
        <v>-100000</v>
      </c>
      <c r="C299" s="11" t="s">
        <v>13</v>
      </c>
      <c r="D299" s="11"/>
      <c r="E299" s="11"/>
      <c r="F299" s="11"/>
      <c r="G299" s="11"/>
      <c r="K299" s="4"/>
    </row>
    <row r="300" spans="2:11" ht="14.25" customHeight="1" x14ac:dyDescent="0.25">
      <c r="B300">
        <v>10200</v>
      </c>
      <c r="C300" s="11" t="s">
        <v>74</v>
      </c>
      <c r="D300" s="11"/>
      <c r="E300" s="11"/>
      <c r="F300" s="11"/>
      <c r="G300" s="11"/>
      <c r="K300" s="4"/>
    </row>
    <row r="301" spans="2:11" ht="14.25" customHeight="1" x14ac:dyDescent="0.25">
      <c r="B301">
        <v>-10200</v>
      </c>
      <c r="C301" s="11" t="s">
        <v>13</v>
      </c>
      <c r="D301" s="11">
        <v>45769</v>
      </c>
      <c r="E301" s="11"/>
      <c r="F301" s="11"/>
      <c r="G301" s="11"/>
      <c r="K301" s="4"/>
    </row>
    <row r="302" spans="2:11" ht="14.25" customHeight="1" x14ac:dyDescent="0.25">
      <c r="B302">
        <v>40800</v>
      </c>
      <c r="C302" s="11" t="s">
        <v>12</v>
      </c>
      <c r="D302" s="11">
        <v>45776</v>
      </c>
      <c r="E302" s="11"/>
      <c r="F302" s="11"/>
      <c r="G302" s="11"/>
      <c r="K302" s="4"/>
    </row>
    <row r="303" spans="2:11" ht="14.25" customHeight="1" x14ac:dyDescent="0.25">
      <c r="B303">
        <v>-41000</v>
      </c>
      <c r="C303" s="11" t="s">
        <v>13</v>
      </c>
      <c r="D303" s="11"/>
      <c r="E303" s="11"/>
      <c r="F303" s="11"/>
      <c r="G303" s="11"/>
      <c r="K303" s="4"/>
    </row>
    <row r="304" spans="2:11" ht="14.25" customHeight="1" x14ac:dyDescent="0.25">
      <c r="B304">
        <v>10200</v>
      </c>
      <c r="C304" s="11" t="s">
        <v>74</v>
      </c>
      <c r="D304" s="11"/>
      <c r="E304" s="11"/>
      <c r="F304" s="11"/>
      <c r="G304" s="11"/>
      <c r="K304" s="4"/>
    </row>
    <row r="305" spans="2:11" ht="14.25" customHeight="1" x14ac:dyDescent="0.25">
      <c r="B305">
        <v>-10200</v>
      </c>
      <c r="C305" s="11" t="s">
        <v>13</v>
      </c>
      <c r="D305" s="11">
        <v>45783</v>
      </c>
      <c r="E305" s="11"/>
      <c r="F305" s="11"/>
      <c r="G305" s="11"/>
      <c r="K305" s="4"/>
    </row>
    <row r="306" spans="2:11" ht="14.25" customHeight="1" x14ac:dyDescent="0.25">
      <c r="B306">
        <v>14300</v>
      </c>
      <c r="C306" s="11" t="s">
        <v>12</v>
      </c>
      <c r="D306" s="11">
        <v>45790</v>
      </c>
      <c r="E306" s="11"/>
      <c r="F306" s="11"/>
      <c r="G306" s="11"/>
      <c r="K306" s="4"/>
    </row>
    <row r="307" spans="2:11" ht="14.25" customHeight="1" x14ac:dyDescent="0.25">
      <c r="B307">
        <v>-14300</v>
      </c>
      <c r="C307" s="11" t="s">
        <v>13</v>
      </c>
      <c r="D307" s="11"/>
      <c r="E307" s="11"/>
      <c r="F307" s="11"/>
      <c r="G307" s="11"/>
      <c r="K307" s="4"/>
    </row>
    <row r="308" spans="2:11" ht="14.25" customHeight="1" x14ac:dyDescent="0.25">
      <c r="B308">
        <v>27900</v>
      </c>
      <c r="C308" s="11" t="s">
        <v>12</v>
      </c>
      <c r="D308" s="11">
        <v>45791</v>
      </c>
      <c r="E308" s="11"/>
      <c r="F308" s="11"/>
      <c r="G308" s="11"/>
      <c r="K308" s="4"/>
    </row>
    <row r="309" spans="2:11" ht="14.25" customHeight="1" x14ac:dyDescent="0.25">
      <c r="B309">
        <v>-27900</v>
      </c>
      <c r="C309" s="11" t="s">
        <v>13</v>
      </c>
      <c r="D309" s="11"/>
      <c r="E309" s="11"/>
      <c r="F309" s="11"/>
      <c r="G309" s="11"/>
      <c r="K309" s="4"/>
    </row>
    <row r="310" spans="2:11" ht="14.25" customHeight="1" x14ac:dyDescent="0.25">
      <c r="B310">
        <v>46500</v>
      </c>
      <c r="C310" s="11" t="s">
        <v>12</v>
      </c>
      <c r="D310" s="11">
        <v>45798</v>
      </c>
      <c r="E310" s="11"/>
      <c r="F310" s="11"/>
      <c r="G310" s="11"/>
      <c r="K310" s="4"/>
    </row>
    <row r="311" spans="2:11" ht="14.25" customHeight="1" x14ac:dyDescent="0.25">
      <c r="B311">
        <v>-46500</v>
      </c>
      <c r="C311" s="11" t="s">
        <v>13</v>
      </c>
      <c r="D311" s="11"/>
      <c r="E311" s="11"/>
      <c r="F311" s="11"/>
      <c r="G311" s="11"/>
      <c r="K311" s="4"/>
    </row>
    <row r="312" spans="2:11" ht="14.25" customHeight="1" x14ac:dyDescent="0.25">
      <c r="B312">
        <v>26500</v>
      </c>
      <c r="C312" s="11" t="s">
        <v>12</v>
      </c>
      <c r="D312" s="11">
        <v>45812</v>
      </c>
      <c r="E312" s="11"/>
      <c r="F312" s="11"/>
      <c r="G312" s="11"/>
      <c r="K312" s="4"/>
    </row>
    <row r="313" spans="2:11" ht="14.25" customHeight="1" x14ac:dyDescent="0.25">
      <c r="B313">
        <v>-26500</v>
      </c>
      <c r="C313" s="11" t="s">
        <v>13</v>
      </c>
      <c r="D313" s="11"/>
      <c r="E313" s="11"/>
      <c r="F313" s="11"/>
      <c r="G313" s="11"/>
      <c r="K313" s="4"/>
    </row>
    <row r="314" spans="2:11" ht="14.25" customHeight="1" x14ac:dyDescent="0.25">
      <c r="B314">
        <v>18400</v>
      </c>
      <c r="C314" s="11" t="s">
        <v>12</v>
      </c>
      <c r="D314" s="11">
        <v>45813</v>
      </c>
      <c r="E314" s="11"/>
      <c r="F314" s="11"/>
      <c r="G314" s="11"/>
      <c r="K314" s="4"/>
    </row>
    <row r="315" spans="2:11" ht="14.25" customHeight="1" x14ac:dyDescent="0.25">
      <c r="B315">
        <v>5100</v>
      </c>
      <c r="C315" s="11" t="s">
        <v>12</v>
      </c>
      <c r="D315" s="11">
        <v>45839</v>
      </c>
      <c r="E315" s="11"/>
      <c r="F315" s="11"/>
      <c r="G315" s="11"/>
      <c r="K315" s="4"/>
    </row>
    <row r="316" spans="2:11" ht="14.25" customHeight="1" x14ac:dyDescent="0.25">
      <c r="B316">
        <v>26700</v>
      </c>
      <c r="C316" s="11" t="s">
        <v>12</v>
      </c>
      <c r="D316" s="11">
        <v>45911</v>
      </c>
      <c r="E316" s="11"/>
      <c r="F316" s="11"/>
      <c r="G316" s="11"/>
      <c r="K316" s="4"/>
    </row>
    <row r="317" spans="2:11" ht="14.25" customHeight="1" x14ac:dyDescent="0.25">
      <c r="B317" s="135">
        <f>SUM(B52:B316)</f>
        <v>-60870</v>
      </c>
      <c r="C317" s="11">
        <v>45911</v>
      </c>
      <c r="D317" s="11"/>
      <c r="E317" s="11"/>
      <c r="F317" s="11"/>
      <c r="G317" s="11"/>
      <c r="K317" s="4"/>
    </row>
    <row r="318" spans="2:11" x14ac:dyDescent="0.25">
      <c r="B318" s="11"/>
      <c r="D318" s="11"/>
      <c r="E318" s="11"/>
      <c r="F318" s="11"/>
      <c r="G318" s="11"/>
      <c r="K318" s="4"/>
    </row>
    <row r="319" spans="2:11" x14ac:dyDescent="0.25">
      <c r="B319" s="11"/>
      <c r="E319" s="11"/>
      <c r="F319" s="11"/>
      <c r="G319" s="11"/>
      <c r="K319" s="4"/>
    </row>
    <row r="320" spans="2:11" x14ac:dyDescent="0.25">
      <c r="B320" s="11"/>
      <c r="E320" s="11"/>
      <c r="F320" s="11"/>
      <c r="G320" s="11"/>
      <c r="K320" s="4"/>
    </row>
    <row r="321" spans="2:11" x14ac:dyDescent="0.25">
      <c r="B321" s="11"/>
      <c r="E321" s="11"/>
      <c r="F321" s="11"/>
      <c r="G321" s="11"/>
      <c r="K321" s="4"/>
    </row>
    <row r="322" spans="2:11" x14ac:dyDescent="0.25">
      <c r="B322" s="11"/>
      <c r="C322" s="11"/>
      <c r="E322" s="11"/>
      <c r="F322" s="11"/>
      <c r="G322" s="11"/>
      <c r="K322" s="4"/>
    </row>
    <row r="323" spans="2:11" x14ac:dyDescent="0.25">
      <c r="B323" s="11"/>
      <c r="E323" s="4"/>
      <c r="K323" s="4"/>
    </row>
    <row r="324" spans="2:11" x14ac:dyDescent="0.25">
      <c r="B324" s="11"/>
      <c r="F324" s="11"/>
      <c r="G324" s="11"/>
      <c r="I324" s="173"/>
      <c r="K324" s="4"/>
    </row>
    <row r="325" spans="2:11" x14ac:dyDescent="0.25">
      <c r="B325" s="11"/>
      <c r="E325" s="11"/>
      <c r="F325" s="11"/>
      <c r="G325" s="11"/>
      <c r="K325" s="4"/>
    </row>
    <row r="326" spans="2:11" x14ac:dyDescent="0.25">
      <c r="B326" s="11"/>
      <c r="K326" s="4"/>
    </row>
    <row r="327" spans="2:11" x14ac:dyDescent="0.25">
      <c r="B327" s="11"/>
      <c r="E327" s="11"/>
      <c r="F327" s="11"/>
      <c r="G327" s="11"/>
      <c r="K327" s="4"/>
    </row>
    <row r="328" spans="2:11" x14ac:dyDescent="0.25">
      <c r="B328" s="11"/>
      <c r="I328" s="4"/>
    </row>
    <row r="329" spans="2:11" x14ac:dyDescent="0.25">
      <c r="B329" s="11"/>
      <c r="E329" s="11"/>
      <c r="F329" s="11"/>
      <c r="G329" s="11"/>
      <c r="K329" s="4"/>
    </row>
    <row r="330" spans="2:11" x14ac:dyDescent="0.25">
      <c r="B330" s="11"/>
      <c r="E330" s="11"/>
      <c r="F330" s="11"/>
      <c r="G330" s="11"/>
      <c r="K330" s="4"/>
    </row>
    <row r="331" spans="2:11" x14ac:dyDescent="0.25">
      <c r="B331" s="11"/>
      <c r="E331" s="11"/>
      <c r="F331" s="11"/>
      <c r="G331" s="11"/>
      <c r="K331" s="4"/>
    </row>
    <row r="332" spans="2:11" x14ac:dyDescent="0.25">
      <c r="B332" s="11"/>
      <c r="E332" s="11"/>
      <c r="F332" s="11"/>
      <c r="G332" s="11"/>
      <c r="K332" s="4"/>
    </row>
    <row r="333" spans="2:11" x14ac:dyDescent="0.25">
      <c r="B333" s="11"/>
      <c r="E333" s="11"/>
      <c r="F333" s="11"/>
      <c r="G333" s="11"/>
      <c r="K333" s="4"/>
    </row>
    <row r="334" spans="2:11" x14ac:dyDescent="0.25">
      <c r="B334" s="11"/>
      <c r="D334" s="11"/>
      <c r="E334" s="11"/>
      <c r="F334" s="11"/>
      <c r="G334" s="11"/>
      <c r="K334" s="4"/>
    </row>
    <row r="335" spans="2:11" x14ac:dyDescent="0.25">
      <c r="B335" s="11"/>
      <c r="E335" s="11"/>
      <c r="F335" s="11"/>
      <c r="G335" s="11"/>
      <c r="K335" s="4"/>
    </row>
    <row r="336" spans="2:11" x14ac:dyDescent="0.25">
      <c r="B336" s="11"/>
      <c r="E336" s="11"/>
      <c r="F336" s="11"/>
      <c r="G336" s="11"/>
      <c r="K336" s="4"/>
    </row>
    <row r="337" spans="2:11" x14ac:dyDescent="0.25">
      <c r="B337" s="11"/>
      <c r="E337" s="11"/>
      <c r="F337" s="11"/>
      <c r="G337" s="11"/>
      <c r="K337" s="4"/>
    </row>
    <row r="338" spans="2:11" x14ac:dyDescent="0.25">
      <c r="B338" s="11"/>
      <c r="E338" s="11"/>
      <c r="F338" s="11"/>
      <c r="G338" s="11"/>
      <c r="K338" s="4"/>
    </row>
    <row r="339" spans="2:11" x14ac:dyDescent="0.25">
      <c r="B339" s="11"/>
      <c r="E339" s="11"/>
      <c r="F339" s="11"/>
      <c r="G339" s="11"/>
      <c r="K339" s="4"/>
    </row>
    <row r="340" spans="2:11" x14ac:dyDescent="0.25">
      <c r="B340" s="11"/>
      <c r="E340" s="11"/>
      <c r="F340" s="11"/>
      <c r="G340" s="11"/>
      <c r="K340" s="4"/>
    </row>
    <row r="341" spans="2:11" x14ac:dyDescent="0.25">
      <c r="B341" s="11"/>
      <c r="E341" s="11"/>
      <c r="F341" s="11"/>
      <c r="G341" s="11"/>
    </row>
    <row r="342" spans="2:11" x14ac:dyDescent="0.25">
      <c r="B342" s="11"/>
      <c r="E342" s="11"/>
      <c r="F342" s="11"/>
      <c r="G342" s="11"/>
    </row>
    <row r="343" spans="2:11" x14ac:dyDescent="0.25">
      <c r="B343" s="11"/>
      <c r="E343" s="11"/>
      <c r="F343" s="11"/>
      <c r="G343" s="11"/>
    </row>
    <row r="344" spans="2:11" x14ac:dyDescent="0.25">
      <c r="B344" s="11"/>
      <c r="E344" s="11"/>
      <c r="F344" s="11"/>
      <c r="G344" s="11"/>
    </row>
    <row r="345" spans="2:11" x14ac:dyDescent="0.25">
      <c r="B345" s="11"/>
      <c r="E345" s="11"/>
      <c r="F345" s="11"/>
      <c r="G345" s="11"/>
    </row>
    <row r="346" spans="2:11" x14ac:dyDescent="0.25">
      <c r="B346" s="11"/>
      <c r="E346" s="11"/>
      <c r="F346" s="11"/>
      <c r="G346" s="11"/>
    </row>
    <row r="347" spans="2:11" x14ac:dyDescent="0.25">
      <c r="B347" s="11"/>
      <c r="E347" s="11"/>
      <c r="F347" s="11"/>
      <c r="G347" s="11"/>
    </row>
    <row r="348" spans="2:11" x14ac:dyDescent="0.25">
      <c r="B348" s="11"/>
      <c r="E348" s="11"/>
      <c r="F348" s="11"/>
      <c r="G348" s="11"/>
    </row>
    <row r="349" spans="2:11" x14ac:dyDescent="0.25">
      <c r="B349" s="11"/>
      <c r="E349" s="11"/>
      <c r="F349" s="11"/>
      <c r="G349" s="11"/>
    </row>
    <row r="350" spans="2:11" x14ac:dyDescent="0.25">
      <c r="B350" s="11"/>
      <c r="E350" s="11"/>
      <c r="F350" s="11"/>
      <c r="G350" s="11"/>
    </row>
    <row r="351" spans="2:11" x14ac:dyDescent="0.25">
      <c r="B351" s="11"/>
      <c r="E351" s="11"/>
      <c r="F351" s="11"/>
      <c r="G351" s="11"/>
    </row>
    <row r="352" spans="2:11" x14ac:dyDescent="0.25">
      <c r="B352" s="11"/>
      <c r="E352" s="11"/>
      <c r="F352" s="11"/>
      <c r="G352" s="11"/>
    </row>
    <row r="353" spans="2:7" x14ac:dyDescent="0.25">
      <c r="B353" s="11"/>
      <c r="E353" s="11"/>
      <c r="F353" s="11"/>
      <c r="G353" s="11"/>
    </row>
    <row r="354" spans="2:7" x14ac:dyDescent="0.25">
      <c r="B354" s="11"/>
      <c r="E354" s="11"/>
      <c r="F354" s="11"/>
      <c r="G354" s="11"/>
    </row>
    <row r="355" spans="2:7" x14ac:dyDescent="0.25">
      <c r="B355" s="11"/>
      <c r="E355" s="11"/>
      <c r="F355" s="11"/>
      <c r="G355" s="11"/>
    </row>
    <row r="356" spans="2:7" x14ac:dyDescent="0.25">
      <c r="B356" s="11"/>
      <c r="E356" s="11"/>
      <c r="F356" s="11"/>
      <c r="G356" s="11"/>
    </row>
    <row r="357" spans="2:7" x14ac:dyDescent="0.25">
      <c r="B357" s="11"/>
      <c r="E357" s="11"/>
      <c r="F357" s="11"/>
      <c r="G357" s="11"/>
    </row>
    <row r="358" spans="2:7" x14ac:dyDescent="0.25">
      <c r="E358" s="11"/>
      <c r="F358" s="11"/>
      <c r="G358" s="11"/>
    </row>
    <row r="359" spans="2:7" x14ac:dyDescent="0.25">
      <c r="E359" s="11"/>
      <c r="F359" s="11"/>
      <c r="G359" s="11"/>
    </row>
    <row r="360" spans="2:7" x14ac:dyDescent="0.25">
      <c r="E360" s="11"/>
      <c r="F360" s="11"/>
      <c r="G360" s="11"/>
    </row>
    <row r="361" spans="2:7" x14ac:dyDescent="0.25">
      <c r="E361" s="11"/>
      <c r="F361" s="11"/>
      <c r="G361" s="11"/>
    </row>
    <row r="362" spans="2:7" x14ac:dyDescent="0.25">
      <c r="E362" s="11"/>
      <c r="F362" s="11"/>
      <c r="G362" s="11"/>
    </row>
    <row r="363" spans="2:7" x14ac:dyDescent="0.25">
      <c r="E363" s="11"/>
      <c r="F363" s="11"/>
      <c r="G363" s="11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68"/>
  <sheetViews>
    <sheetView topLeftCell="A22" zoomScale="110" zoomScaleNormal="110" workbookViewId="0">
      <selection activeCell="N15" sqref="N15:N16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2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82"/>
      <c r="C3" s="124"/>
      <c r="D3" s="82"/>
      <c r="E3" s="82"/>
      <c r="F3" s="82"/>
      <c r="G3" s="82"/>
      <c r="H3" s="123"/>
      <c r="I3" s="90"/>
      <c r="J3" s="82"/>
      <c r="K3" s="217"/>
    </row>
    <row r="4" spans="1:11" x14ac:dyDescent="0.25">
      <c r="A4" s="91"/>
      <c r="B4" s="82"/>
      <c r="C4" s="124"/>
      <c r="D4" s="82"/>
      <c r="E4" s="82"/>
      <c r="F4" s="82"/>
      <c r="G4" s="82"/>
      <c r="H4" s="123"/>
      <c r="I4" s="90"/>
      <c r="J4" s="82"/>
      <c r="K4" s="217"/>
    </row>
    <row r="5" spans="1:11" x14ac:dyDescent="0.25">
      <c r="A5" s="91"/>
      <c r="B5" s="82"/>
      <c r="C5" s="124"/>
      <c r="D5" s="82"/>
      <c r="E5" s="82"/>
      <c r="F5" s="82"/>
      <c r="G5" s="82"/>
      <c r="H5" s="123"/>
      <c r="I5" s="90"/>
      <c r="J5" s="82"/>
      <c r="K5" s="217"/>
    </row>
    <row r="6" spans="1:11" x14ac:dyDescent="0.25">
      <c r="A6" s="91"/>
      <c r="B6" s="82"/>
      <c r="C6" s="124"/>
      <c r="D6" s="82"/>
      <c r="E6" s="82"/>
      <c r="F6" s="82"/>
      <c r="G6" s="82"/>
      <c r="H6" s="123"/>
      <c r="I6" s="90"/>
      <c r="J6" s="82"/>
      <c r="K6" s="217"/>
    </row>
    <row r="7" spans="1:11" x14ac:dyDescent="0.25">
      <c r="A7" s="91"/>
      <c r="B7" s="82"/>
      <c r="C7" s="124"/>
      <c r="D7" s="82"/>
      <c r="E7" s="82"/>
      <c r="F7" s="82"/>
      <c r="G7" s="82"/>
      <c r="H7" s="123"/>
      <c r="I7" s="90"/>
      <c r="J7" s="82"/>
      <c r="K7" s="217"/>
    </row>
    <row r="8" spans="1:11" x14ac:dyDescent="0.25">
      <c r="A8" s="91"/>
      <c r="B8" s="82"/>
      <c r="C8" s="124"/>
      <c r="D8" s="82"/>
      <c r="E8" s="82"/>
      <c r="F8" s="82"/>
      <c r="G8" s="82"/>
      <c r="H8" s="123"/>
      <c r="I8" s="90"/>
      <c r="J8" s="82"/>
      <c r="K8" s="217"/>
    </row>
    <row r="9" spans="1:11" x14ac:dyDescent="0.25">
      <c r="A9" s="91"/>
      <c r="B9" s="82"/>
      <c r="C9" s="124"/>
      <c r="D9" s="82"/>
      <c r="E9" s="82"/>
      <c r="F9" s="82"/>
      <c r="G9" s="82"/>
      <c r="H9" s="123"/>
      <c r="I9" s="90"/>
      <c r="J9" s="82"/>
      <c r="K9" s="217"/>
    </row>
    <row r="10" spans="1:11" x14ac:dyDescent="0.25">
      <c r="A10" s="91"/>
      <c r="B10" s="82"/>
      <c r="C10" s="124"/>
      <c r="D10" s="82"/>
      <c r="E10" s="82"/>
      <c r="F10" s="82"/>
      <c r="G10" s="82"/>
      <c r="H10" s="123"/>
      <c r="I10" s="90"/>
      <c r="J10" s="82"/>
      <c r="K10" s="217"/>
    </row>
    <row r="11" spans="1:11" x14ac:dyDescent="0.25">
      <c r="A11" s="91"/>
      <c r="B11" s="82"/>
      <c r="C11" s="124"/>
      <c r="D11" s="82"/>
      <c r="E11" s="82"/>
      <c r="F11" s="82"/>
      <c r="G11" s="82"/>
      <c r="H11" s="123"/>
      <c r="I11" s="90"/>
      <c r="J11" s="82"/>
      <c r="K11" s="217"/>
    </row>
    <row r="12" spans="1:11" x14ac:dyDescent="0.25">
      <c r="A12" s="91"/>
      <c r="B12" s="82"/>
      <c r="C12" s="124"/>
      <c r="D12" s="82"/>
      <c r="E12" s="82"/>
      <c r="F12" s="82"/>
      <c r="G12" s="82"/>
      <c r="H12" s="123"/>
      <c r="I12" s="90"/>
      <c r="J12" s="82"/>
      <c r="K12" s="217"/>
    </row>
    <row r="13" spans="1:11" x14ac:dyDescent="0.25">
      <c r="A13" s="91"/>
      <c r="B13" s="82"/>
      <c r="C13" s="124"/>
      <c r="D13" s="82"/>
      <c r="E13" s="82"/>
      <c r="F13" s="82"/>
      <c r="G13" s="82"/>
      <c r="H13" s="123"/>
      <c r="I13" s="90"/>
      <c r="J13" s="82"/>
      <c r="K13" s="217"/>
    </row>
    <row r="14" spans="1:11" x14ac:dyDescent="0.25">
      <c r="A14" s="91"/>
      <c r="B14" s="82"/>
      <c r="C14" s="124"/>
      <c r="D14" s="82"/>
      <c r="E14" s="82"/>
      <c r="F14" s="82"/>
      <c r="G14" s="82"/>
      <c r="H14" s="123"/>
      <c r="I14" s="90"/>
      <c r="J14" s="82"/>
      <c r="K14" s="217"/>
    </row>
    <row r="15" spans="1:11" x14ac:dyDescent="0.25">
      <c r="A15" s="91"/>
      <c r="B15" s="82"/>
      <c r="C15" s="124"/>
      <c r="D15" s="82"/>
      <c r="E15" s="82"/>
      <c r="F15" s="82"/>
      <c r="G15" s="82"/>
      <c r="H15" s="123"/>
      <c r="I15" s="90"/>
      <c r="J15" s="82"/>
      <c r="K15" s="217"/>
    </row>
    <row r="16" spans="1:11" x14ac:dyDescent="0.25">
      <c r="A16" s="91"/>
      <c r="B16" s="82"/>
      <c r="C16" s="124"/>
      <c r="D16" s="82"/>
      <c r="E16" s="82"/>
      <c r="F16" s="82"/>
      <c r="G16" s="82"/>
      <c r="H16" s="123"/>
      <c r="I16" s="90"/>
      <c r="J16" s="82"/>
      <c r="K16" s="217"/>
    </row>
    <row r="17" spans="1:11" x14ac:dyDescent="0.25">
      <c r="A17" s="91"/>
      <c r="B17" s="82"/>
      <c r="C17" s="124"/>
      <c r="D17" s="82"/>
      <c r="E17" s="82"/>
      <c r="F17" s="82"/>
      <c r="G17" s="82"/>
      <c r="H17" s="123"/>
      <c r="I17" s="90"/>
      <c r="J17" s="82"/>
      <c r="K17" s="217"/>
    </row>
    <row r="18" spans="1:11" x14ac:dyDescent="0.25">
      <c r="A18" s="91"/>
      <c r="B18" s="82"/>
      <c r="C18" s="124"/>
      <c r="D18" s="82"/>
      <c r="E18" s="82"/>
      <c r="F18" s="82"/>
      <c r="G18" s="82"/>
      <c r="H18" s="83"/>
      <c r="I18" s="90"/>
      <c r="J18" s="82"/>
      <c r="K18" s="217"/>
    </row>
    <row r="19" spans="1:11" x14ac:dyDescent="0.25">
      <c r="A19" s="91"/>
      <c r="B19" s="82"/>
      <c r="C19" s="124"/>
      <c r="D19" s="82"/>
      <c r="E19" s="82"/>
      <c r="F19" s="82"/>
      <c r="G19" s="82"/>
      <c r="H19" s="83"/>
      <c r="I19" s="90"/>
      <c r="J19" s="82"/>
      <c r="K19" s="217"/>
    </row>
    <row r="20" spans="1:11" x14ac:dyDescent="0.25">
      <c r="A20" s="91"/>
      <c r="B20" s="82"/>
      <c r="C20" s="124"/>
      <c r="D20" s="82"/>
      <c r="E20" s="82"/>
      <c r="F20" s="82"/>
      <c r="G20" s="82"/>
      <c r="H20" s="83"/>
      <c r="I20" s="90"/>
      <c r="J20" s="82"/>
      <c r="K20" s="217"/>
    </row>
    <row r="21" spans="1:11" x14ac:dyDescent="0.25">
      <c r="A21" s="91"/>
      <c r="B21" s="82"/>
      <c r="C21" s="124"/>
      <c r="D21" s="82"/>
      <c r="E21" s="82"/>
      <c r="F21" s="82"/>
      <c r="G21" s="82"/>
      <c r="H21" s="83"/>
      <c r="I21" s="90"/>
      <c r="J21" s="82"/>
      <c r="K21" s="217"/>
    </row>
    <row r="22" spans="1:11" x14ac:dyDescent="0.25">
      <c r="A22" s="91"/>
      <c r="B22" s="82"/>
      <c r="C22" s="124"/>
      <c r="D22" s="82"/>
      <c r="E22" s="82"/>
      <c r="F22" s="82"/>
      <c r="G22" s="82"/>
      <c r="H22" s="83"/>
      <c r="I22" s="90"/>
      <c r="J22" s="82"/>
      <c r="K22" s="217"/>
    </row>
    <row r="23" spans="1:11" x14ac:dyDescent="0.25">
      <c r="A23" s="91"/>
      <c r="B23" s="82"/>
      <c r="C23" s="124"/>
      <c r="D23" s="82"/>
      <c r="E23" s="82"/>
      <c r="F23" s="82"/>
      <c r="G23" s="82"/>
      <c r="H23" s="83"/>
      <c r="I23" s="90"/>
      <c r="J23" s="82"/>
      <c r="K23" s="217"/>
    </row>
    <row r="24" spans="1:11" x14ac:dyDescent="0.25">
      <c r="A24" s="91"/>
      <c r="B24" s="82"/>
      <c r="C24" s="124"/>
      <c r="D24" s="82"/>
      <c r="E24" s="82"/>
      <c r="F24" s="82"/>
      <c r="G24" s="82"/>
      <c r="H24" s="83"/>
      <c r="I24" s="90"/>
      <c r="J24" s="82"/>
      <c r="K24" s="217"/>
    </row>
    <row r="25" spans="1:11" x14ac:dyDescent="0.25">
      <c r="A25" s="91"/>
      <c r="B25" s="82"/>
      <c r="C25" s="124"/>
      <c r="D25" s="82"/>
      <c r="E25" s="82"/>
      <c r="F25" s="82"/>
      <c r="G25" s="82"/>
      <c r="H25" s="83"/>
      <c r="I25" s="90"/>
      <c r="J25" s="82"/>
      <c r="K25" s="217"/>
    </row>
    <row r="26" spans="1:11" x14ac:dyDescent="0.25">
      <c r="A26" s="91"/>
      <c r="B26" s="82"/>
      <c r="C26" s="124"/>
      <c r="D26" s="82"/>
      <c r="E26" s="82"/>
      <c r="F26" s="82"/>
      <c r="G26" s="82"/>
      <c r="H26" s="83"/>
      <c r="I26" s="90"/>
      <c r="J26" s="82"/>
      <c r="K26" s="217"/>
    </row>
    <row r="27" spans="1:11" x14ac:dyDescent="0.25">
      <c r="A27" s="91"/>
      <c r="B27" s="82"/>
      <c r="C27" s="124"/>
      <c r="D27" s="82"/>
      <c r="E27" s="82"/>
      <c r="F27" s="82"/>
      <c r="G27" s="82"/>
      <c r="H27" s="83"/>
      <c r="I27" s="90"/>
      <c r="J27" s="82"/>
      <c r="K27" s="217"/>
    </row>
    <row r="28" spans="1:11" x14ac:dyDescent="0.25">
      <c r="A28" s="91">
        <v>46111</v>
      </c>
      <c r="B28" s="82" t="s">
        <v>118</v>
      </c>
      <c r="C28" s="124" t="s">
        <v>358</v>
      </c>
      <c r="D28" s="82">
        <v>1490</v>
      </c>
      <c r="E28" s="82"/>
      <c r="F28" s="82"/>
      <c r="G28" s="82"/>
      <c r="H28" s="123">
        <v>118241</v>
      </c>
      <c r="I28" s="90" t="s">
        <v>359</v>
      </c>
      <c r="J28" s="82"/>
      <c r="K28" s="217"/>
    </row>
    <row r="29" spans="1:11" x14ac:dyDescent="0.25">
      <c r="A29" s="91">
        <v>46114</v>
      </c>
      <c r="B29" s="82" t="s">
        <v>358</v>
      </c>
      <c r="C29" s="124" t="s">
        <v>9</v>
      </c>
      <c r="D29" s="82">
        <v>1070</v>
      </c>
      <c r="E29" s="82"/>
      <c r="F29" s="82"/>
      <c r="G29" s="82"/>
      <c r="H29" s="83" t="s">
        <v>66</v>
      </c>
      <c r="I29" s="90"/>
      <c r="J29" s="82"/>
      <c r="K29" s="217"/>
    </row>
    <row r="30" spans="1:11" x14ac:dyDescent="0.25">
      <c r="A30" s="91">
        <v>46116</v>
      </c>
      <c r="B30" s="227" t="s">
        <v>9</v>
      </c>
      <c r="C30" s="82" t="s">
        <v>300</v>
      </c>
      <c r="D30" s="82">
        <v>420</v>
      </c>
      <c r="E30" s="82"/>
      <c r="F30" s="82">
        <v>35.119999999999997</v>
      </c>
      <c r="G30" s="82"/>
      <c r="H30" s="123">
        <v>618963</v>
      </c>
      <c r="I30" s="90" t="s">
        <v>301</v>
      </c>
      <c r="J30" s="82"/>
      <c r="K30" s="217"/>
    </row>
    <row r="31" spans="1:11" x14ac:dyDescent="0.25">
      <c r="A31" s="91">
        <v>46118</v>
      </c>
      <c r="B31" s="227" t="s">
        <v>300</v>
      </c>
      <c r="C31" s="82" t="s">
        <v>118</v>
      </c>
      <c r="D31" s="82">
        <v>85</v>
      </c>
      <c r="E31" s="82"/>
      <c r="F31" s="82"/>
      <c r="G31" s="82"/>
      <c r="H31" s="128" t="s">
        <v>66</v>
      </c>
      <c r="I31" s="90"/>
      <c r="J31" s="82"/>
      <c r="K31" s="217"/>
    </row>
    <row r="32" spans="1:11" x14ac:dyDescent="0.25">
      <c r="A32" s="91">
        <v>46119</v>
      </c>
      <c r="B32" s="82" t="s">
        <v>118</v>
      </c>
      <c r="C32" s="124" t="s">
        <v>385</v>
      </c>
      <c r="D32" s="82">
        <v>1560</v>
      </c>
      <c r="E32" s="82"/>
      <c r="F32" s="82"/>
      <c r="G32" s="82"/>
      <c r="H32" s="90">
        <v>119623</v>
      </c>
      <c r="I32" s="90" t="s">
        <v>386</v>
      </c>
      <c r="J32" s="82"/>
      <c r="K32" s="217"/>
    </row>
    <row r="33" spans="1:11" x14ac:dyDescent="0.25">
      <c r="A33" s="91">
        <v>46122</v>
      </c>
      <c r="B33" s="124" t="s">
        <v>385</v>
      </c>
      <c r="C33" s="124" t="s">
        <v>9</v>
      </c>
      <c r="D33" s="82">
        <v>1070</v>
      </c>
      <c r="E33" s="82"/>
      <c r="F33" s="82"/>
      <c r="G33" s="82"/>
      <c r="H33" s="83" t="s">
        <v>66</v>
      </c>
      <c r="I33" s="90"/>
      <c r="J33" s="82"/>
      <c r="K33" s="217"/>
    </row>
    <row r="34" spans="1:11" x14ac:dyDescent="0.25">
      <c r="A34" s="91">
        <v>46125</v>
      </c>
      <c r="B34" s="82" t="s">
        <v>9</v>
      </c>
      <c r="C34" s="124" t="s">
        <v>351</v>
      </c>
      <c r="D34" s="82">
        <v>1010</v>
      </c>
      <c r="E34" s="82"/>
      <c r="F34" s="82">
        <v>35.47</v>
      </c>
      <c r="G34" s="82"/>
      <c r="H34" s="90">
        <v>619576</v>
      </c>
      <c r="I34" s="90" t="s">
        <v>257</v>
      </c>
      <c r="J34" s="82"/>
      <c r="K34" s="217"/>
    </row>
    <row r="35" spans="1:11" x14ac:dyDescent="0.25">
      <c r="A35" s="91">
        <v>46127</v>
      </c>
      <c r="B35" s="82" t="s">
        <v>351</v>
      </c>
      <c r="C35" s="124" t="s">
        <v>227</v>
      </c>
      <c r="D35" s="82">
        <v>240</v>
      </c>
      <c r="E35" s="82"/>
      <c r="F35" s="82"/>
      <c r="G35" s="82"/>
      <c r="H35" s="83" t="s">
        <v>66</v>
      </c>
      <c r="I35" s="90"/>
      <c r="J35" s="82"/>
      <c r="K35" s="217"/>
    </row>
    <row r="36" spans="1:11" x14ac:dyDescent="0.25">
      <c r="A36" s="91">
        <v>46127</v>
      </c>
      <c r="B36" s="82" t="s">
        <v>296</v>
      </c>
      <c r="C36" s="124" t="s">
        <v>9</v>
      </c>
      <c r="D36" s="82">
        <v>820</v>
      </c>
      <c r="E36" s="82"/>
      <c r="F36" s="82">
        <v>29.1</v>
      </c>
      <c r="G36" s="82"/>
      <c r="H36" s="90">
        <v>189549</v>
      </c>
      <c r="I36" s="90" t="s">
        <v>304</v>
      </c>
      <c r="J36" s="82"/>
      <c r="K36" s="217"/>
    </row>
    <row r="37" spans="1:11" x14ac:dyDescent="0.25">
      <c r="A37" s="91">
        <v>46129</v>
      </c>
      <c r="B37" s="82" t="s">
        <v>9</v>
      </c>
      <c r="C37" s="124" t="s">
        <v>351</v>
      </c>
      <c r="D37" s="82">
        <v>1010</v>
      </c>
      <c r="E37" s="82"/>
      <c r="F37" s="82"/>
      <c r="G37" s="82"/>
      <c r="H37" s="90">
        <v>619865</v>
      </c>
      <c r="I37" s="90" t="s">
        <v>257</v>
      </c>
      <c r="J37" s="82"/>
      <c r="K37" s="217"/>
    </row>
    <row r="38" spans="1:11" x14ac:dyDescent="0.25">
      <c r="A38" s="91">
        <v>46132</v>
      </c>
      <c r="B38" s="82" t="s">
        <v>351</v>
      </c>
      <c r="C38" s="124" t="s">
        <v>227</v>
      </c>
      <c r="D38" s="82">
        <v>240</v>
      </c>
      <c r="E38" s="82"/>
      <c r="F38" s="82"/>
      <c r="G38" s="82"/>
      <c r="H38" s="83" t="s">
        <v>66</v>
      </c>
      <c r="I38" s="90"/>
      <c r="J38" s="82"/>
      <c r="K38" s="217"/>
    </row>
    <row r="39" spans="1:11" x14ac:dyDescent="0.25">
      <c r="A39" s="91">
        <v>46132</v>
      </c>
      <c r="B39" s="82" t="s">
        <v>296</v>
      </c>
      <c r="C39" s="124" t="s">
        <v>9</v>
      </c>
      <c r="D39" s="82">
        <v>820</v>
      </c>
      <c r="E39" s="82"/>
      <c r="F39" s="82">
        <v>27.8</v>
      </c>
      <c r="G39" s="82"/>
      <c r="H39" s="90">
        <v>189728</v>
      </c>
      <c r="I39" s="90" t="s">
        <v>304</v>
      </c>
      <c r="J39" s="82"/>
      <c r="K39" s="217"/>
    </row>
    <row r="40" spans="1:11" x14ac:dyDescent="0.25">
      <c r="A40" s="91">
        <v>46136</v>
      </c>
      <c r="B40" s="82" t="s">
        <v>9</v>
      </c>
      <c r="C40" s="124" t="s">
        <v>276</v>
      </c>
      <c r="D40" s="82">
        <v>400</v>
      </c>
      <c r="E40" s="82"/>
      <c r="F40" s="82"/>
      <c r="G40" s="82"/>
      <c r="H40" s="90">
        <v>294489</v>
      </c>
      <c r="I40" s="90" t="s">
        <v>15</v>
      </c>
      <c r="J40" s="82"/>
      <c r="K40" s="217"/>
    </row>
    <row r="41" spans="1:11" x14ac:dyDescent="0.25">
      <c r="A41" s="91">
        <v>46139</v>
      </c>
      <c r="B41" s="82" t="s">
        <v>424</v>
      </c>
      <c r="C41" s="124" t="s">
        <v>118</v>
      </c>
      <c r="D41" s="82">
        <v>150</v>
      </c>
      <c r="E41" s="82"/>
      <c r="F41" s="82"/>
      <c r="G41" s="82"/>
      <c r="H41" s="128" t="s">
        <v>66</v>
      </c>
      <c r="I41" s="90"/>
      <c r="J41" s="82"/>
      <c r="K41" s="217"/>
    </row>
    <row r="42" spans="1:11" x14ac:dyDescent="0.25">
      <c r="A42" s="91">
        <v>46139</v>
      </c>
      <c r="B42" s="82" t="s">
        <v>118</v>
      </c>
      <c r="C42" s="124" t="s">
        <v>146</v>
      </c>
      <c r="D42" s="82">
        <v>1430</v>
      </c>
      <c r="E42" s="82"/>
      <c r="F42" s="82"/>
      <c r="G42" s="82"/>
      <c r="H42" s="123">
        <v>123322</v>
      </c>
      <c r="I42" s="90" t="s">
        <v>147</v>
      </c>
      <c r="J42" s="82"/>
      <c r="K42" s="217"/>
    </row>
    <row r="43" spans="1:11" x14ac:dyDescent="0.25">
      <c r="A43" s="91">
        <v>46141</v>
      </c>
      <c r="B43" s="82" t="s">
        <v>146</v>
      </c>
      <c r="C43" s="124" t="s">
        <v>9</v>
      </c>
      <c r="D43" s="82">
        <v>940</v>
      </c>
      <c r="E43" s="82"/>
      <c r="F43" s="82"/>
      <c r="G43" s="82"/>
      <c r="H43" s="83" t="s">
        <v>66</v>
      </c>
      <c r="I43" s="90"/>
      <c r="J43" s="82"/>
      <c r="K43" s="217"/>
    </row>
    <row r="44" spans="1:11" x14ac:dyDescent="0.25">
      <c r="A44" s="91"/>
      <c r="B44" s="82"/>
      <c r="C44" s="124"/>
      <c r="D44" s="151" t="s">
        <v>464</v>
      </c>
      <c r="E44" s="82"/>
      <c r="F44" s="82"/>
      <c r="G44" s="82"/>
      <c r="H44" s="83"/>
      <c r="I44" s="90"/>
      <c r="J44" s="82"/>
      <c r="K44" s="217"/>
    </row>
    <row r="45" spans="1:11" x14ac:dyDescent="0.25">
      <c r="A45" s="5"/>
      <c r="B45" s="6"/>
      <c r="C45" s="6"/>
      <c r="D45" s="6"/>
      <c r="E45" s="6"/>
      <c r="F45" s="6"/>
      <c r="G45" s="6"/>
      <c r="H45" s="7"/>
      <c r="I45" s="7"/>
      <c r="J45" s="140"/>
      <c r="K45" s="218"/>
    </row>
    <row r="46" spans="1:11" x14ac:dyDescent="0.25">
      <c r="D46" s="17">
        <f>SUM(D3:D45)</f>
        <v>12755</v>
      </c>
      <c r="E46" s="13"/>
      <c r="F46" s="13">
        <f>AVERAGE(F3:F44)</f>
        <v>31.872499999999999</v>
      </c>
      <c r="G46" s="13"/>
      <c r="J46" s="139">
        <f>SUM(J3:J45)</f>
        <v>0</v>
      </c>
      <c r="K46" s="219">
        <f>SUM(K3:K45)</f>
        <v>0</v>
      </c>
    </row>
    <row r="48" spans="1:11" x14ac:dyDescent="0.25">
      <c r="B48">
        <v>-2000</v>
      </c>
      <c r="D48" s="11"/>
      <c r="E48" s="11"/>
      <c r="F48" s="11"/>
      <c r="G48" s="11"/>
      <c r="K48" s="4"/>
    </row>
    <row r="49" spans="2:11" x14ac:dyDescent="0.25">
      <c r="B49">
        <v>280</v>
      </c>
      <c r="C49" s="11" t="s">
        <v>74</v>
      </c>
      <c r="D49" s="11">
        <v>44550</v>
      </c>
      <c r="E49" s="11"/>
      <c r="F49" s="11"/>
      <c r="G49" s="11"/>
      <c r="K49" s="4"/>
    </row>
    <row r="50" spans="2:11" x14ac:dyDescent="0.25">
      <c r="B50">
        <v>1220</v>
      </c>
      <c r="C50" s="11" t="s">
        <v>74</v>
      </c>
      <c r="D50" s="11">
        <v>44641</v>
      </c>
      <c r="E50" s="11"/>
      <c r="F50" s="11"/>
      <c r="G50" s="11"/>
      <c r="K50" s="4"/>
    </row>
    <row r="51" spans="2:11" x14ac:dyDescent="0.25">
      <c r="B51">
        <v>-1500</v>
      </c>
      <c r="C51" s="11" t="s">
        <v>93</v>
      </c>
      <c r="D51" s="11">
        <v>44641</v>
      </c>
      <c r="E51" s="11"/>
      <c r="F51" s="11"/>
      <c r="G51" s="11"/>
      <c r="K51" s="4"/>
    </row>
    <row r="52" spans="2:11" x14ac:dyDescent="0.25">
      <c r="B52">
        <v>600</v>
      </c>
      <c r="C52" s="11" t="s">
        <v>12</v>
      </c>
      <c r="D52" s="11"/>
      <c r="E52" s="11"/>
      <c r="F52" s="11"/>
      <c r="G52" s="11"/>
      <c r="K52" s="4"/>
    </row>
    <row r="53" spans="2:11" x14ac:dyDescent="0.25">
      <c r="B53">
        <v>-600</v>
      </c>
      <c r="C53" s="11" t="s">
        <v>13</v>
      </c>
      <c r="D53" s="11"/>
      <c r="E53" s="11"/>
      <c r="F53" s="11"/>
      <c r="G53" s="11"/>
      <c r="K53" s="4"/>
    </row>
    <row r="54" spans="2:11" x14ac:dyDescent="0.25">
      <c r="B54">
        <v>560</v>
      </c>
      <c r="C54" s="11" t="s">
        <v>74</v>
      </c>
      <c r="D54" s="11">
        <v>44809</v>
      </c>
      <c r="E54" s="11"/>
      <c r="F54" s="11"/>
      <c r="G54" s="11"/>
      <c r="K54" s="4"/>
    </row>
    <row r="55" spans="2:11" x14ac:dyDescent="0.25">
      <c r="B55">
        <v>-600</v>
      </c>
      <c r="C55" s="11" t="s">
        <v>93</v>
      </c>
      <c r="D55" s="11">
        <v>44809</v>
      </c>
      <c r="E55" s="11"/>
      <c r="F55" s="11"/>
      <c r="G55" s="11"/>
      <c r="K55" s="4"/>
    </row>
    <row r="56" spans="2:11" x14ac:dyDescent="0.25">
      <c r="B56">
        <v>1360</v>
      </c>
      <c r="C56" s="11" t="s">
        <v>12</v>
      </c>
      <c r="D56" s="11">
        <v>44814</v>
      </c>
      <c r="E56" s="11"/>
      <c r="F56" s="11"/>
      <c r="G56" s="11"/>
      <c r="K56" s="4"/>
    </row>
    <row r="57" spans="2:11" x14ac:dyDescent="0.25">
      <c r="B57">
        <v>-1400</v>
      </c>
      <c r="C57" s="11" t="s">
        <v>13</v>
      </c>
      <c r="D57" s="11"/>
      <c r="E57" s="11"/>
      <c r="F57" s="11"/>
      <c r="G57" s="11"/>
      <c r="K57" s="4"/>
    </row>
    <row r="58" spans="2:11" x14ac:dyDescent="0.25">
      <c r="B58">
        <v>840</v>
      </c>
      <c r="C58" s="11" t="s">
        <v>12</v>
      </c>
      <c r="D58" s="11">
        <v>44818</v>
      </c>
      <c r="E58" s="11"/>
      <c r="F58" s="11"/>
      <c r="G58" s="11"/>
      <c r="K58" s="4"/>
    </row>
    <row r="59" spans="2:11" x14ac:dyDescent="0.25">
      <c r="B59">
        <v>-800</v>
      </c>
      <c r="C59" s="11" t="s">
        <v>93</v>
      </c>
      <c r="D59" s="11">
        <v>44818</v>
      </c>
      <c r="E59" s="11"/>
      <c r="F59" s="11"/>
      <c r="G59" s="11"/>
      <c r="K59" s="4"/>
    </row>
    <row r="60" spans="2:11" x14ac:dyDescent="0.25">
      <c r="B60">
        <v>1660</v>
      </c>
      <c r="C60" s="11" t="s">
        <v>74</v>
      </c>
      <c r="D60" s="11">
        <v>44837</v>
      </c>
      <c r="E60" s="11"/>
      <c r="F60" s="11"/>
      <c r="G60" s="11"/>
      <c r="K60" s="4"/>
    </row>
    <row r="61" spans="2:11" x14ac:dyDescent="0.25">
      <c r="B61">
        <v>-1700</v>
      </c>
      <c r="C61" s="11" t="s">
        <v>93</v>
      </c>
      <c r="D61" s="11">
        <v>44837</v>
      </c>
      <c r="E61" s="11"/>
      <c r="F61" s="11"/>
      <c r="G61" s="11"/>
      <c r="K61" s="4"/>
    </row>
    <row r="62" spans="2:11" x14ac:dyDescent="0.25">
      <c r="B62">
        <v>400</v>
      </c>
      <c r="C62" s="11" t="s">
        <v>74</v>
      </c>
      <c r="D62" s="11">
        <v>44863</v>
      </c>
      <c r="E62" s="11"/>
      <c r="F62" s="11"/>
      <c r="G62" s="11"/>
      <c r="K62" s="4"/>
    </row>
    <row r="63" spans="2:11" x14ac:dyDescent="0.25">
      <c r="B63">
        <v>-400</v>
      </c>
      <c r="C63" s="11" t="s">
        <v>93</v>
      </c>
      <c r="D63" s="11"/>
      <c r="E63" s="11"/>
      <c r="F63" s="11"/>
      <c r="G63" s="11"/>
      <c r="K63" s="4"/>
    </row>
    <row r="64" spans="2:11" x14ac:dyDescent="0.25">
      <c r="B64">
        <v>-300</v>
      </c>
      <c r="C64" s="11" t="s">
        <v>190</v>
      </c>
      <c r="D64" s="11">
        <v>44867</v>
      </c>
      <c r="E64" s="11"/>
      <c r="F64" s="11"/>
      <c r="G64" s="11"/>
      <c r="K64" s="4"/>
    </row>
    <row r="65" spans="2:11" x14ac:dyDescent="0.25">
      <c r="B65">
        <v>400</v>
      </c>
      <c r="C65" s="11" t="s">
        <v>74</v>
      </c>
      <c r="D65" s="11">
        <v>44868</v>
      </c>
      <c r="E65" s="11"/>
      <c r="F65" s="11"/>
      <c r="G65" s="11"/>
      <c r="K65" s="4"/>
    </row>
    <row r="66" spans="2:11" x14ac:dyDescent="0.25">
      <c r="B66">
        <v>-400</v>
      </c>
      <c r="C66" s="11" t="s">
        <v>93</v>
      </c>
      <c r="D66" s="11">
        <v>44868</v>
      </c>
      <c r="E66" s="11"/>
      <c r="F66" s="11"/>
      <c r="G66" s="11"/>
      <c r="K66" s="4"/>
    </row>
    <row r="67" spans="2:11" x14ac:dyDescent="0.25">
      <c r="B67">
        <v>800</v>
      </c>
      <c r="C67" s="11" t="s">
        <v>12</v>
      </c>
      <c r="D67" s="11">
        <v>44877</v>
      </c>
      <c r="E67" s="11"/>
      <c r="F67" s="11"/>
      <c r="G67" s="11"/>
      <c r="K67" s="4"/>
    </row>
    <row r="68" spans="2:11" x14ac:dyDescent="0.25">
      <c r="B68">
        <v>-800</v>
      </c>
      <c r="C68" s="11" t="s">
        <v>93</v>
      </c>
      <c r="D68" s="11">
        <v>44877</v>
      </c>
      <c r="E68" s="11"/>
      <c r="F68" s="11"/>
      <c r="G68" s="11"/>
      <c r="K68" s="4"/>
    </row>
    <row r="69" spans="2:11" x14ac:dyDescent="0.25">
      <c r="B69">
        <v>400</v>
      </c>
      <c r="C69" s="11" t="s">
        <v>74</v>
      </c>
      <c r="D69" s="11">
        <v>44880</v>
      </c>
      <c r="E69" s="11"/>
      <c r="F69" s="11"/>
      <c r="G69" s="11"/>
      <c r="K69" s="4"/>
    </row>
    <row r="70" spans="2:11" x14ac:dyDescent="0.25">
      <c r="B70">
        <v>800</v>
      </c>
      <c r="C70" s="11" t="s">
        <v>74</v>
      </c>
      <c r="D70" s="11">
        <v>44890</v>
      </c>
      <c r="E70" s="11"/>
      <c r="F70" s="11"/>
      <c r="G70" s="11"/>
      <c r="K70" s="4"/>
    </row>
    <row r="71" spans="2:11" x14ac:dyDescent="0.25">
      <c r="B71">
        <v>-900</v>
      </c>
      <c r="C71" s="11" t="s">
        <v>93</v>
      </c>
      <c r="D71" s="11"/>
      <c r="E71" s="11"/>
      <c r="F71" s="11"/>
      <c r="G71" s="11"/>
      <c r="K71" s="4"/>
    </row>
    <row r="72" spans="2:11" x14ac:dyDescent="0.25">
      <c r="B72">
        <v>800</v>
      </c>
      <c r="C72" s="11" t="s">
        <v>74</v>
      </c>
      <c r="D72" s="11"/>
      <c r="E72" s="11"/>
      <c r="F72" s="11"/>
      <c r="G72" s="11"/>
      <c r="K72" s="4"/>
    </row>
    <row r="73" spans="2:11" x14ac:dyDescent="0.25">
      <c r="B73">
        <v>-800</v>
      </c>
      <c r="C73" s="11" t="s">
        <v>93</v>
      </c>
      <c r="D73" s="11"/>
      <c r="E73" s="11"/>
      <c r="F73" s="11"/>
      <c r="G73" s="11"/>
      <c r="K73" s="4"/>
    </row>
    <row r="74" spans="2:11" x14ac:dyDescent="0.25">
      <c r="B74">
        <v>800</v>
      </c>
      <c r="C74" s="11" t="s">
        <v>12</v>
      </c>
      <c r="D74" s="11">
        <v>44914</v>
      </c>
      <c r="E74" s="11"/>
      <c r="F74" s="11"/>
      <c r="G74" s="11"/>
      <c r="K74" s="4"/>
    </row>
    <row r="75" spans="2:11" x14ac:dyDescent="0.25">
      <c r="B75">
        <v>-800</v>
      </c>
      <c r="C75" s="11" t="s">
        <v>93</v>
      </c>
      <c r="D75" s="11">
        <v>44914</v>
      </c>
      <c r="E75" s="11"/>
      <c r="F75" s="11"/>
      <c r="G75" s="11"/>
      <c r="K75" s="4"/>
    </row>
    <row r="76" spans="2:11" x14ac:dyDescent="0.25">
      <c r="B76">
        <v>2400</v>
      </c>
      <c r="C76" s="11" t="s">
        <v>74</v>
      </c>
      <c r="D76" s="11">
        <v>44932</v>
      </c>
      <c r="E76" s="11"/>
      <c r="F76" s="11"/>
      <c r="G76" s="11"/>
      <c r="K76" s="4"/>
    </row>
    <row r="77" spans="2:11" x14ac:dyDescent="0.25">
      <c r="B77">
        <v>-2400</v>
      </c>
      <c r="C77" s="11" t="s">
        <v>93</v>
      </c>
      <c r="D77" s="11"/>
      <c r="E77" s="11"/>
      <c r="F77" s="11"/>
      <c r="G77" s="11"/>
      <c r="K77" s="4"/>
    </row>
    <row r="78" spans="2:11" x14ac:dyDescent="0.25">
      <c r="B78">
        <v>800</v>
      </c>
      <c r="C78" s="11" t="s">
        <v>74</v>
      </c>
      <c r="D78" s="11"/>
      <c r="E78" s="11"/>
      <c r="F78" s="11"/>
      <c r="G78" s="11"/>
      <c r="K78" s="4"/>
    </row>
    <row r="79" spans="2:11" x14ac:dyDescent="0.25">
      <c r="B79">
        <v>-800</v>
      </c>
      <c r="C79" s="11" t="s">
        <v>93</v>
      </c>
      <c r="D79" s="11"/>
      <c r="E79" s="11"/>
      <c r="F79" s="11"/>
      <c r="G79" s="11"/>
      <c r="K79" s="4"/>
    </row>
    <row r="80" spans="2:11" x14ac:dyDescent="0.25">
      <c r="B80">
        <v>800</v>
      </c>
      <c r="C80" s="11" t="s">
        <v>74</v>
      </c>
      <c r="D80" s="11"/>
      <c r="E80" s="11"/>
      <c r="F80" s="11"/>
      <c r="G80" s="11"/>
      <c r="K80" s="4"/>
    </row>
    <row r="81" spans="2:11" x14ac:dyDescent="0.25">
      <c r="B81">
        <v>-800</v>
      </c>
      <c r="C81" s="11" t="s">
        <v>93</v>
      </c>
      <c r="D81" s="11"/>
      <c r="E81" s="11"/>
      <c r="F81" s="11"/>
      <c r="G81" s="11"/>
      <c r="K81" s="4"/>
    </row>
    <row r="82" spans="2:11" x14ac:dyDescent="0.25">
      <c r="B82">
        <v>2000</v>
      </c>
      <c r="C82" s="11" t="s">
        <v>12</v>
      </c>
      <c r="D82" s="11">
        <v>44968</v>
      </c>
      <c r="E82" s="11"/>
      <c r="F82" s="11"/>
      <c r="G82" s="11"/>
      <c r="K82" s="4"/>
    </row>
    <row r="83" spans="2:11" x14ac:dyDescent="0.25">
      <c r="B83">
        <v>-2000</v>
      </c>
      <c r="C83" s="11" t="s">
        <v>13</v>
      </c>
      <c r="D83" s="11">
        <v>44968</v>
      </c>
      <c r="E83" s="11"/>
      <c r="F83" s="11"/>
      <c r="G83" s="11"/>
      <c r="K83" s="4"/>
    </row>
    <row r="84" spans="2:11" x14ac:dyDescent="0.25">
      <c r="B84">
        <v>800</v>
      </c>
      <c r="C84" s="11" t="s">
        <v>74</v>
      </c>
      <c r="D84" s="11">
        <v>44987</v>
      </c>
      <c r="E84" s="11"/>
      <c r="F84" s="11"/>
      <c r="G84" s="11"/>
      <c r="K84" s="4"/>
    </row>
    <row r="85" spans="2:11" x14ac:dyDescent="0.25">
      <c r="B85">
        <v>-800</v>
      </c>
      <c r="C85" s="11" t="s">
        <v>93</v>
      </c>
      <c r="D85" s="11"/>
      <c r="E85" s="11"/>
      <c r="F85" s="11"/>
      <c r="G85" s="11"/>
      <c r="K85" s="4"/>
    </row>
    <row r="86" spans="2:11" x14ac:dyDescent="0.25">
      <c r="B86">
        <v>800</v>
      </c>
      <c r="C86" s="11" t="s">
        <v>12</v>
      </c>
      <c r="D86" s="11">
        <v>45005</v>
      </c>
      <c r="E86" s="11"/>
      <c r="F86" s="11"/>
      <c r="G86" s="11"/>
      <c r="K86" s="4"/>
    </row>
    <row r="87" spans="2:11" x14ac:dyDescent="0.25">
      <c r="B87">
        <v>-800</v>
      </c>
      <c r="C87" s="11" t="s">
        <v>93</v>
      </c>
      <c r="D87" s="11">
        <v>45005</v>
      </c>
      <c r="E87" s="11"/>
      <c r="F87" s="11"/>
      <c r="G87" s="11"/>
      <c r="K87" s="4"/>
    </row>
    <row r="88" spans="2:11" x14ac:dyDescent="0.25">
      <c r="B88">
        <v>800</v>
      </c>
      <c r="C88" s="11" t="s">
        <v>12</v>
      </c>
      <c r="D88" s="11">
        <v>45016</v>
      </c>
      <c r="E88" s="11"/>
      <c r="F88" s="11"/>
      <c r="G88" s="11"/>
      <c r="K88" s="4"/>
    </row>
    <row r="89" spans="2:11" x14ac:dyDescent="0.25">
      <c r="B89">
        <v>-800</v>
      </c>
      <c r="C89" s="11" t="s">
        <v>93</v>
      </c>
      <c r="D89" s="11">
        <v>45016</v>
      </c>
      <c r="E89" s="11"/>
      <c r="F89" s="11"/>
      <c r="G89" s="11"/>
      <c r="K89" s="4"/>
    </row>
    <row r="90" spans="2:11" x14ac:dyDescent="0.25">
      <c r="B90">
        <v>800</v>
      </c>
      <c r="C90" s="11" t="s">
        <v>74</v>
      </c>
      <c r="D90" s="11">
        <v>45022</v>
      </c>
      <c r="E90" s="11"/>
      <c r="F90" s="11"/>
      <c r="G90" s="11"/>
      <c r="K90" s="4"/>
    </row>
    <row r="91" spans="2:11" x14ac:dyDescent="0.25">
      <c r="B91">
        <v>-800</v>
      </c>
      <c r="C91" s="11" t="s">
        <v>93</v>
      </c>
      <c r="D91" s="11"/>
      <c r="E91" s="11"/>
      <c r="F91" s="11"/>
      <c r="G91" s="11"/>
      <c r="K91" s="4"/>
    </row>
    <row r="92" spans="2:11" x14ac:dyDescent="0.25">
      <c r="B92">
        <v>800</v>
      </c>
      <c r="C92" s="11" t="s">
        <v>74</v>
      </c>
      <c r="D92" s="11">
        <v>45030</v>
      </c>
      <c r="E92" s="11"/>
      <c r="F92" s="11"/>
      <c r="G92" s="11"/>
      <c r="K92" s="4"/>
    </row>
    <row r="93" spans="2:11" x14ac:dyDescent="0.25">
      <c r="B93">
        <v>-800</v>
      </c>
      <c r="C93" s="11" t="s">
        <v>93</v>
      </c>
      <c r="D93" s="11">
        <v>45030</v>
      </c>
      <c r="E93" s="11"/>
      <c r="F93" s="11"/>
      <c r="G93" s="11"/>
      <c r="K93" s="4"/>
    </row>
    <row r="94" spans="2:11" x14ac:dyDescent="0.25">
      <c r="B94">
        <v>800</v>
      </c>
      <c r="C94" s="11" t="s">
        <v>12</v>
      </c>
      <c r="D94" s="11">
        <v>45038</v>
      </c>
      <c r="E94" s="11"/>
      <c r="F94" s="11"/>
      <c r="G94" s="11"/>
      <c r="K94" s="4"/>
    </row>
    <row r="95" spans="2:11" x14ac:dyDescent="0.25">
      <c r="B95">
        <v>-800</v>
      </c>
      <c r="C95" s="11" t="s">
        <v>93</v>
      </c>
      <c r="D95" s="11"/>
      <c r="E95" s="11"/>
      <c r="F95" s="11"/>
      <c r="G95" s="11"/>
      <c r="K95" s="4"/>
    </row>
    <row r="96" spans="2:11" x14ac:dyDescent="0.25">
      <c r="B96">
        <v>800</v>
      </c>
      <c r="C96" s="11" t="s">
        <v>74</v>
      </c>
      <c r="D96" s="11">
        <v>45050</v>
      </c>
      <c r="E96" s="11"/>
      <c r="F96" s="11"/>
      <c r="G96" s="11"/>
      <c r="K96" s="4"/>
    </row>
    <row r="97" spans="2:11" x14ac:dyDescent="0.25">
      <c r="B97">
        <v>-800</v>
      </c>
      <c r="C97" s="11" t="s">
        <v>93</v>
      </c>
      <c r="D97" s="11">
        <v>45050</v>
      </c>
      <c r="E97" s="11"/>
      <c r="F97" s="11"/>
      <c r="G97" s="11"/>
      <c r="K97" s="4"/>
    </row>
    <row r="98" spans="2:11" x14ac:dyDescent="0.25">
      <c r="B98">
        <v>800</v>
      </c>
      <c r="C98" s="11" t="s">
        <v>74</v>
      </c>
      <c r="D98" s="11">
        <v>45059</v>
      </c>
      <c r="E98" s="11"/>
      <c r="F98" s="11"/>
      <c r="G98" s="11"/>
      <c r="K98" s="4"/>
    </row>
    <row r="99" spans="2:11" x14ac:dyDescent="0.25">
      <c r="B99">
        <v>-800</v>
      </c>
      <c r="C99" s="11" t="s">
        <v>93</v>
      </c>
      <c r="D99" s="11"/>
      <c r="E99" s="11"/>
      <c r="F99" s="11"/>
      <c r="G99" s="11"/>
      <c r="K99" s="4"/>
    </row>
    <row r="100" spans="2:11" x14ac:dyDescent="0.25">
      <c r="B100">
        <v>1200</v>
      </c>
      <c r="C100" s="11" t="s">
        <v>12</v>
      </c>
      <c r="D100" s="11">
        <v>45070</v>
      </c>
      <c r="E100" s="11"/>
      <c r="F100" s="11"/>
      <c r="G100" s="11"/>
      <c r="K100" s="4"/>
    </row>
    <row r="101" spans="2:11" x14ac:dyDescent="0.25">
      <c r="B101">
        <v>-1200</v>
      </c>
      <c r="C101" s="11" t="s">
        <v>93</v>
      </c>
      <c r="D101" s="11">
        <v>45070</v>
      </c>
      <c r="E101" s="11"/>
      <c r="F101" s="11"/>
      <c r="G101" s="11"/>
      <c r="K101" s="4"/>
    </row>
    <row r="102" spans="2:11" x14ac:dyDescent="0.25">
      <c r="B102">
        <v>1200</v>
      </c>
      <c r="C102" s="11" t="s">
        <v>74</v>
      </c>
      <c r="D102" s="11">
        <v>45083</v>
      </c>
      <c r="E102" s="11"/>
      <c r="F102" s="11"/>
      <c r="G102" s="11"/>
      <c r="K102" s="4"/>
    </row>
    <row r="103" spans="2:11" x14ac:dyDescent="0.25">
      <c r="B103">
        <v>-1200</v>
      </c>
      <c r="C103" s="11" t="s">
        <v>93</v>
      </c>
      <c r="D103" s="11">
        <v>45083</v>
      </c>
      <c r="E103" s="11"/>
      <c r="F103" s="11"/>
      <c r="G103" s="11"/>
      <c r="K103" s="4"/>
    </row>
    <row r="104" spans="2:11" x14ac:dyDescent="0.25">
      <c r="B104">
        <v>1200</v>
      </c>
      <c r="C104" s="11" t="s">
        <v>12</v>
      </c>
      <c r="D104" s="11">
        <v>45093</v>
      </c>
      <c r="E104" s="11"/>
      <c r="F104" s="11"/>
      <c r="G104" s="11"/>
      <c r="K104" s="4"/>
    </row>
    <row r="105" spans="2:11" x14ac:dyDescent="0.25">
      <c r="B105">
        <v>-1200</v>
      </c>
      <c r="C105" s="11" t="s">
        <v>13</v>
      </c>
      <c r="D105" s="11">
        <v>45093</v>
      </c>
      <c r="E105" s="11"/>
      <c r="F105" s="11"/>
      <c r="G105" s="11"/>
      <c r="K105" s="4"/>
    </row>
    <row r="106" spans="2:11" x14ac:dyDescent="0.25">
      <c r="B106">
        <v>1200</v>
      </c>
      <c r="C106" s="11" t="s">
        <v>12</v>
      </c>
      <c r="D106" s="11">
        <v>45139</v>
      </c>
      <c r="E106" s="11"/>
      <c r="F106" s="11"/>
      <c r="G106" s="11"/>
      <c r="K106" s="4"/>
    </row>
    <row r="107" spans="2:11" x14ac:dyDescent="0.25">
      <c r="B107">
        <v>-1200</v>
      </c>
      <c r="C107" s="11" t="s">
        <v>93</v>
      </c>
      <c r="D107" s="11">
        <v>45139</v>
      </c>
      <c r="E107" s="11"/>
      <c r="F107" s="11"/>
      <c r="G107" s="11"/>
      <c r="K107" s="4"/>
    </row>
    <row r="108" spans="2:11" x14ac:dyDescent="0.25">
      <c r="B108">
        <v>1600</v>
      </c>
      <c r="C108" s="11" t="s">
        <v>74</v>
      </c>
      <c r="D108" s="11">
        <v>45153</v>
      </c>
      <c r="E108" s="11"/>
      <c r="F108" s="11"/>
      <c r="G108" s="11"/>
      <c r="K108" s="4"/>
    </row>
    <row r="109" spans="2:11" x14ac:dyDescent="0.25">
      <c r="B109">
        <v>-1600</v>
      </c>
      <c r="C109" s="11" t="s">
        <v>93</v>
      </c>
      <c r="D109" s="11">
        <v>45153</v>
      </c>
      <c r="E109" s="11"/>
      <c r="F109" s="11"/>
      <c r="G109" s="11"/>
      <c r="K109" s="4"/>
    </row>
    <row r="110" spans="2:11" x14ac:dyDescent="0.25">
      <c r="B110">
        <v>2400</v>
      </c>
      <c r="C110" s="11" t="s">
        <v>74</v>
      </c>
      <c r="D110" s="11"/>
      <c r="E110" s="11"/>
      <c r="F110" s="11"/>
      <c r="G110" s="11"/>
      <c r="K110" s="4"/>
    </row>
    <row r="111" spans="2:11" x14ac:dyDescent="0.25">
      <c r="B111">
        <v>-2400</v>
      </c>
      <c r="C111" s="11" t="s">
        <v>93</v>
      </c>
      <c r="D111" s="11"/>
      <c r="E111" s="11"/>
      <c r="F111" s="11"/>
      <c r="G111" s="11"/>
      <c r="K111" s="4"/>
    </row>
    <row r="112" spans="2:11" x14ac:dyDescent="0.25">
      <c r="B112">
        <v>800</v>
      </c>
      <c r="C112" s="11" t="s">
        <v>74</v>
      </c>
      <c r="D112" s="11"/>
      <c r="E112" s="11"/>
      <c r="F112" s="11"/>
      <c r="G112" s="11"/>
      <c r="K112" s="4"/>
    </row>
    <row r="113" spans="2:11" x14ac:dyDescent="0.25">
      <c r="B113">
        <v>-800</v>
      </c>
      <c r="C113" s="11" t="s">
        <v>93</v>
      </c>
      <c r="D113" s="11">
        <v>45190</v>
      </c>
      <c r="E113" s="11"/>
      <c r="F113" s="11"/>
      <c r="G113" s="11"/>
      <c r="K113" s="4"/>
    </row>
    <row r="114" spans="2:11" x14ac:dyDescent="0.25">
      <c r="B114">
        <v>-300</v>
      </c>
      <c r="C114" s="11" t="s">
        <v>175</v>
      </c>
      <c r="D114" s="11">
        <v>45222</v>
      </c>
      <c r="E114" s="11"/>
      <c r="F114" s="11"/>
      <c r="G114" s="11"/>
      <c r="K114" s="4"/>
    </row>
    <row r="115" spans="2:11" x14ac:dyDescent="0.25">
      <c r="B115">
        <v>1600</v>
      </c>
      <c r="C115" s="11" t="s">
        <v>12</v>
      </c>
      <c r="D115" s="11"/>
      <c r="E115" s="11"/>
      <c r="F115" s="11"/>
      <c r="G115" s="11"/>
      <c r="K115" s="4"/>
    </row>
    <row r="116" spans="2:11" x14ac:dyDescent="0.25">
      <c r="B116">
        <v>-1300</v>
      </c>
      <c r="C116" s="11" t="s">
        <v>93</v>
      </c>
      <c r="D116" s="11"/>
      <c r="E116" s="11"/>
      <c r="F116" s="11"/>
      <c r="G116" s="11"/>
      <c r="K116" s="4"/>
    </row>
    <row r="117" spans="2:11" x14ac:dyDescent="0.25">
      <c r="B117">
        <v>1800</v>
      </c>
      <c r="C117" s="11" t="s">
        <v>138</v>
      </c>
      <c r="D117" s="11">
        <v>45299</v>
      </c>
      <c r="E117" s="11"/>
      <c r="F117" s="11"/>
      <c r="G117" s="11"/>
      <c r="K117" s="4"/>
    </row>
    <row r="118" spans="2:11" x14ac:dyDescent="0.25">
      <c r="B118">
        <v>-1800</v>
      </c>
      <c r="C118" s="11" t="s">
        <v>13</v>
      </c>
      <c r="D118" s="11"/>
      <c r="E118" s="11"/>
      <c r="F118" s="11"/>
      <c r="G118" s="11"/>
      <c r="K118" s="4"/>
    </row>
    <row r="119" spans="2:11" x14ac:dyDescent="0.25">
      <c r="B119">
        <v>-1000</v>
      </c>
      <c r="C119" s="11" t="s">
        <v>175</v>
      </c>
      <c r="D119" s="11">
        <v>45568</v>
      </c>
      <c r="E119" s="11"/>
      <c r="F119" s="11"/>
      <c r="G119" s="11"/>
      <c r="K119" s="4"/>
    </row>
    <row r="120" spans="2:11" x14ac:dyDescent="0.25">
      <c r="B120">
        <v>-1000</v>
      </c>
      <c r="C120" s="11" t="s">
        <v>175</v>
      </c>
      <c r="D120" s="11">
        <v>45931</v>
      </c>
      <c r="E120" s="11"/>
      <c r="F120" s="11"/>
      <c r="G120" s="11"/>
      <c r="K120" s="4"/>
    </row>
    <row r="121" spans="2:11" x14ac:dyDescent="0.25">
      <c r="C121" s="11"/>
      <c r="D121" s="11"/>
      <c r="E121" s="11"/>
      <c r="F121" s="11"/>
      <c r="G121" s="11"/>
      <c r="K121" s="4"/>
    </row>
    <row r="122" spans="2:11" x14ac:dyDescent="0.25">
      <c r="B122" s="135">
        <f>SUM(B48:B120)</f>
        <v>-4080</v>
      </c>
      <c r="C122" s="11">
        <v>45931</v>
      </c>
      <c r="D122" s="11"/>
      <c r="E122" s="11"/>
      <c r="F122" s="11"/>
      <c r="G122" s="11"/>
      <c r="K122" s="4"/>
    </row>
    <row r="123" spans="2:11" x14ac:dyDescent="0.25">
      <c r="B123" s="11"/>
      <c r="D123" s="11"/>
      <c r="E123" s="11"/>
      <c r="F123" s="11"/>
      <c r="G123" s="11"/>
      <c r="K123" s="4"/>
    </row>
    <row r="124" spans="2:11" x14ac:dyDescent="0.25">
      <c r="B124" s="11"/>
      <c r="E124" s="240">
        <f>800*3</f>
        <v>2400</v>
      </c>
      <c r="F124" s="11"/>
      <c r="G124" s="11"/>
      <c r="K124" s="4"/>
    </row>
    <row r="125" spans="2:11" x14ac:dyDescent="0.25">
      <c r="B125" s="11"/>
      <c r="E125" s="11"/>
      <c r="F125" s="11"/>
      <c r="G125" s="11"/>
      <c r="K125" s="4"/>
    </row>
    <row r="126" spans="2:11" x14ac:dyDescent="0.25">
      <c r="B126" s="11"/>
      <c r="E126" s="11"/>
      <c r="F126" s="11"/>
      <c r="G126" s="11"/>
      <c r="K126" s="4"/>
    </row>
    <row r="127" spans="2:11" x14ac:dyDescent="0.25">
      <c r="B127" s="11"/>
      <c r="C127" s="11"/>
      <c r="E127" s="11"/>
      <c r="F127" s="11"/>
      <c r="G127" s="11"/>
      <c r="K127" s="4"/>
    </row>
    <row r="128" spans="2:11" x14ac:dyDescent="0.25">
      <c r="B128" s="11"/>
      <c r="E128" s="4"/>
      <c r="K128" s="4"/>
    </row>
    <row r="129" spans="2:11" x14ac:dyDescent="0.25">
      <c r="B129" s="11"/>
      <c r="F129" s="11"/>
      <c r="G129" s="11"/>
      <c r="I129" s="173"/>
      <c r="K129" s="4"/>
    </row>
    <row r="130" spans="2:11" x14ac:dyDescent="0.25">
      <c r="B130" s="11"/>
      <c r="E130" s="11"/>
      <c r="F130" s="11"/>
      <c r="G130" s="11"/>
      <c r="K130" s="4"/>
    </row>
    <row r="131" spans="2:11" x14ac:dyDescent="0.25">
      <c r="B131" s="11"/>
      <c r="K131" s="4"/>
    </row>
    <row r="132" spans="2:11" x14ac:dyDescent="0.25">
      <c r="B132" s="11"/>
      <c r="E132" s="11"/>
      <c r="F132" s="11"/>
      <c r="G132" s="11"/>
      <c r="K132" s="4"/>
    </row>
    <row r="133" spans="2:11" x14ac:dyDescent="0.25">
      <c r="B133" s="11"/>
      <c r="I133" s="4"/>
    </row>
    <row r="134" spans="2:11" x14ac:dyDescent="0.25">
      <c r="B134" s="11"/>
      <c r="E134" s="11"/>
      <c r="F134" s="11"/>
      <c r="G134" s="11"/>
      <c r="K134" s="4"/>
    </row>
    <row r="135" spans="2:11" x14ac:dyDescent="0.25">
      <c r="B135" s="11"/>
      <c r="E135" s="11"/>
      <c r="F135" s="11"/>
      <c r="G135" s="11"/>
      <c r="K135" s="4"/>
    </row>
    <row r="136" spans="2:11" x14ac:dyDescent="0.25">
      <c r="B136" s="11"/>
      <c r="E136" s="11"/>
      <c r="F136" s="11"/>
      <c r="G136" s="11"/>
      <c r="K136" s="4"/>
    </row>
    <row r="137" spans="2:11" x14ac:dyDescent="0.25">
      <c r="B137" s="11"/>
      <c r="E137" s="11"/>
      <c r="F137" s="11"/>
      <c r="G137" s="11"/>
      <c r="K137" s="4"/>
    </row>
    <row r="138" spans="2:11" x14ac:dyDescent="0.25">
      <c r="B138" s="11"/>
      <c r="E138" s="11"/>
      <c r="F138" s="11"/>
      <c r="G138" s="11"/>
      <c r="K138" s="4"/>
    </row>
    <row r="139" spans="2:11" x14ac:dyDescent="0.25">
      <c r="B139" s="11"/>
      <c r="D139" s="11"/>
      <c r="E139" s="11"/>
      <c r="F139" s="11"/>
      <c r="G139" s="11"/>
      <c r="K139" s="4"/>
    </row>
    <row r="140" spans="2:11" x14ac:dyDescent="0.25">
      <c r="B140" s="11"/>
      <c r="E140" s="11"/>
      <c r="F140" s="11"/>
      <c r="G140" s="11"/>
      <c r="K140" s="4"/>
    </row>
    <row r="141" spans="2:11" x14ac:dyDescent="0.25">
      <c r="B141" s="11"/>
      <c r="E141" s="11"/>
      <c r="F141" s="11"/>
      <c r="G141" s="11"/>
      <c r="K141" s="4"/>
    </row>
    <row r="142" spans="2:11" x14ac:dyDescent="0.25">
      <c r="B142" s="11"/>
      <c r="E142" s="11"/>
      <c r="F142" s="11"/>
      <c r="G142" s="11"/>
      <c r="K142" s="4"/>
    </row>
    <row r="143" spans="2:11" x14ac:dyDescent="0.25">
      <c r="B143" s="11"/>
      <c r="E143" s="11"/>
      <c r="F143" s="11"/>
      <c r="G143" s="11"/>
      <c r="K143" s="4"/>
    </row>
    <row r="144" spans="2:11" x14ac:dyDescent="0.25">
      <c r="B144" s="11"/>
      <c r="E144" s="11"/>
      <c r="F144" s="11"/>
      <c r="G144" s="11"/>
      <c r="K144" s="4"/>
    </row>
    <row r="145" spans="2:11" x14ac:dyDescent="0.25">
      <c r="B145" s="11"/>
      <c r="E145" s="11"/>
      <c r="F145" s="11"/>
      <c r="G145" s="11"/>
      <c r="K145" s="4"/>
    </row>
    <row r="146" spans="2:11" x14ac:dyDescent="0.25">
      <c r="B146" s="11"/>
      <c r="E146" s="11"/>
      <c r="F146" s="11"/>
      <c r="G146" s="11"/>
    </row>
    <row r="147" spans="2:11" x14ac:dyDescent="0.25">
      <c r="B147" s="11"/>
      <c r="E147" s="11"/>
      <c r="F147" s="11"/>
      <c r="G147" s="11"/>
    </row>
    <row r="148" spans="2:11" x14ac:dyDescent="0.25">
      <c r="B148" s="11"/>
      <c r="E148" s="11"/>
      <c r="F148" s="11"/>
      <c r="G148" s="11"/>
    </row>
    <row r="149" spans="2:11" x14ac:dyDescent="0.25">
      <c r="B149" s="11"/>
      <c r="E149" s="11"/>
      <c r="F149" s="11"/>
      <c r="G149" s="11"/>
    </row>
    <row r="150" spans="2:11" x14ac:dyDescent="0.25">
      <c r="B150" s="11"/>
      <c r="E150" s="11"/>
      <c r="F150" s="11"/>
      <c r="G150" s="11"/>
    </row>
    <row r="151" spans="2:11" x14ac:dyDescent="0.25">
      <c r="B151" s="11"/>
      <c r="E151" s="11"/>
      <c r="F151" s="11"/>
      <c r="G151" s="11"/>
    </row>
    <row r="152" spans="2:11" x14ac:dyDescent="0.25">
      <c r="B152" s="11"/>
      <c r="E152" s="11"/>
      <c r="F152" s="11"/>
      <c r="G152" s="11"/>
    </row>
    <row r="153" spans="2:11" x14ac:dyDescent="0.25">
      <c r="B153" s="11"/>
      <c r="E153" s="11"/>
      <c r="F153" s="11"/>
      <c r="G153" s="11"/>
    </row>
    <row r="154" spans="2:11" x14ac:dyDescent="0.25">
      <c r="B154" s="11"/>
      <c r="E154" s="11"/>
      <c r="F154" s="11"/>
      <c r="G154" s="11"/>
    </row>
    <row r="155" spans="2:11" x14ac:dyDescent="0.25">
      <c r="B155" s="11"/>
      <c r="E155" s="11"/>
      <c r="F155" s="11"/>
      <c r="G155" s="11"/>
    </row>
    <row r="156" spans="2:11" x14ac:dyDescent="0.25">
      <c r="B156" s="11"/>
      <c r="E156" s="11"/>
      <c r="F156" s="11"/>
      <c r="G156" s="11"/>
    </row>
    <row r="157" spans="2:11" x14ac:dyDescent="0.25">
      <c r="B157" s="11"/>
      <c r="E157" s="11"/>
      <c r="F157" s="11"/>
      <c r="G157" s="11"/>
    </row>
    <row r="158" spans="2:11" x14ac:dyDescent="0.25">
      <c r="B158" s="11"/>
      <c r="E158" s="11"/>
      <c r="F158" s="11"/>
      <c r="G158" s="11"/>
    </row>
    <row r="159" spans="2:11" x14ac:dyDescent="0.25">
      <c r="B159" s="11"/>
      <c r="E159" s="11"/>
      <c r="F159" s="11"/>
      <c r="G159" s="11"/>
    </row>
    <row r="160" spans="2:11" x14ac:dyDescent="0.25">
      <c r="B160" s="11"/>
      <c r="E160" s="11"/>
      <c r="F160" s="11"/>
      <c r="G160" s="11"/>
    </row>
    <row r="161" spans="2:7" x14ac:dyDescent="0.25">
      <c r="B161" s="11"/>
      <c r="E161" s="11"/>
      <c r="F161" s="11"/>
      <c r="G161" s="11"/>
    </row>
    <row r="162" spans="2:7" x14ac:dyDescent="0.25">
      <c r="B162" s="11"/>
      <c r="E162" s="11"/>
      <c r="F162" s="11"/>
      <c r="G162" s="11"/>
    </row>
    <row r="163" spans="2:7" x14ac:dyDescent="0.25">
      <c r="E163" s="11"/>
      <c r="F163" s="11"/>
      <c r="G163" s="11"/>
    </row>
    <row r="164" spans="2:7" x14ac:dyDescent="0.25">
      <c r="E164" s="11"/>
      <c r="F164" s="11"/>
      <c r="G164" s="11"/>
    </row>
    <row r="165" spans="2:7" x14ac:dyDescent="0.25">
      <c r="E165" s="11"/>
      <c r="F165" s="11"/>
      <c r="G165" s="11"/>
    </row>
    <row r="166" spans="2:7" x14ac:dyDescent="0.25">
      <c r="E166" s="11"/>
      <c r="F166" s="11"/>
      <c r="G166" s="11"/>
    </row>
    <row r="167" spans="2:7" x14ac:dyDescent="0.25">
      <c r="E167" s="11"/>
      <c r="F167" s="11"/>
      <c r="G167" s="11"/>
    </row>
    <row r="168" spans="2:7" x14ac:dyDescent="0.25">
      <c r="E168" s="11"/>
      <c r="F168" s="11"/>
      <c r="G168" s="11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63"/>
  <sheetViews>
    <sheetView topLeftCell="A28" zoomScale="110" zoomScaleNormal="110" workbookViewId="0">
      <selection activeCell="A4" sqref="A4:XFD8"/>
    </sheetView>
  </sheetViews>
  <sheetFormatPr baseColWidth="10" defaultRowHeight="15" x14ac:dyDescent="0.25"/>
  <cols>
    <col min="5" max="6" width="11.140625" customWidth="1"/>
    <col min="7" max="7" width="12.140625" style="14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236"/>
      <c r="C3" s="124"/>
      <c r="D3" s="82"/>
      <c r="E3" s="227"/>
      <c r="F3" s="82"/>
      <c r="G3" s="82"/>
      <c r="H3" s="90"/>
      <c r="I3" s="90"/>
      <c r="J3" s="123"/>
      <c r="K3" s="217"/>
    </row>
    <row r="4" spans="1:11" x14ac:dyDescent="0.25">
      <c r="A4" s="91"/>
      <c r="B4" s="236"/>
      <c r="C4" s="124"/>
      <c r="D4" s="82"/>
      <c r="E4" s="227"/>
      <c r="F4" s="82"/>
      <c r="G4" s="82"/>
      <c r="H4" s="90"/>
      <c r="I4" s="90"/>
      <c r="J4" s="123"/>
      <c r="K4" s="217"/>
    </row>
    <row r="5" spans="1:11" x14ac:dyDescent="0.25">
      <c r="A5" s="91"/>
      <c r="B5" s="236"/>
      <c r="C5" s="124"/>
      <c r="D5" s="82"/>
      <c r="E5" s="227"/>
      <c r="F5" s="82"/>
      <c r="G5" s="82"/>
      <c r="H5" s="90"/>
      <c r="I5" s="90"/>
      <c r="J5" s="123"/>
      <c r="K5" s="217"/>
    </row>
    <row r="6" spans="1:11" x14ac:dyDescent="0.25">
      <c r="A6" s="91"/>
      <c r="B6" s="236"/>
      <c r="C6" s="124"/>
      <c r="D6" s="82"/>
      <c r="E6" s="227"/>
      <c r="F6" s="82"/>
      <c r="G6" s="82"/>
      <c r="H6" s="90"/>
      <c r="I6" s="90"/>
      <c r="J6" s="123"/>
      <c r="K6" s="217"/>
    </row>
    <row r="7" spans="1:11" x14ac:dyDescent="0.25">
      <c r="A7" s="91"/>
      <c r="B7" s="236"/>
      <c r="C7" s="124"/>
      <c r="D7" s="82"/>
      <c r="E7" s="227"/>
      <c r="F7" s="82"/>
      <c r="G7" s="82"/>
      <c r="H7" s="90"/>
      <c r="I7" s="90"/>
      <c r="J7" s="123"/>
      <c r="K7" s="217"/>
    </row>
    <row r="8" spans="1:11" x14ac:dyDescent="0.25">
      <c r="A8" s="91"/>
      <c r="B8" s="236"/>
      <c r="C8" s="124"/>
      <c r="D8" s="82"/>
      <c r="E8" s="227"/>
      <c r="F8" s="82"/>
      <c r="G8" s="82"/>
      <c r="H8" s="90"/>
      <c r="I8" s="90"/>
      <c r="J8" s="123"/>
      <c r="K8" s="217"/>
    </row>
    <row r="9" spans="1:11" x14ac:dyDescent="0.25">
      <c r="A9" s="91"/>
      <c r="B9" s="236"/>
      <c r="C9" s="124"/>
      <c r="D9" s="82"/>
      <c r="E9" s="227"/>
      <c r="F9" s="82"/>
      <c r="G9" s="82"/>
      <c r="H9" s="90"/>
      <c r="I9" s="90"/>
      <c r="J9" s="123"/>
      <c r="K9" s="217"/>
    </row>
    <row r="10" spans="1:11" x14ac:dyDescent="0.25">
      <c r="A10" s="91"/>
      <c r="B10" s="236"/>
      <c r="C10" s="124"/>
      <c r="D10" s="82"/>
      <c r="E10" s="227"/>
      <c r="F10" s="82"/>
      <c r="G10" s="82"/>
      <c r="H10" s="90"/>
      <c r="I10" s="90"/>
      <c r="J10" s="123"/>
      <c r="K10" s="217"/>
    </row>
    <row r="11" spans="1:11" x14ac:dyDescent="0.25">
      <c r="A11" s="91"/>
      <c r="B11" s="236"/>
      <c r="C11" s="124"/>
      <c r="D11" s="82"/>
      <c r="E11" s="227"/>
      <c r="F11" s="82"/>
      <c r="G11" s="82"/>
      <c r="H11" s="90"/>
      <c r="I11" s="90"/>
      <c r="J11" s="123"/>
      <c r="K11" s="217"/>
    </row>
    <row r="12" spans="1:11" x14ac:dyDescent="0.25">
      <c r="A12" s="91"/>
      <c r="B12" s="236"/>
      <c r="C12" s="124"/>
      <c r="D12" s="82"/>
      <c r="E12" s="227"/>
      <c r="F12" s="82"/>
      <c r="G12" s="82"/>
      <c r="H12" s="90"/>
      <c r="I12" s="90"/>
      <c r="J12" s="123"/>
      <c r="K12" s="217"/>
    </row>
    <row r="13" spans="1:11" x14ac:dyDescent="0.25">
      <c r="A13" s="91"/>
      <c r="B13" s="236"/>
      <c r="C13" s="124"/>
      <c r="D13" s="82"/>
      <c r="E13" s="227"/>
      <c r="F13" s="82"/>
      <c r="G13" s="82"/>
      <c r="H13" s="90"/>
      <c r="I13" s="90"/>
      <c r="J13" s="123"/>
      <c r="K13" s="217"/>
    </row>
    <row r="14" spans="1:11" x14ac:dyDescent="0.25">
      <c r="A14" s="91"/>
      <c r="B14" s="236"/>
      <c r="C14" s="124"/>
      <c r="D14" s="82"/>
      <c r="E14" s="227"/>
      <c r="F14" s="82"/>
      <c r="G14" s="82"/>
      <c r="H14" s="90"/>
      <c r="I14" s="90"/>
      <c r="J14" s="123"/>
      <c r="K14" s="217"/>
    </row>
    <row r="15" spans="1:11" x14ac:dyDescent="0.25">
      <c r="A15" s="91"/>
      <c r="B15" s="236"/>
      <c r="C15" s="124"/>
      <c r="D15" s="82"/>
      <c r="E15" s="227"/>
      <c r="F15" s="82"/>
      <c r="G15" s="82"/>
      <c r="H15" s="90"/>
      <c r="I15" s="90"/>
      <c r="J15" s="123"/>
      <c r="K15" s="217"/>
    </row>
    <row r="16" spans="1:11" x14ac:dyDescent="0.25">
      <c r="A16" s="91"/>
      <c r="B16" s="236"/>
      <c r="C16" s="124"/>
      <c r="D16" s="82"/>
      <c r="E16" s="227"/>
      <c r="F16" s="82"/>
      <c r="G16" s="82"/>
      <c r="H16" s="90"/>
      <c r="I16" s="90"/>
      <c r="J16" s="123"/>
      <c r="K16" s="217"/>
    </row>
    <row r="17" spans="1:11" x14ac:dyDescent="0.25">
      <c r="A17" s="91"/>
      <c r="B17" s="236"/>
      <c r="C17" s="124"/>
      <c r="D17" s="82"/>
      <c r="E17" s="227"/>
      <c r="F17" s="82"/>
      <c r="G17" s="82"/>
      <c r="H17" s="90"/>
      <c r="I17" s="90"/>
      <c r="J17" s="123"/>
      <c r="K17" s="217"/>
    </row>
    <row r="18" spans="1:11" x14ac:dyDescent="0.25">
      <c r="A18" s="91"/>
      <c r="B18" s="236"/>
      <c r="C18" s="124"/>
      <c r="D18" s="82"/>
      <c r="E18" s="227"/>
      <c r="F18" s="82"/>
      <c r="G18" s="82"/>
      <c r="H18" s="90"/>
      <c r="I18" s="90"/>
      <c r="J18" s="123"/>
      <c r="K18" s="217"/>
    </row>
    <row r="19" spans="1:11" x14ac:dyDescent="0.25">
      <c r="A19" s="91"/>
      <c r="B19" s="236"/>
      <c r="C19" s="124"/>
      <c r="D19" s="82"/>
      <c r="E19" s="82"/>
      <c r="F19" s="82"/>
      <c r="G19" s="82"/>
      <c r="H19" s="90"/>
      <c r="I19" s="90"/>
      <c r="J19" s="123"/>
      <c r="K19" s="217"/>
    </row>
    <row r="20" spans="1:11" x14ac:dyDescent="0.25">
      <c r="A20" s="91"/>
      <c r="B20" s="236"/>
      <c r="C20" s="124"/>
      <c r="D20" s="82"/>
      <c r="E20" s="82"/>
      <c r="F20" s="82"/>
      <c r="G20" s="82"/>
      <c r="H20" s="90"/>
      <c r="I20" s="90"/>
      <c r="J20" s="123"/>
      <c r="K20" s="217"/>
    </row>
    <row r="21" spans="1:11" x14ac:dyDescent="0.25">
      <c r="A21" s="91"/>
      <c r="B21" s="236"/>
      <c r="C21" s="124"/>
      <c r="D21" s="82"/>
      <c r="E21" s="82"/>
      <c r="F21" s="82"/>
      <c r="G21" s="82"/>
      <c r="H21" s="90"/>
      <c r="I21" s="90"/>
      <c r="J21" s="123"/>
      <c r="K21" s="217"/>
    </row>
    <row r="22" spans="1:11" x14ac:dyDescent="0.25">
      <c r="A22" s="91"/>
      <c r="B22" s="236"/>
      <c r="C22" s="124"/>
      <c r="D22" s="82"/>
      <c r="E22" s="82"/>
      <c r="F22" s="82"/>
      <c r="G22" s="82"/>
      <c r="H22" s="90"/>
      <c r="I22" s="90"/>
      <c r="J22" s="123"/>
      <c r="K22" s="217"/>
    </row>
    <row r="23" spans="1:11" x14ac:dyDescent="0.25">
      <c r="A23" s="91"/>
      <c r="B23" s="236"/>
      <c r="C23" s="124"/>
      <c r="D23" s="82"/>
      <c r="E23" s="82"/>
      <c r="F23" s="82"/>
      <c r="G23" s="82"/>
      <c r="H23" s="90"/>
      <c r="I23" s="90"/>
      <c r="J23" s="123"/>
      <c r="K23" s="217"/>
    </row>
    <row r="24" spans="1:11" x14ac:dyDescent="0.25">
      <c r="A24" s="91"/>
      <c r="B24" s="236"/>
      <c r="C24" s="124"/>
      <c r="D24" s="82"/>
      <c r="E24" s="82"/>
      <c r="F24" s="82"/>
      <c r="G24" s="82"/>
      <c r="H24" s="90"/>
      <c r="I24" s="90"/>
      <c r="J24" s="123"/>
      <c r="K24" s="217"/>
    </row>
    <row r="25" spans="1:11" x14ac:dyDescent="0.25">
      <c r="A25" s="91">
        <v>46112</v>
      </c>
      <c r="B25" s="236" t="s">
        <v>220</v>
      </c>
      <c r="C25" s="124" t="s">
        <v>10</v>
      </c>
      <c r="D25" s="82">
        <v>300</v>
      </c>
      <c r="E25" s="227"/>
      <c r="F25" s="82"/>
      <c r="G25" s="82"/>
      <c r="H25" s="90">
        <v>894559</v>
      </c>
      <c r="I25" s="90"/>
      <c r="J25" s="123"/>
      <c r="K25" s="217"/>
    </row>
    <row r="26" spans="1:11" x14ac:dyDescent="0.25">
      <c r="A26" s="91">
        <v>46113</v>
      </c>
      <c r="B26" s="236" t="s">
        <v>10</v>
      </c>
      <c r="C26" s="124" t="s">
        <v>220</v>
      </c>
      <c r="D26" s="82">
        <v>300</v>
      </c>
      <c r="E26" s="82"/>
      <c r="F26" s="82">
        <v>36.299999999999997</v>
      </c>
      <c r="G26" s="82"/>
      <c r="H26" s="90">
        <v>278577</v>
      </c>
      <c r="I26" s="90" t="s">
        <v>176</v>
      </c>
      <c r="J26" s="123"/>
      <c r="K26" s="217"/>
    </row>
    <row r="27" spans="1:11" x14ac:dyDescent="0.25">
      <c r="A27" s="91">
        <v>46116</v>
      </c>
      <c r="B27" s="236" t="s">
        <v>220</v>
      </c>
      <c r="C27" s="124" t="s">
        <v>10</v>
      </c>
      <c r="D27" s="82">
        <v>300</v>
      </c>
      <c r="E27" s="227"/>
      <c r="F27" s="82"/>
      <c r="G27" s="82"/>
      <c r="H27" s="90">
        <v>894798</v>
      </c>
      <c r="I27" s="90"/>
      <c r="J27" s="123"/>
      <c r="K27" s="217"/>
    </row>
    <row r="28" spans="1:11" x14ac:dyDescent="0.25">
      <c r="A28" s="91">
        <v>46116</v>
      </c>
      <c r="B28" s="82" t="s">
        <v>10</v>
      </c>
      <c r="C28" s="124" t="s">
        <v>251</v>
      </c>
      <c r="D28" s="82">
        <v>240</v>
      </c>
      <c r="E28" s="227"/>
      <c r="F28" s="82">
        <v>36.46</v>
      </c>
      <c r="G28" s="82"/>
      <c r="H28" s="90">
        <v>278627</v>
      </c>
      <c r="I28" s="90" t="s">
        <v>176</v>
      </c>
      <c r="J28" s="123"/>
      <c r="K28" s="217"/>
    </row>
    <row r="29" spans="1:11" x14ac:dyDescent="0.25">
      <c r="A29" s="91">
        <v>46120</v>
      </c>
      <c r="B29" s="82" t="s">
        <v>251</v>
      </c>
      <c r="C29" s="124" t="s">
        <v>220</v>
      </c>
      <c r="D29" s="82">
        <v>80</v>
      </c>
      <c r="E29" s="227"/>
      <c r="F29" s="82"/>
      <c r="G29" s="82"/>
      <c r="H29" s="83" t="s">
        <v>66</v>
      </c>
      <c r="I29" s="90"/>
      <c r="J29" s="123"/>
      <c r="K29" s="217"/>
    </row>
    <row r="30" spans="1:11" x14ac:dyDescent="0.25">
      <c r="A30" s="91">
        <v>46120</v>
      </c>
      <c r="B30" s="82" t="s">
        <v>220</v>
      </c>
      <c r="C30" s="124" t="s">
        <v>297</v>
      </c>
      <c r="D30" s="82">
        <v>105</v>
      </c>
      <c r="E30" s="82"/>
      <c r="F30" s="82">
        <v>36.380000000000003</v>
      </c>
      <c r="G30" s="82"/>
      <c r="H30" s="123">
        <v>895238</v>
      </c>
      <c r="I30" s="90"/>
      <c r="J30" s="123"/>
      <c r="K30" s="217">
        <v>405399.07</v>
      </c>
    </row>
    <row r="31" spans="1:11" x14ac:dyDescent="0.25">
      <c r="A31" s="91">
        <v>46121</v>
      </c>
      <c r="B31" s="236" t="s">
        <v>297</v>
      </c>
      <c r="C31" s="124" t="s">
        <v>220</v>
      </c>
      <c r="D31" s="82">
        <v>105</v>
      </c>
      <c r="E31" s="82"/>
      <c r="F31" s="82"/>
      <c r="G31" s="82"/>
      <c r="H31" s="128" t="s">
        <v>66</v>
      </c>
      <c r="I31" s="90"/>
      <c r="J31" s="123"/>
      <c r="K31" s="217"/>
    </row>
    <row r="32" spans="1:11" x14ac:dyDescent="0.25">
      <c r="A32" s="91">
        <v>46121</v>
      </c>
      <c r="B32" s="236" t="s">
        <v>220</v>
      </c>
      <c r="C32" s="124" t="s">
        <v>10</v>
      </c>
      <c r="D32" s="82">
        <v>300</v>
      </c>
      <c r="E32" s="227"/>
      <c r="F32" s="82"/>
      <c r="G32" s="82"/>
      <c r="H32" s="90">
        <v>895461</v>
      </c>
      <c r="I32" s="90"/>
      <c r="J32" s="123"/>
      <c r="K32" s="217"/>
    </row>
    <row r="33" spans="1:11" x14ac:dyDescent="0.25">
      <c r="A33" s="91">
        <v>46122</v>
      </c>
      <c r="B33" s="236" t="s">
        <v>10</v>
      </c>
      <c r="C33" s="124" t="s">
        <v>220</v>
      </c>
      <c r="D33" s="82">
        <v>300</v>
      </c>
      <c r="E33" s="82"/>
      <c r="F33" s="82">
        <v>36.54</v>
      </c>
      <c r="G33" s="82"/>
      <c r="H33" s="90">
        <v>278822</v>
      </c>
      <c r="I33" s="90" t="s">
        <v>176</v>
      </c>
      <c r="J33" s="123"/>
      <c r="K33" s="217"/>
    </row>
    <row r="34" spans="1:11" x14ac:dyDescent="0.25">
      <c r="A34" s="91">
        <v>46125</v>
      </c>
      <c r="B34" s="82" t="s">
        <v>220</v>
      </c>
      <c r="C34" s="124" t="s">
        <v>275</v>
      </c>
      <c r="D34" s="82">
        <v>80</v>
      </c>
      <c r="E34" s="227"/>
      <c r="F34" s="82">
        <v>36.090000000000003</v>
      </c>
      <c r="G34" s="82"/>
      <c r="H34" s="90">
        <v>895964</v>
      </c>
      <c r="I34" s="90"/>
      <c r="J34" s="123"/>
      <c r="K34" s="217"/>
    </row>
    <row r="35" spans="1:11" x14ac:dyDescent="0.25">
      <c r="A35" s="91">
        <v>46126</v>
      </c>
      <c r="B35" s="82" t="s">
        <v>275</v>
      </c>
      <c r="C35" s="124" t="s">
        <v>353</v>
      </c>
      <c r="D35" s="82">
        <v>150</v>
      </c>
      <c r="E35" s="227"/>
      <c r="F35" s="82"/>
      <c r="G35" s="82"/>
      <c r="H35" s="83" t="s">
        <v>354</v>
      </c>
      <c r="I35" s="90"/>
      <c r="J35" s="123"/>
      <c r="K35" s="217"/>
    </row>
    <row r="36" spans="1:11" x14ac:dyDescent="0.25">
      <c r="A36" s="91">
        <v>46127</v>
      </c>
      <c r="B36" s="82" t="s">
        <v>353</v>
      </c>
      <c r="C36" s="124" t="s">
        <v>220</v>
      </c>
      <c r="D36" s="82">
        <v>190</v>
      </c>
      <c r="E36" s="227"/>
      <c r="F36" s="82"/>
      <c r="G36" s="82"/>
      <c r="H36" s="83" t="s">
        <v>66</v>
      </c>
      <c r="I36" s="90"/>
      <c r="J36" s="123"/>
      <c r="K36" s="217"/>
    </row>
    <row r="37" spans="1:11" x14ac:dyDescent="0.25">
      <c r="A37" s="91">
        <v>46128</v>
      </c>
      <c r="B37" s="236" t="s">
        <v>220</v>
      </c>
      <c r="C37" s="124" t="s">
        <v>10</v>
      </c>
      <c r="D37" s="82">
        <v>300</v>
      </c>
      <c r="E37" s="227"/>
      <c r="F37" s="82"/>
      <c r="G37" s="82"/>
      <c r="H37" s="90">
        <v>896497</v>
      </c>
      <c r="I37" s="90"/>
      <c r="J37" s="123"/>
      <c r="K37" s="217"/>
    </row>
    <row r="38" spans="1:11" x14ac:dyDescent="0.25">
      <c r="A38" s="91">
        <v>46128</v>
      </c>
      <c r="B38" s="236" t="s">
        <v>10</v>
      </c>
      <c r="C38" s="124" t="s">
        <v>220</v>
      </c>
      <c r="D38" s="82">
        <v>300</v>
      </c>
      <c r="E38" s="82"/>
      <c r="F38" s="82">
        <v>36</v>
      </c>
      <c r="G38" s="82"/>
      <c r="H38" s="90">
        <v>279084</v>
      </c>
      <c r="I38" s="90" t="s">
        <v>176</v>
      </c>
      <c r="J38" s="123"/>
      <c r="K38" s="217"/>
    </row>
    <row r="39" spans="1:11" x14ac:dyDescent="0.25">
      <c r="A39" s="91">
        <v>46132</v>
      </c>
      <c r="B39" s="236" t="s">
        <v>220</v>
      </c>
      <c r="C39" s="124" t="s">
        <v>10</v>
      </c>
      <c r="D39" s="82">
        <v>300</v>
      </c>
      <c r="E39" s="227"/>
      <c r="F39" s="82"/>
      <c r="G39" s="82"/>
      <c r="H39" s="90">
        <v>896961</v>
      </c>
      <c r="I39" s="90"/>
      <c r="J39" s="123"/>
      <c r="K39" s="217"/>
    </row>
    <row r="40" spans="1:11" x14ac:dyDescent="0.25">
      <c r="A40" s="91">
        <v>46132</v>
      </c>
      <c r="B40" s="236" t="s">
        <v>10</v>
      </c>
      <c r="C40" s="124" t="s">
        <v>220</v>
      </c>
      <c r="D40" s="82">
        <v>300</v>
      </c>
      <c r="E40" s="82"/>
      <c r="F40" s="82">
        <v>36.28</v>
      </c>
      <c r="G40" s="82"/>
      <c r="H40" s="90">
        <v>279210</v>
      </c>
      <c r="I40" s="90" t="s">
        <v>176</v>
      </c>
      <c r="J40" s="123"/>
      <c r="K40" s="217"/>
    </row>
    <row r="41" spans="1:11" x14ac:dyDescent="0.25">
      <c r="A41" s="91">
        <v>46132</v>
      </c>
      <c r="B41" s="82" t="s">
        <v>220</v>
      </c>
      <c r="C41" s="124" t="s">
        <v>9</v>
      </c>
      <c r="D41" s="82">
        <v>300</v>
      </c>
      <c r="E41" s="227"/>
      <c r="F41" s="82"/>
      <c r="G41" s="82"/>
      <c r="H41" s="83" t="s">
        <v>66</v>
      </c>
      <c r="I41" s="90"/>
      <c r="J41" s="123"/>
      <c r="K41" s="217"/>
    </row>
    <row r="42" spans="1:11" x14ac:dyDescent="0.25">
      <c r="A42" s="91">
        <v>46135</v>
      </c>
      <c r="B42" s="82" t="s">
        <v>9</v>
      </c>
      <c r="C42" s="124" t="s">
        <v>262</v>
      </c>
      <c r="D42" s="82">
        <v>430</v>
      </c>
      <c r="E42" s="82"/>
      <c r="F42" s="82">
        <v>36.78</v>
      </c>
      <c r="G42" s="82"/>
      <c r="H42" s="90">
        <v>767731</v>
      </c>
      <c r="I42" s="90"/>
      <c r="J42" s="123"/>
      <c r="K42" s="217"/>
    </row>
    <row r="43" spans="1:11" x14ac:dyDescent="0.25">
      <c r="A43" s="91">
        <v>46136</v>
      </c>
      <c r="B43" s="236" t="s">
        <v>272</v>
      </c>
      <c r="C43" s="124" t="s">
        <v>220</v>
      </c>
      <c r="D43" s="82">
        <v>140</v>
      </c>
      <c r="E43" s="82"/>
      <c r="F43" s="82"/>
      <c r="G43" s="82"/>
      <c r="H43" s="83" t="s">
        <v>66</v>
      </c>
      <c r="I43" s="90"/>
      <c r="J43" s="123"/>
      <c r="K43" s="217"/>
    </row>
    <row r="44" spans="1:11" x14ac:dyDescent="0.25">
      <c r="A44" s="91">
        <v>46139</v>
      </c>
      <c r="B44" s="236" t="s">
        <v>220</v>
      </c>
      <c r="C44" s="124" t="s">
        <v>10</v>
      </c>
      <c r="D44" s="82">
        <v>300</v>
      </c>
      <c r="E44" s="82"/>
      <c r="F44" s="82"/>
      <c r="G44" s="82"/>
      <c r="H44" s="90">
        <v>898075</v>
      </c>
      <c r="I44" s="90"/>
      <c r="J44" s="123"/>
      <c r="K44" s="217"/>
    </row>
    <row r="45" spans="1:11" x14ac:dyDescent="0.25">
      <c r="A45" s="91">
        <v>46139</v>
      </c>
      <c r="B45" s="236" t="s">
        <v>10</v>
      </c>
      <c r="C45" s="124" t="s">
        <v>274</v>
      </c>
      <c r="D45" s="82">
        <v>80</v>
      </c>
      <c r="E45" s="82"/>
      <c r="F45" s="82">
        <v>36.380000000000003</v>
      </c>
      <c r="G45" s="82"/>
      <c r="H45" s="90">
        <v>279455</v>
      </c>
      <c r="I45" s="90"/>
      <c r="J45" s="123"/>
      <c r="K45" s="217"/>
    </row>
    <row r="46" spans="1:11" x14ac:dyDescent="0.25">
      <c r="A46" s="91">
        <v>46140</v>
      </c>
      <c r="B46" s="82" t="s">
        <v>274</v>
      </c>
      <c r="C46" s="124" t="s">
        <v>10</v>
      </c>
      <c r="D46" s="82">
        <v>80</v>
      </c>
      <c r="E46" s="227"/>
      <c r="F46" s="82"/>
      <c r="G46" s="82"/>
      <c r="H46" s="83" t="s">
        <v>66</v>
      </c>
      <c r="I46" s="90"/>
      <c r="J46" s="123"/>
      <c r="K46" s="217"/>
    </row>
    <row r="47" spans="1:11" x14ac:dyDescent="0.25">
      <c r="A47" s="91">
        <v>46140</v>
      </c>
      <c r="B47" s="236" t="s">
        <v>10</v>
      </c>
      <c r="C47" s="124" t="s">
        <v>220</v>
      </c>
      <c r="D47" s="82">
        <v>300</v>
      </c>
      <c r="E47" s="82"/>
      <c r="F47" s="82">
        <v>36.520000000000003</v>
      </c>
      <c r="G47" s="82"/>
      <c r="H47" s="90">
        <v>279492</v>
      </c>
      <c r="I47" s="90" t="s">
        <v>176</v>
      </c>
      <c r="J47" s="123"/>
      <c r="K47" s="217"/>
    </row>
    <row r="48" spans="1:11" x14ac:dyDescent="0.25">
      <c r="A48" s="91">
        <v>46141</v>
      </c>
      <c r="B48" s="236" t="s">
        <v>220</v>
      </c>
      <c r="C48" s="124" t="s">
        <v>10</v>
      </c>
      <c r="D48" s="82">
        <v>300</v>
      </c>
      <c r="E48" s="227"/>
      <c r="F48" s="82">
        <v>36.26</v>
      </c>
      <c r="G48" s="82"/>
      <c r="H48" s="90">
        <v>898492</v>
      </c>
      <c r="I48" s="90"/>
      <c r="J48" s="123"/>
      <c r="K48" s="217"/>
    </row>
    <row r="49" spans="1:11" x14ac:dyDescent="0.25">
      <c r="A49" s="91">
        <v>46141</v>
      </c>
      <c r="B49" s="236" t="s">
        <v>10</v>
      </c>
      <c r="C49" s="124" t="s">
        <v>220</v>
      </c>
      <c r="D49" s="82">
        <v>300</v>
      </c>
      <c r="E49" s="82"/>
      <c r="F49" s="82">
        <v>36.42</v>
      </c>
      <c r="G49" s="82"/>
      <c r="H49" s="90">
        <v>279561</v>
      </c>
      <c r="I49" s="90" t="s">
        <v>176</v>
      </c>
      <c r="J49" s="123"/>
      <c r="K49" s="217"/>
    </row>
    <row r="50" spans="1:11" x14ac:dyDescent="0.25">
      <c r="A50" s="91">
        <v>46142</v>
      </c>
      <c r="B50" s="236" t="s">
        <v>220</v>
      </c>
      <c r="C50" s="124" t="s">
        <v>276</v>
      </c>
      <c r="D50" s="82">
        <v>140</v>
      </c>
      <c r="E50" s="82"/>
      <c r="F50" s="82">
        <v>36.200000000000003</v>
      </c>
      <c r="G50" s="82"/>
      <c r="H50" s="90">
        <v>898784</v>
      </c>
      <c r="I50" s="90"/>
      <c r="J50" s="123"/>
      <c r="K50" s="217"/>
    </row>
    <row r="51" spans="1:11" x14ac:dyDescent="0.25">
      <c r="A51" s="91">
        <v>46142</v>
      </c>
      <c r="B51" s="236" t="s">
        <v>276</v>
      </c>
      <c r="C51" s="124" t="s">
        <v>220</v>
      </c>
      <c r="D51" s="82">
        <v>140</v>
      </c>
      <c r="E51" s="82"/>
      <c r="F51" s="82"/>
      <c r="G51" s="82"/>
      <c r="H51" s="83" t="s">
        <v>66</v>
      </c>
      <c r="I51" s="90"/>
      <c r="J51" s="123"/>
      <c r="K51" s="217"/>
    </row>
    <row r="52" spans="1:11" x14ac:dyDescent="0.25">
      <c r="A52" s="91"/>
      <c r="B52" s="236"/>
      <c r="C52" s="124"/>
      <c r="D52" s="151" t="s">
        <v>465</v>
      </c>
      <c r="E52" s="82"/>
      <c r="F52" s="82"/>
      <c r="G52" s="82"/>
      <c r="H52" s="90"/>
      <c r="I52" s="90"/>
      <c r="J52" s="123"/>
      <c r="K52" s="217"/>
    </row>
    <row r="53" spans="1:11" x14ac:dyDescent="0.25">
      <c r="A53" s="5"/>
      <c r="B53" s="6"/>
      <c r="C53" s="6"/>
      <c r="D53" s="6"/>
      <c r="E53" s="6"/>
      <c r="F53" s="6"/>
      <c r="G53" s="6"/>
      <c r="H53" s="7"/>
      <c r="I53" s="7"/>
      <c r="J53" s="140"/>
      <c r="K53" s="218"/>
    </row>
    <row r="54" spans="1:11" x14ac:dyDescent="0.25">
      <c r="D54" s="17">
        <f>SUM(D3:D53)</f>
        <v>6160</v>
      </c>
      <c r="E54" s="13"/>
      <c r="F54" s="13">
        <f>AVERAGE(F3:F52)</f>
        <v>36.354615384615379</v>
      </c>
      <c r="G54" s="13"/>
      <c r="J54" s="139">
        <f>SUM(J3:J53)</f>
        <v>0</v>
      </c>
      <c r="K54" s="219">
        <f>SUM(K3:K53)</f>
        <v>405399.07</v>
      </c>
    </row>
    <row r="56" spans="1:11" x14ac:dyDescent="0.25">
      <c r="B56">
        <v>-2000</v>
      </c>
      <c r="D56" s="11"/>
      <c r="E56" s="11"/>
      <c r="F56" s="11"/>
      <c r="G56" s="238"/>
      <c r="K56" s="4"/>
    </row>
    <row r="57" spans="1:11" x14ac:dyDescent="0.25">
      <c r="B57">
        <v>680</v>
      </c>
      <c r="C57" s="11" t="s">
        <v>74</v>
      </c>
      <c r="D57" s="11">
        <v>44629</v>
      </c>
      <c r="E57" s="11"/>
      <c r="F57" s="11"/>
      <c r="G57" s="238"/>
      <c r="K57" s="4"/>
    </row>
    <row r="58" spans="1:11" x14ac:dyDescent="0.25">
      <c r="B58">
        <v>-700</v>
      </c>
      <c r="C58" s="11" t="s">
        <v>93</v>
      </c>
      <c r="D58" s="11"/>
      <c r="E58" s="11"/>
      <c r="F58" s="11"/>
      <c r="G58" s="238"/>
      <c r="K58" s="4"/>
    </row>
    <row r="59" spans="1:11" x14ac:dyDescent="0.25">
      <c r="B59">
        <v>420</v>
      </c>
      <c r="C59" s="11" t="s">
        <v>74</v>
      </c>
      <c r="D59" s="11">
        <v>44635</v>
      </c>
      <c r="E59" s="11"/>
      <c r="F59" s="11"/>
      <c r="G59" s="238"/>
      <c r="K59" s="4"/>
    </row>
    <row r="60" spans="1:11" x14ac:dyDescent="0.25">
      <c r="B60">
        <v>-400</v>
      </c>
      <c r="C60" s="11" t="s">
        <v>93</v>
      </c>
      <c r="D60" s="11">
        <v>44635</v>
      </c>
      <c r="E60" s="11"/>
      <c r="F60" s="11"/>
      <c r="G60" s="238"/>
      <c r="K60" s="4"/>
    </row>
    <row r="61" spans="1:11" x14ac:dyDescent="0.25">
      <c r="B61">
        <v>680</v>
      </c>
      <c r="C61" s="11" t="s">
        <v>12</v>
      </c>
      <c r="D61" s="11">
        <v>44643</v>
      </c>
      <c r="E61" s="11"/>
      <c r="F61" s="11"/>
      <c r="G61" s="238"/>
      <c r="K61" s="4"/>
    </row>
    <row r="62" spans="1:11" x14ac:dyDescent="0.25">
      <c r="B62">
        <v>-700</v>
      </c>
      <c r="C62" s="11" t="s">
        <v>13</v>
      </c>
      <c r="D62" s="11"/>
      <c r="E62" s="11"/>
      <c r="F62" s="11"/>
      <c r="G62" s="238"/>
      <c r="K62" s="4"/>
    </row>
    <row r="63" spans="1:11" x14ac:dyDescent="0.25">
      <c r="B63">
        <v>680</v>
      </c>
      <c r="C63" s="11" t="s">
        <v>74</v>
      </c>
      <c r="D63" s="11">
        <v>44699</v>
      </c>
      <c r="E63" s="11"/>
      <c r="F63" s="11"/>
      <c r="G63" s="238"/>
      <c r="K63" s="4"/>
    </row>
    <row r="64" spans="1:11" x14ac:dyDescent="0.25">
      <c r="B64">
        <v>-700</v>
      </c>
      <c r="C64" s="11" t="s">
        <v>93</v>
      </c>
      <c r="D64" s="11"/>
      <c r="E64" s="11"/>
      <c r="F64" s="11"/>
      <c r="G64" s="238"/>
      <c r="K64" s="4"/>
    </row>
    <row r="65" spans="2:11" x14ac:dyDescent="0.25">
      <c r="B65">
        <v>1040</v>
      </c>
      <c r="C65" s="11" t="s">
        <v>74</v>
      </c>
      <c r="D65" s="11">
        <v>44734</v>
      </c>
      <c r="E65" s="11"/>
      <c r="F65" s="11"/>
      <c r="G65" s="238"/>
      <c r="K65" s="4"/>
    </row>
    <row r="66" spans="2:11" x14ac:dyDescent="0.25">
      <c r="B66">
        <v>-1100</v>
      </c>
      <c r="C66" s="11" t="s">
        <v>93</v>
      </c>
      <c r="D66" s="11">
        <v>44734</v>
      </c>
      <c r="E66" s="11"/>
      <c r="F66" s="11"/>
      <c r="G66" s="238"/>
      <c r="K66" s="4"/>
    </row>
    <row r="67" spans="2:11" x14ac:dyDescent="0.25">
      <c r="B67">
        <v>480</v>
      </c>
      <c r="C67" s="11" t="s">
        <v>12</v>
      </c>
      <c r="D67" s="11"/>
      <c r="E67" s="11"/>
      <c r="F67" s="11"/>
      <c r="G67" s="238"/>
      <c r="K67" s="4"/>
    </row>
    <row r="68" spans="2:11" x14ac:dyDescent="0.25">
      <c r="B68">
        <v>-400</v>
      </c>
      <c r="C68" s="11" t="s">
        <v>93</v>
      </c>
      <c r="D68" s="11"/>
      <c r="E68" s="11"/>
      <c r="F68" s="11"/>
      <c r="G68" s="238"/>
      <c r="K68" s="4"/>
    </row>
    <row r="69" spans="2:11" x14ac:dyDescent="0.25">
      <c r="B69">
        <v>480</v>
      </c>
      <c r="C69" s="11" t="s">
        <v>74</v>
      </c>
      <c r="D69" s="11">
        <v>44854</v>
      </c>
      <c r="E69" s="11"/>
      <c r="F69" s="11"/>
      <c r="G69" s="238"/>
      <c r="K69" s="4"/>
    </row>
    <row r="70" spans="2:11" x14ac:dyDescent="0.25">
      <c r="B70">
        <v>-500</v>
      </c>
      <c r="C70" s="11" t="s">
        <v>93</v>
      </c>
      <c r="D70" s="11"/>
      <c r="E70" s="11"/>
      <c r="F70" s="11"/>
      <c r="G70" s="238"/>
      <c r="K70" s="4"/>
    </row>
    <row r="71" spans="2:11" x14ac:dyDescent="0.25">
      <c r="B71">
        <v>800</v>
      </c>
      <c r="C71" s="11" t="s">
        <v>12</v>
      </c>
      <c r="D71" s="11">
        <v>44868</v>
      </c>
      <c r="E71" s="11"/>
      <c r="F71" s="11"/>
      <c r="G71" s="238"/>
      <c r="K71" s="4"/>
    </row>
    <row r="72" spans="2:11" x14ac:dyDescent="0.25">
      <c r="B72">
        <v>-800</v>
      </c>
      <c r="C72" s="11" t="s">
        <v>93</v>
      </c>
      <c r="D72" s="11">
        <v>44868</v>
      </c>
      <c r="E72" s="11"/>
      <c r="F72" s="11"/>
      <c r="G72" s="238"/>
      <c r="K72" s="4"/>
    </row>
    <row r="73" spans="2:11" x14ac:dyDescent="0.25">
      <c r="B73">
        <v>800</v>
      </c>
      <c r="C73" s="11" t="s">
        <v>74</v>
      </c>
      <c r="D73" s="11">
        <v>44891</v>
      </c>
      <c r="E73" s="11"/>
      <c r="F73" s="11"/>
      <c r="G73" s="238"/>
      <c r="K73" s="4"/>
    </row>
    <row r="74" spans="2:11" x14ac:dyDescent="0.25">
      <c r="B74">
        <v>-800</v>
      </c>
      <c r="C74" s="11" t="s">
        <v>93</v>
      </c>
      <c r="D74" s="11">
        <v>44891</v>
      </c>
      <c r="E74" s="11"/>
      <c r="F74" s="11"/>
      <c r="G74" s="238"/>
      <c r="K74" s="4"/>
    </row>
    <row r="75" spans="2:11" x14ac:dyDescent="0.25">
      <c r="B75">
        <v>800</v>
      </c>
      <c r="C75" s="11" t="s">
        <v>12</v>
      </c>
      <c r="D75" s="11">
        <v>44897</v>
      </c>
      <c r="E75" s="11"/>
      <c r="F75" s="11"/>
      <c r="G75" s="238"/>
      <c r="K75" s="4"/>
    </row>
    <row r="76" spans="2:11" x14ac:dyDescent="0.25">
      <c r="B76">
        <v>-800</v>
      </c>
      <c r="C76" s="11" t="s">
        <v>93</v>
      </c>
      <c r="D76" s="11">
        <v>44897</v>
      </c>
      <c r="E76" s="11"/>
      <c r="F76" s="11"/>
      <c r="G76" s="238"/>
      <c r="K76" s="4"/>
    </row>
    <row r="77" spans="2:11" x14ac:dyDescent="0.25">
      <c r="B77">
        <v>800</v>
      </c>
      <c r="C77" s="11" t="s">
        <v>12</v>
      </c>
      <c r="D77" s="11">
        <v>44912</v>
      </c>
      <c r="E77" s="11"/>
      <c r="F77" s="11"/>
      <c r="G77" s="238"/>
      <c r="K77" s="4"/>
    </row>
    <row r="78" spans="2:11" ht="17.25" customHeight="1" x14ac:dyDescent="0.25">
      <c r="B78">
        <v>-800</v>
      </c>
      <c r="C78" s="11" t="s">
        <v>13</v>
      </c>
      <c r="D78" s="11">
        <v>44912</v>
      </c>
      <c r="E78" s="11"/>
      <c r="F78" s="11"/>
      <c r="G78" s="238"/>
      <c r="K78" s="4"/>
    </row>
    <row r="79" spans="2:11" ht="17.25" customHeight="1" x14ac:dyDescent="0.25">
      <c r="B79">
        <v>800</v>
      </c>
      <c r="C79" s="11" t="s">
        <v>74</v>
      </c>
      <c r="D79" s="11">
        <v>44960</v>
      </c>
      <c r="E79" s="11"/>
      <c r="F79" s="11"/>
      <c r="G79" s="238"/>
      <c r="K79" s="4"/>
    </row>
    <row r="80" spans="2:11" ht="17.25" customHeight="1" x14ac:dyDescent="0.25">
      <c r="B80">
        <v>-800</v>
      </c>
      <c r="C80" s="11" t="s">
        <v>93</v>
      </c>
      <c r="D80" s="11"/>
      <c r="E80" s="11"/>
      <c r="F80" s="11"/>
      <c r="G80" s="238"/>
      <c r="K80" s="4"/>
    </row>
    <row r="81" spans="2:11" ht="17.25" customHeight="1" x14ac:dyDescent="0.25">
      <c r="B81">
        <v>800</v>
      </c>
      <c r="C81" s="11" t="s">
        <v>12</v>
      </c>
      <c r="D81" s="11">
        <v>44965</v>
      </c>
      <c r="E81" s="11"/>
      <c r="F81" s="11"/>
      <c r="G81" s="238"/>
      <c r="K81" s="4"/>
    </row>
    <row r="82" spans="2:11" ht="17.25" customHeight="1" x14ac:dyDescent="0.25">
      <c r="B82">
        <v>-800</v>
      </c>
      <c r="C82" s="11" t="s">
        <v>13</v>
      </c>
      <c r="D82" s="11"/>
      <c r="E82" s="11"/>
      <c r="F82" s="11"/>
      <c r="G82" s="238"/>
      <c r="K82" s="4"/>
    </row>
    <row r="83" spans="2:11" ht="17.25" customHeight="1" x14ac:dyDescent="0.25">
      <c r="B83">
        <v>800</v>
      </c>
      <c r="C83" s="11" t="s">
        <v>74</v>
      </c>
      <c r="D83" s="11">
        <v>44970</v>
      </c>
      <c r="E83" s="11"/>
      <c r="F83" s="11"/>
      <c r="G83" s="238"/>
      <c r="K83" s="4"/>
    </row>
    <row r="84" spans="2:11" ht="17.25" customHeight="1" x14ac:dyDescent="0.25">
      <c r="B84">
        <v>-800</v>
      </c>
      <c r="C84" s="11" t="s">
        <v>93</v>
      </c>
      <c r="D84" s="11"/>
      <c r="E84" s="11"/>
      <c r="F84" s="11"/>
      <c r="G84" s="238"/>
      <c r="K84" s="4"/>
    </row>
    <row r="85" spans="2:11" ht="17.25" customHeight="1" x14ac:dyDescent="0.25">
      <c r="B85">
        <v>800</v>
      </c>
      <c r="C85" s="11" t="s">
        <v>12</v>
      </c>
      <c r="D85" s="11">
        <v>44975</v>
      </c>
      <c r="E85" s="11"/>
      <c r="F85" s="11"/>
      <c r="G85" s="238"/>
      <c r="K85" s="4"/>
    </row>
    <row r="86" spans="2:11" ht="17.25" customHeight="1" x14ac:dyDescent="0.25">
      <c r="B86">
        <v>-800</v>
      </c>
      <c r="C86" s="11" t="s">
        <v>93</v>
      </c>
      <c r="D86" s="11">
        <v>44975</v>
      </c>
      <c r="E86" s="11"/>
      <c r="F86" s="11"/>
      <c r="G86" s="238"/>
      <c r="K86" s="4"/>
    </row>
    <row r="87" spans="2:11" ht="17.25" customHeight="1" x14ac:dyDescent="0.25">
      <c r="B87">
        <v>800</v>
      </c>
      <c r="C87" s="11" t="s">
        <v>74</v>
      </c>
      <c r="D87" s="11">
        <v>44992</v>
      </c>
      <c r="E87" s="11"/>
      <c r="F87" s="11"/>
      <c r="G87" s="238"/>
      <c r="K87" s="4"/>
    </row>
    <row r="88" spans="2:11" ht="17.25" customHeight="1" x14ac:dyDescent="0.25">
      <c r="B88">
        <v>-800</v>
      </c>
      <c r="C88" s="11" t="s">
        <v>93</v>
      </c>
      <c r="D88" s="11"/>
      <c r="E88" s="11"/>
      <c r="F88" s="11"/>
      <c r="G88" s="238"/>
      <c r="K88" s="4"/>
    </row>
    <row r="89" spans="2:11" ht="17.25" customHeight="1" x14ac:dyDescent="0.25">
      <c r="B89">
        <v>2400</v>
      </c>
      <c r="C89" s="11" t="s">
        <v>74</v>
      </c>
      <c r="D89" s="11">
        <v>45019</v>
      </c>
      <c r="E89" s="11"/>
      <c r="F89" s="11"/>
      <c r="G89" s="238"/>
      <c r="K89" s="4"/>
    </row>
    <row r="90" spans="2:11" ht="17.25" customHeight="1" x14ac:dyDescent="0.25">
      <c r="B90">
        <v>-2400</v>
      </c>
      <c r="C90" s="11" t="s">
        <v>93</v>
      </c>
      <c r="D90" s="11"/>
      <c r="E90" s="11"/>
      <c r="F90" s="11"/>
      <c r="G90" s="238"/>
      <c r="K90" s="4"/>
    </row>
    <row r="91" spans="2:11" ht="17.25" customHeight="1" x14ac:dyDescent="0.25">
      <c r="B91">
        <v>800</v>
      </c>
      <c r="C91" s="11" t="s">
        <v>74</v>
      </c>
      <c r="D91" s="11">
        <v>45030</v>
      </c>
      <c r="E91" s="11"/>
      <c r="F91" s="11"/>
      <c r="G91" s="238"/>
      <c r="K91" s="4"/>
    </row>
    <row r="92" spans="2:11" ht="17.25" customHeight="1" x14ac:dyDescent="0.25">
      <c r="B92">
        <v>-800</v>
      </c>
      <c r="C92" s="11" t="s">
        <v>93</v>
      </c>
      <c r="D92" s="11">
        <v>45030</v>
      </c>
      <c r="E92" s="11"/>
      <c r="F92" s="11"/>
      <c r="G92" s="238"/>
      <c r="K92" s="4"/>
    </row>
    <row r="93" spans="2:11" ht="17.25" customHeight="1" x14ac:dyDescent="0.25">
      <c r="B93">
        <v>800</v>
      </c>
      <c r="C93" s="11" t="s">
        <v>74</v>
      </c>
      <c r="D93" s="11"/>
      <c r="E93" s="11"/>
      <c r="F93" s="11"/>
      <c r="G93" s="238"/>
      <c r="K93" s="4"/>
    </row>
    <row r="94" spans="2:11" ht="17.25" customHeight="1" x14ac:dyDescent="0.25">
      <c r="B94">
        <v>-800</v>
      </c>
      <c r="C94" s="11" t="s">
        <v>93</v>
      </c>
      <c r="D94" s="11"/>
      <c r="E94" s="11"/>
      <c r="F94" s="11"/>
      <c r="G94" s="238"/>
      <c r="K94" s="4"/>
    </row>
    <row r="95" spans="2:11" ht="17.25" customHeight="1" x14ac:dyDescent="0.25">
      <c r="B95">
        <v>800</v>
      </c>
      <c r="C95" s="11" t="s">
        <v>74</v>
      </c>
      <c r="D95" s="11">
        <v>45044</v>
      </c>
      <c r="E95" s="11"/>
      <c r="F95" s="11"/>
      <c r="G95" s="238"/>
      <c r="K95" s="4"/>
    </row>
    <row r="96" spans="2:11" ht="17.25" customHeight="1" x14ac:dyDescent="0.25">
      <c r="B96">
        <v>-800</v>
      </c>
      <c r="C96" s="11" t="s">
        <v>93</v>
      </c>
      <c r="D96" s="11"/>
      <c r="E96" s="11"/>
      <c r="F96" s="11"/>
      <c r="G96" s="238"/>
      <c r="K96" s="4"/>
    </row>
    <row r="97" spans="2:11" ht="17.25" customHeight="1" x14ac:dyDescent="0.25">
      <c r="B97">
        <v>800</v>
      </c>
      <c r="C97" s="11" t="s">
        <v>74</v>
      </c>
      <c r="D97" s="11">
        <v>45052</v>
      </c>
      <c r="E97" s="11"/>
      <c r="F97" s="11"/>
      <c r="G97" s="238"/>
      <c r="K97" s="4"/>
    </row>
    <row r="98" spans="2:11" ht="17.25" customHeight="1" x14ac:dyDescent="0.25">
      <c r="B98">
        <v>-800</v>
      </c>
      <c r="C98" s="11" t="s">
        <v>93</v>
      </c>
      <c r="D98" s="11">
        <v>45052</v>
      </c>
      <c r="E98" s="11"/>
      <c r="F98" s="11"/>
      <c r="G98" s="238"/>
      <c r="K98" s="4"/>
    </row>
    <row r="99" spans="2:11" ht="17.25" customHeight="1" x14ac:dyDescent="0.25">
      <c r="B99">
        <v>600</v>
      </c>
      <c r="C99" s="11" t="s">
        <v>74</v>
      </c>
      <c r="D99" s="11">
        <v>45079</v>
      </c>
      <c r="E99" s="11"/>
      <c r="F99" s="11"/>
      <c r="G99" s="238"/>
      <c r="K99" s="4"/>
    </row>
    <row r="100" spans="2:11" ht="17.25" customHeight="1" x14ac:dyDescent="0.25">
      <c r="B100">
        <v>-600</v>
      </c>
      <c r="C100" s="11" t="s">
        <v>93</v>
      </c>
      <c r="D100" s="11"/>
      <c r="E100" s="11"/>
      <c r="F100" s="11"/>
      <c r="G100" s="238"/>
      <c r="K100" s="4"/>
    </row>
    <row r="101" spans="2:11" ht="17.25" customHeight="1" x14ac:dyDescent="0.25">
      <c r="B101">
        <v>1200</v>
      </c>
      <c r="C101" s="11" t="s">
        <v>74</v>
      </c>
      <c r="D101" s="11"/>
      <c r="E101" s="11"/>
      <c r="F101" s="11"/>
      <c r="G101" s="238"/>
      <c r="K101" s="4"/>
    </row>
    <row r="102" spans="2:11" ht="17.25" customHeight="1" x14ac:dyDescent="0.25">
      <c r="B102">
        <v>-1200</v>
      </c>
      <c r="C102" s="11" t="s">
        <v>93</v>
      </c>
      <c r="D102" s="11"/>
      <c r="E102" s="11"/>
      <c r="F102" s="11"/>
      <c r="G102" s="238"/>
      <c r="K102" s="4"/>
    </row>
    <row r="103" spans="2:11" ht="17.25" customHeight="1" x14ac:dyDescent="0.25">
      <c r="B103">
        <v>-330</v>
      </c>
      <c r="C103" s="11" t="s">
        <v>175</v>
      </c>
      <c r="D103" s="11">
        <v>45132</v>
      </c>
      <c r="E103" s="11"/>
      <c r="F103" s="11"/>
      <c r="G103" s="238"/>
      <c r="K103" s="4"/>
    </row>
    <row r="104" spans="2:11" ht="17.25" customHeight="1" x14ac:dyDescent="0.25">
      <c r="B104">
        <v>1200</v>
      </c>
      <c r="C104" s="11" t="s">
        <v>74</v>
      </c>
      <c r="D104" s="11"/>
      <c r="E104" s="11"/>
      <c r="F104" s="11"/>
      <c r="G104" s="238"/>
      <c r="K104" s="4"/>
    </row>
    <row r="105" spans="2:11" ht="17.25" customHeight="1" x14ac:dyDescent="0.25">
      <c r="B105">
        <v>-900</v>
      </c>
      <c r="C105" s="11" t="s">
        <v>93</v>
      </c>
      <c r="D105" s="11">
        <v>45136</v>
      </c>
      <c r="E105" s="11"/>
      <c r="F105" s="11"/>
      <c r="G105" s="238"/>
      <c r="K105" s="4"/>
    </row>
    <row r="106" spans="2:11" ht="17.25" customHeight="1" x14ac:dyDescent="0.25">
      <c r="B106">
        <v>1800</v>
      </c>
      <c r="C106" s="11" t="s">
        <v>237</v>
      </c>
      <c r="D106" s="11">
        <v>45146</v>
      </c>
      <c r="E106" s="11"/>
      <c r="F106" s="11"/>
      <c r="G106" s="238"/>
      <c r="K106" s="4"/>
    </row>
    <row r="107" spans="2:11" ht="17.25" customHeight="1" x14ac:dyDescent="0.25">
      <c r="B107">
        <v>-1800</v>
      </c>
      <c r="C107" s="11" t="s">
        <v>93</v>
      </c>
      <c r="D107" s="11"/>
      <c r="E107" s="11"/>
      <c r="F107" s="11"/>
      <c r="G107" s="238"/>
      <c r="K107" s="4"/>
    </row>
    <row r="108" spans="2:11" ht="17.25" customHeight="1" x14ac:dyDescent="0.25">
      <c r="B108">
        <v>800</v>
      </c>
      <c r="C108" s="11" t="s">
        <v>74</v>
      </c>
      <c r="D108" s="11">
        <v>45182</v>
      </c>
      <c r="E108" s="11"/>
      <c r="F108" s="11"/>
      <c r="G108" s="238"/>
      <c r="K108" s="4"/>
    </row>
    <row r="109" spans="2:11" ht="17.25" customHeight="1" x14ac:dyDescent="0.25">
      <c r="B109">
        <v>-800</v>
      </c>
      <c r="C109" s="11" t="s">
        <v>93</v>
      </c>
      <c r="D109" s="11">
        <v>45182</v>
      </c>
      <c r="E109" s="11"/>
      <c r="F109" s="11"/>
      <c r="G109" s="238"/>
      <c r="K109" s="4"/>
    </row>
    <row r="110" spans="2:11" ht="17.25" customHeight="1" x14ac:dyDescent="0.25">
      <c r="B110">
        <v>800</v>
      </c>
      <c r="C110" s="11" t="s">
        <v>74</v>
      </c>
      <c r="D110" s="11">
        <v>45196</v>
      </c>
      <c r="E110" s="11"/>
      <c r="F110" s="11"/>
      <c r="G110" s="238"/>
      <c r="K110" s="4"/>
    </row>
    <row r="111" spans="2:11" ht="17.25" customHeight="1" x14ac:dyDescent="0.25">
      <c r="B111">
        <v>-800</v>
      </c>
      <c r="C111" s="11" t="s">
        <v>93</v>
      </c>
      <c r="D111" s="11"/>
      <c r="E111" s="11"/>
      <c r="F111" s="11"/>
      <c r="G111" s="238"/>
      <c r="K111" s="4"/>
    </row>
    <row r="112" spans="2:11" ht="17.25" customHeight="1" x14ac:dyDescent="0.25">
      <c r="B112">
        <v>4500</v>
      </c>
      <c r="C112" s="11" t="s">
        <v>12</v>
      </c>
      <c r="D112" s="11">
        <v>45593</v>
      </c>
      <c r="E112" s="11"/>
      <c r="F112" s="11"/>
      <c r="G112" s="238"/>
      <c r="K112" s="4"/>
    </row>
    <row r="113" spans="2:11" ht="17.25" customHeight="1" x14ac:dyDescent="0.25">
      <c r="B113">
        <v>-15000</v>
      </c>
      <c r="C113" s="11" t="s">
        <v>93</v>
      </c>
      <c r="D113" s="11">
        <v>45593</v>
      </c>
      <c r="E113" s="11"/>
      <c r="F113" s="11"/>
      <c r="G113" s="238"/>
      <c r="K113" s="4"/>
    </row>
    <row r="114" spans="2:11" ht="17.25" customHeight="1" x14ac:dyDescent="0.25">
      <c r="B114">
        <v>-1000</v>
      </c>
      <c r="C114" s="11" t="s">
        <v>175</v>
      </c>
      <c r="D114" s="11">
        <v>45831</v>
      </c>
      <c r="E114" s="11"/>
      <c r="F114" s="11"/>
      <c r="G114" s="238"/>
      <c r="K114" s="4"/>
    </row>
    <row r="115" spans="2:11" ht="17.25" customHeight="1" x14ac:dyDescent="0.25">
      <c r="B115">
        <v>15300</v>
      </c>
      <c r="C115" s="11" t="s">
        <v>74</v>
      </c>
      <c r="D115" s="11">
        <v>45840</v>
      </c>
      <c r="E115" s="11"/>
      <c r="F115" s="11"/>
      <c r="G115" s="238"/>
      <c r="K115" s="4"/>
    </row>
    <row r="116" spans="2:11" ht="17.25" customHeight="1" x14ac:dyDescent="0.25">
      <c r="B116">
        <v>-15500</v>
      </c>
      <c r="C116" s="11" t="s">
        <v>93</v>
      </c>
      <c r="D116" s="11">
        <v>45840</v>
      </c>
      <c r="E116" s="11"/>
      <c r="F116" s="11"/>
      <c r="G116" s="238"/>
      <c r="K116" s="4"/>
    </row>
    <row r="117" spans="2:11" x14ac:dyDescent="0.25">
      <c r="B117" s="135">
        <f>SUM(B56:B116)</f>
        <v>-13770</v>
      </c>
      <c r="C117" s="11">
        <v>45840</v>
      </c>
      <c r="D117" s="11"/>
      <c r="E117" s="11"/>
      <c r="F117" s="11"/>
      <c r="G117" s="238"/>
      <c r="K117" s="4"/>
    </row>
    <row r="118" spans="2:11" x14ac:dyDescent="0.25">
      <c r="B118" s="11"/>
      <c r="D118" s="11"/>
      <c r="E118" s="11"/>
      <c r="F118" s="11"/>
      <c r="G118" s="238"/>
      <c r="K118" s="4"/>
    </row>
    <row r="119" spans="2:11" x14ac:dyDescent="0.25">
      <c r="B119" s="11"/>
      <c r="E119" s="11"/>
      <c r="F119" s="11"/>
      <c r="G119" s="238"/>
      <c r="K119" s="4"/>
    </row>
    <row r="120" spans="2:11" x14ac:dyDescent="0.25">
      <c r="B120" s="11"/>
      <c r="E120" s="11"/>
      <c r="F120" s="11"/>
      <c r="G120" s="238"/>
      <c r="K120" s="4"/>
    </row>
    <row r="121" spans="2:11" x14ac:dyDescent="0.25">
      <c r="B121" s="11"/>
      <c r="E121" s="11"/>
      <c r="F121" s="11"/>
      <c r="G121" s="238"/>
      <c r="K121" s="4"/>
    </row>
    <row r="122" spans="2:11" x14ac:dyDescent="0.25">
      <c r="B122" s="11"/>
      <c r="C122" s="11"/>
      <c r="E122" s="11"/>
      <c r="F122" s="11"/>
      <c r="G122" s="238"/>
      <c r="K122" s="4"/>
    </row>
    <row r="123" spans="2:11" x14ac:dyDescent="0.25">
      <c r="B123" s="11"/>
      <c r="E123" s="4"/>
      <c r="K123" s="4"/>
    </row>
    <row r="124" spans="2:11" x14ac:dyDescent="0.25">
      <c r="B124" s="11"/>
      <c r="F124" s="11"/>
      <c r="G124" s="238"/>
      <c r="I124" s="173"/>
      <c r="K124" s="4"/>
    </row>
    <row r="125" spans="2:11" x14ac:dyDescent="0.25">
      <c r="B125" s="11"/>
      <c r="E125" s="11"/>
      <c r="F125" s="11"/>
      <c r="G125" s="238"/>
      <c r="K125" s="4"/>
    </row>
    <row r="126" spans="2:11" x14ac:dyDescent="0.25">
      <c r="B126" s="11"/>
      <c r="K126" s="4"/>
    </row>
    <row r="127" spans="2:11" x14ac:dyDescent="0.25">
      <c r="B127" s="11"/>
      <c r="E127" s="11"/>
      <c r="F127" s="11"/>
      <c r="G127" s="238"/>
      <c r="K127" s="4"/>
    </row>
    <row r="128" spans="2:11" x14ac:dyDescent="0.25">
      <c r="B128" s="11"/>
      <c r="I128" s="4"/>
    </row>
    <row r="129" spans="2:11" x14ac:dyDescent="0.25">
      <c r="B129" s="11"/>
      <c r="E129" s="11"/>
      <c r="F129" s="11"/>
      <c r="G129" s="238"/>
      <c r="K129" s="4"/>
    </row>
    <row r="130" spans="2:11" x14ac:dyDescent="0.25">
      <c r="B130" s="11"/>
      <c r="E130" s="11"/>
      <c r="F130" s="11"/>
      <c r="G130" s="238"/>
      <c r="K130" s="4"/>
    </row>
    <row r="131" spans="2:11" x14ac:dyDescent="0.25">
      <c r="B131" s="11"/>
      <c r="E131" s="11"/>
      <c r="F131" s="11"/>
      <c r="G131" s="238"/>
      <c r="K131" s="4"/>
    </row>
    <row r="132" spans="2:11" x14ac:dyDescent="0.25">
      <c r="B132" s="11"/>
      <c r="E132" s="11"/>
      <c r="F132" s="11"/>
      <c r="G132" s="238"/>
      <c r="K132" s="4"/>
    </row>
    <row r="133" spans="2:11" x14ac:dyDescent="0.25">
      <c r="B133" s="11"/>
      <c r="E133" s="11"/>
      <c r="F133" s="11"/>
      <c r="G133" s="238"/>
      <c r="K133" s="4"/>
    </row>
    <row r="134" spans="2:11" x14ac:dyDescent="0.25">
      <c r="B134" s="11"/>
      <c r="D134" s="11"/>
      <c r="E134" s="11"/>
      <c r="F134" s="11"/>
      <c r="G134" s="238"/>
      <c r="K134" s="4"/>
    </row>
    <row r="135" spans="2:11" x14ac:dyDescent="0.25">
      <c r="B135" s="11"/>
      <c r="E135" s="11"/>
      <c r="F135" s="11"/>
      <c r="G135" s="238"/>
      <c r="K135" s="4"/>
    </row>
    <row r="136" spans="2:11" x14ac:dyDescent="0.25">
      <c r="B136" s="11"/>
      <c r="E136" s="11"/>
      <c r="F136" s="11"/>
      <c r="G136" s="238"/>
      <c r="K136" s="4"/>
    </row>
    <row r="137" spans="2:11" x14ac:dyDescent="0.25">
      <c r="B137" s="11"/>
      <c r="E137" s="11"/>
      <c r="F137" s="11"/>
      <c r="G137" s="238"/>
      <c r="K137" s="4"/>
    </row>
    <row r="138" spans="2:11" x14ac:dyDescent="0.25">
      <c r="B138" s="11"/>
      <c r="E138" s="11"/>
      <c r="F138" s="11"/>
      <c r="G138" s="238"/>
      <c r="K138" s="4"/>
    </row>
    <row r="139" spans="2:11" x14ac:dyDescent="0.25">
      <c r="B139" s="11"/>
      <c r="E139" s="11"/>
      <c r="F139" s="11"/>
      <c r="G139" s="238"/>
      <c r="K139" s="4"/>
    </row>
    <row r="140" spans="2:11" x14ac:dyDescent="0.25">
      <c r="B140" s="11"/>
      <c r="E140" s="11"/>
      <c r="F140" s="11"/>
      <c r="G140" s="238"/>
      <c r="K140" s="4"/>
    </row>
    <row r="141" spans="2:11" x14ac:dyDescent="0.25">
      <c r="B141" s="11"/>
      <c r="E141" s="11"/>
      <c r="F141" s="11"/>
      <c r="G141" s="238"/>
    </row>
    <row r="142" spans="2:11" x14ac:dyDescent="0.25">
      <c r="B142" s="11"/>
      <c r="E142" s="11"/>
      <c r="F142" s="11"/>
      <c r="G142" s="238"/>
    </row>
    <row r="143" spans="2:11" x14ac:dyDescent="0.25">
      <c r="B143" s="11"/>
      <c r="E143" s="11"/>
      <c r="F143" s="11"/>
      <c r="G143" s="238"/>
    </row>
    <row r="144" spans="2:11" x14ac:dyDescent="0.25">
      <c r="B144" s="11"/>
      <c r="E144" s="11"/>
      <c r="F144" s="11"/>
      <c r="G144" s="238"/>
    </row>
    <row r="145" spans="2:7" x14ac:dyDescent="0.25">
      <c r="B145" s="11"/>
      <c r="E145" s="11"/>
      <c r="F145" s="11"/>
      <c r="G145" s="238"/>
    </row>
    <row r="146" spans="2:7" x14ac:dyDescent="0.25">
      <c r="B146" s="11"/>
      <c r="E146" s="11"/>
      <c r="F146" s="11"/>
      <c r="G146" s="238"/>
    </row>
    <row r="147" spans="2:7" x14ac:dyDescent="0.25">
      <c r="B147" s="11"/>
      <c r="E147" s="11"/>
      <c r="F147" s="11"/>
      <c r="G147" s="238"/>
    </row>
    <row r="148" spans="2:7" x14ac:dyDescent="0.25">
      <c r="B148" s="11"/>
      <c r="E148" s="11"/>
      <c r="F148" s="11"/>
      <c r="G148" s="238"/>
    </row>
    <row r="149" spans="2:7" x14ac:dyDescent="0.25">
      <c r="B149" s="11"/>
      <c r="E149" s="11"/>
      <c r="F149" s="11"/>
      <c r="G149" s="238"/>
    </row>
    <row r="150" spans="2:7" x14ac:dyDescent="0.25">
      <c r="B150" s="11"/>
      <c r="E150" s="11"/>
      <c r="F150" s="11"/>
      <c r="G150" s="238"/>
    </row>
    <row r="151" spans="2:7" x14ac:dyDescent="0.25">
      <c r="B151" s="11"/>
      <c r="E151" s="11"/>
      <c r="F151" s="11"/>
      <c r="G151" s="238"/>
    </row>
    <row r="152" spans="2:7" x14ac:dyDescent="0.25">
      <c r="B152" s="11"/>
      <c r="E152" s="11"/>
      <c r="F152" s="11"/>
      <c r="G152" s="238"/>
    </row>
    <row r="153" spans="2:7" x14ac:dyDescent="0.25">
      <c r="B153" s="11"/>
      <c r="E153" s="11"/>
      <c r="F153" s="11"/>
      <c r="G153" s="238"/>
    </row>
    <row r="154" spans="2:7" x14ac:dyDescent="0.25">
      <c r="B154" s="11"/>
      <c r="E154" s="11"/>
      <c r="F154" s="11"/>
      <c r="G154" s="238"/>
    </row>
    <row r="155" spans="2:7" x14ac:dyDescent="0.25">
      <c r="B155" s="11"/>
      <c r="E155" s="11"/>
      <c r="F155" s="11"/>
      <c r="G155" s="238"/>
    </row>
    <row r="156" spans="2:7" x14ac:dyDescent="0.25">
      <c r="B156" s="11"/>
      <c r="E156" s="11"/>
      <c r="F156" s="11"/>
      <c r="G156" s="238"/>
    </row>
    <row r="157" spans="2:7" x14ac:dyDescent="0.25">
      <c r="B157" s="11"/>
      <c r="E157" s="11"/>
      <c r="F157" s="11"/>
      <c r="G157" s="238"/>
    </row>
    <row r="158" spans="2:7" x14ac:dyDescent="0.25">
      <c r="E158" s="11"/>
      <c r="F158" s="11"/>
      <c r="G158" s="238"/>
    </row>
    <row r="159" spans="2:7" x14ac:dyDescent="0.25">
      <c r="E159" s="11"/>
      <c r="F159" s="11"/>
      <c r="G159" s="238"/>
    </row>
    <row r="160" spans="2:7" x14ac:dyDescent="0.25">
      <c r="E160" s="11"/>
      <c r="F160" s="11"/>
      <c r="G160" s="238"/>
    </row>
    <row r="161" spans="5:7" x14ac:dyDescent="0.25">
      <c r="E161" s="11"/>
      <c r="F161" s="11"/>
      <c r="G161" s="238"/>
    </row>
    <row r="162" spans="5:7" x14ac:dyDescent="0.25">
      <c r="E162" s="11"/>
      <c r="F162" s="11"/>
      <c r="G162" s="238"/>
    </row>
    <row r="163" spans="5:7" x14ac:dyDescent="0.25">
      <c r="E163" s="11"/>
      <c r="F163" s="11"/>
      <c r="G163" s="238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58"/>
  <sheetViews>
    <sheetView topLeftCell="A25" zoomScale="110" zoomScaleNormal="110" workbookViewId="0">
      <selection activeCell="B40" sqref="B40:I41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2.7109375" bestFit="1" customWidth="1"/>
  </cols>
  <sheetData>
    <row r="1" spans="1:11" x14ac:dyDescent="0.25">
      <c r="D1" s="172"/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73"/>
      <c r="B3" s="82"/>
      <c r="C3" s="124"/>
      <c r="D3" s="82"/>
      <c r="E3" s="82"/>
      <c r="F3" s="82"/>
      <c r="G3" s="82"/>
      <c r="H3" s="123"/>
      <c r="I3" s="90"/>
      <c r="J3" s="82"/>
      <c r="K3" s="217"/>
    </row>
    <row r="4" spans="1:11" x14ac:dyDescent="0.25">
      <c r="A4" s="273"/>
      <c r="B4" s="82"/>
      <c r="C4" s="124"/>
      <c r="D4" s="82"/>
      <c r="E4" s="82"/>
      <c r="F4" s="82"/>
      <c r="G4" s="82"/>
      <c r="H4" s="123"/>
      <c r="I4" s="90"/>
      <c r="J4" s="82"/>
      <c r="K4" s="217"/>
    </row>
    <row r="5" spans="1:11" x14ac:dyDescent="0.25">
      <c r="A5" s="273"/>
      <c r="B5" s="82"/>
      <c r="C5" s="124"/>
      <c r="D5" s="82"/>
      <c r="E5" s="82"/>
      <c r="F5" s="82"/>
      <c r="G5" s="82"/>
      <c r="H5" s="123"/>
      <c r="I5" s="90"/>
      <c r="J5" s="82"/>
      <c r="K5" s="217"/>
    </row>
    <row r="6" spans="1:11" x14ac:dyDescent="0.25">
      <c r="A6" s="273"/>
      <c r="B6" s="82"/>
      <c r="C6" s="124"/>
      <c r="D6" s="82"/>
      <c r="E6" s="82"/>
      <c r="F6" s="82"/>
      <c r="G6" s="82"/>
      <c r="H6" s="123"/>
      <c r="I6" s="90"/>
      <c r="J6" s="82"/>
      <c r="K6" s="217"/>
    </row>
    <row r="7" spans="1:11" x14ac:dyDescent="0.25">
      <c r="A7" s="273"/>
      <c r="B7" s="82"/>
      <c r="C7" s="124"/>
      <c r="D7" s="82"/>
      <c r="E7" s="82"/>
      <c r="F7" s="82"/>
      <c r="G7" s="82"/>
      <c r="H7" s="123"/>
      <c r="I7" s="90"/>
      <c r="J7" s="82"/>
      <c r="K7" s="217"/>
    </row>
    <row r="8" spans="1:11" x14ac:dyDescent="0.25">
      <c r="A8" s="273"/>
      <c r="B8" s="82"/>
      <c r="C8" s="124"/>
      <c r="D8" s="82"/>
      <c r="E8" s="82"/>
      <c r="F8" s="82"/>
      <c r="G8" s="82"/>
      <c r="H8" s="123"/>
      <c r="I8" s="90"/>
      <c r="J8" s="82"/>
      <c r="K8" s="217"/>
    </row>
    <row r="9" spans="1:11" x14ac:dyDescent="0.25">
      <c r="A9" s="273"/>
      <c r="B9" s="82"/>
      <c r="C9" s="124"/>
      <c r="D9" s="82"/>
      <c r="E9" s="82"/>
      <c r="F9" s="82"/>
      <c r="G9" s="82"/>
      <c r="H9" s="123"/>
      <c r="I9" s="90"/>
      <c r="J9" s="82"/>
      <c r="K9" s="217"/>
    </row>
    <row r="10" spans="1:11" x14ac:dyDescent="0.25">
      <c r="A10" s="273"/>
      <c r="B10" s="82"/>
      <c r="C10" s="124"/>
      <c r="D10" s="82"/>
      <c r="E10" s="82"/>
      <c r="F10" s="82"/>
      <c r="G10" s="82"/>
      <c r="H10" s="123"/>
      <c r="I10" s="90"/>
      <c r="J10" s="82"/>
      <c r="K10" s="217"/>
    </row>
    <row r="11" spans="1:11" x14ac:dyDescent="0.25">
      <c r="A11" s="273"/>
      <c r="B11" s="82"/>
      <c r="C11" s="124"/>
      <c r="D11" s="82"/>
      <c r="E11" s="82"/>
      <c r="F11" s="82"/>
      <c r="G11" s="82"/>
      <c r="H11" s="123"/>
      <c r="I11" s="90"/>
      <c r="J11" s="82"/>
      <c r="K11" s="217"/>
    </row>
    <row r="12" spans="1:11" x14ac:dyDescent="0.25">
      <c r="A12" s="273"/>
      <c r="B12" s="82"/>
      <c r="C12" s="124"/>
      <c r="D12" s="82"/>
      <c r="E12" s="82"/>
      <c r="F12" s="82"/>
      <c r="G12" s="82"/>
      <c r="H12" s="123"/>
      <c r="I12" s="90"/>
      <c r="J12" s="82"/>
      <c r="K12" s="217"/>
    </row>
    <row r="13" spans="1:11" x14ac:dyDescent="0.25">
      <c r="A13" s="273"/>
      <c r="B13" s="82"/>
      <c r="C13" s="124"/>
      <c r="D13" s="82"/>
      <c r="E13" s="82"/>
      <c r="F13" s="82"/>
      <c r="G13" s="82"/>
      <c r="H13" s="123"/>
      <c r="I13" s="90"/>
      <c r="J13" s="82"/>
      <c r="K13" s="217"/>
    </row>
    <row r="14" spans="1:11" x14ac:dyDescent="0.25">
      <c r="A14" s="273"/>
      <c r="B14" s="82"/>
      <c r="C14" s="124"/>
      <c r="D14" s="82"/>
      <c r="E14" s="82"/>
      <c r="F14" s="82"/>
      <c r="G14" s="82"/>
      <c r="H14" s="123"/>
      <c r="I14" s="90"/>
      <c r="J14" s="82"/>
      <c r="K14" s="217"/>
    </row>
    <row r="15" spans="1:11" x14ac:dyDescent="0.25">
      <c r="A15" s="273"/>
      <c r="B15" s="82"/>
      <c r="C15" s="124"/>
      <c r="D15" s="82"/>
      <c r="E15" s="82"/>
      <c r="F15" s="82"/>
      <c r="G15" s="82"/>
      <c r="H15" s="123"/>
      <c r="I15" s="90"/>
      <c r="J15" s="82"/>
      <c r="K15" s="217"/>
    </row>
    <row r="16" spans="1:11" x14ac:dyDescent="0.25">
      <c r="A16" s="273"/>
      <c r="B16" s="82"/>
      <c r="C16" s="124"/>
      <c r="D16" s="82"/>
      <c r="E16" s="82"/>
      <c r="F16" s="82"/>
      <c r="G16" s="82"/>
      <c r="H16" s="123"/>
      <c r="I16" s="90"/>
      <c r="J16" s="82"/>
      <c r="K16" s="217"/>
    </row>
    <row r="17" spans="1:11" x14ac:dyDescent="0.25">
      <c r="A17" s="273"/>
      <c r="B17" s="82"/>
      <c r="C17" s="124"/>
      <c r="D17" s="82"/>
      <c r="E17" s="82"/>
      <c r="F17" s="82"/>
      <c r="G17" s="82"/>
      <c r="H17" s="123"/>
      <c r="I17" s="90"/>
      <c r="J17" s="82"/>
      <c r="K17" s="217"/>
    </row>
    <row r="18" spans="1:11" x14ac:dyDescent="0.25">
      <c r="A18" s="273"/>
      <c r="B18" s="82"/>
      <c r="C18" s="124"/>
      <c r="D18" s="82"/>
      <c r="E18" s="82"/>
      <c r="F18" s="82"/>
      <c r="G18" s="82"/>
      <c r="H18" s="123"/>
      <c r="I18" s="90"/>
      <c r="J18" s="82"/>
      <c r="K18" s="217"/>
    </row>
    <row r="19" spans="1:11" x14ac:dyDescent="0.25">
      <c r="A19" s="273"/>
      <c r="B19" s="82"/>
      <c r="C19" s="124"/>
      <c r="D19" s="82"/>
      <c r="E19" s="82"/>
      <c r="F19" s="82"/>
      <c r="G19" s="82"/>
      <c r="H19" s="123"/>
      <c r="I19" s="90"/>
      <c r="J19" s="82"/>
      <c r="K19" s="217"/>
    </row>
    <row r="20" spans="1:11" x14ac:dyDescent="0.25">
      <c r="A20" s="273"/>
      <c r="B20" s="82"/>
      <c r="C20" s="124"/>
      <c r="D20" s="82"/>
      <c r="E20" s="82"/>
      <c r="F20" s="82"/>
      <c r="G20" s="82"/>
      <c r="H20" s="123"/>
      <c r="I20" s="90"/>
      <c r="J20" s="82"/>
      <c r="K20" s="217"/>
    </row>
    <row r="21" spans="1:11" x14ac:dyDescent="0.25">
      <c r="A21" s="273"/>
      <c r="B21" s="82"/>
      <c r="C21" s="124"/>
      <c r="D21" s="82"/>
      <c r="E21" s="82"/>
      <c r="F21" s="82"/>
      <c r="G21" s="82"/>
      <c r="H21" s="123"/>
      <c r="I21" s="90"/>
      <c r="J21" s="82"/>
      <c r="K21" s="217"/>
    </row>
    <row r="22" spans="1:11" x14ac:dyDescent="0.25">
      <c r="A22" s="273"/>
      <c r="B22" s="82"/>
      <c r="C22" s="124"/>
      <c r="D22" s="82"/>
      <c r="E22" s="82"/>
      <c r="F22" s="82"/>
      <c r="G22" s="82"/>
      <c r="H22" s="123"/>
      <c r="I22" s="90"/>
      <c r="J22" s="82"/>
      <c r="K22" s="217"/>
    </row>
    <row r="23" spans="1:11" x14ac:dyDescent="0.25">
      <c r="A23" s="273"/>
      <c r="B23" s="82"/>
      <c r="C23" s="124"/>
      <c r="D23" s="82"/>
      <c r="E23" s="82"/>
      <c r="F23" s="82"/>
      <c r="G23" s="82"/>
      <c r="H23" s="123"/>
      <c r="I23" s="90"/>
      <c r="J23" s="82"/>
      <c r="K23" s="217"/>
    </row>
    <row r="24" spans="1:11" x14ac:dyDescent="0.25">
      <c r="A24" s="273"/>
      <c r="B24" s="82"/>
      <c r="C24" s="124"/>
      <c r="D24" s="82"/>
      <c r="E24" s="82"/>
      <c r="F24" s="82"/>
      <c r="G24" s="82"/>
      <c r="H24" s="123"/>
      <c r="I24" s="90"/>
      <c r="J24" s="82"/>
      <c r="K24" s="217"/>
    </row>
    <row r="25" spans="1:11" x14ac:dyDescent="0.25">
      <c r="A25" s="273"/>
      <c r="B25" s="82"/>
      <c r="C25" s="124"/>
      <c r="D25" s="82"/>
      <c r="E25" s="82"/>
      <c r="F25" s="82"/>
      <c r="G25" s="82"/>
      <c r="H25" s="123"/>
      <c r="I25" s="90"/>
      <c r="J25" s="82"/>
      <c r="K25" s="217"/>
    </row>
    <row r="26" spans="1:11" x14ac:dyDescent="0.25">
      <c r="A26" s="273"/>
      <c r="B26" s="82"/>
      <c r="C26" s="124"/>
      <c r="D26" s="82"/>
      <c r="E26" s="82"/>
      <c r="F26" s="82"/>
      <c r="G26" s="82"/>
      <c r="H26" s="123"/>
      <c r="I26" s="90"/>
      <c r="J26" s="82"/>
      <c r="K26" s="217"/>
    </row>
    <row r="27" spans="1:11" x14ac:dyDescent="0.25">
      <c r="A27" s="273"/>
      <c r="B27" s="82"/>
      <c r="C27" s="124"/>
      <c r="D27" s="82"/>
      <c r="E27" s="82"/>
      <c r="F27" s="82"/>
      <c r="G27" s="82"/>
      <c r="H27" s="123"/>
      <c r="I27" s="90"/>
      <c r="J27" s="82"/>
      <c r="K27" s="217"/>
    </row>
    <row r="28" spans="1:11" x14ac:dyDescent="0.25">
      <c r="A28" s="273"/>
      <c r="B28" s="82"/>
      <c r="C28" s="124"/>
      <c r="D28" s="82"/>
      <c r="E28" s="82"/>
      <c r="F28" s="82"/>
      <c r="G28" s="82"/>
      <c r="H28" s="83"/>
      <c r="I28" s="90"/>
      <c r="J28" s="82"/>
      <c r="K28" s="217"/>
    </row>
    <row r="29" spans="1:11" x14ac:dyDescent="0.25">
      <c r="A29" s="273"/>
      <c r="B29" s="82"/>
      <c r="C29" s="124"/>
      <c r="D29" s="82"/>
      <c r="E29" s="82"/>
      <c r="F29" s="82"/>
      <c r="G29" s="82"/>
      <c r="H29" s="83"/>
      <c r="I29" s="90"/>
      <c r="J29" s="82"/>
      <c r="K29" s="217"/>
    </row>
    <row r="30" spans="1:11" x14ac:dyDescent="0.25">
      <c r="A30" s="273">
        <v>46112</v>
      </c>
      <c r="B30" s="82" t="s">
        <v>118</v>
      </c>
      <c r="C30" s="124" t="s">
        <v>146</v>
      </c>
      <c r="D30" s="82">
        <v>1430</v>
      </c>
      <c r="E30" s="82"/>
      <c r="F30" s="82"/>
      <c r="G30" s="82"/>
      <c r="H30" s="123">
        <v>118339</v>
      </c>
      <c r="I30" s="90" t="s">
        <v>147</v>
      </c>
      <c r="J30" s="82"/>
      <c r="K30" s="217"/>
    </row>
    <row r="31" spans="1:11" x14ac:dyDescent="0.25">
      <c r="A31" s="273">
        <v>46114</v>
      </c>
      <c r="B31" s="82" t="s">
        <v>146</v>
      </c>
      <c r="C31" s="124" t="s">
        <v>9</v>
      </c>
      <c r="D31" s="82">
        <v>940</v>
      </c>
      <c r="E31" s="82"/>
      <c r="F31" s="82"/>
      <c r="G31" s="82"/>
      <c r="H31" s="83" t="s">
        <v>66</v>
      </c>
      <c r="I31" s="90"/>
      <c r="J31" s="82"/>
      <c r="K31" s="217"/>
    </row>
    <row r="32" spans="1:11" x14ac:dyDescent="0.25">
      <c r="A32" s="273">
        <v>46116</v>
      </c>
      <c r="B32" s="227" t="s">
        <v>9</v>
      </c>
      <c r="C32" s="82" t="s">
        <v>300</v>
      </c>
      <c r="D32" s="82">
        <v>420</v>
      </c>
      <c r="E32" s="82"/>
      <c r="F32" s="82">
        <v>34.35</v>
      </c>
      <c r="G32" s="82"/>
      <c r="H32" s="123">
        <v>618966</v>
      </c>
      <c r="I32" s="90" t="s">
        <v>301</v>
      </c>
      <c r="J32" s="82"/>
      <c r="K32" s="217"/>
    </row>
    <row r="33" spans="1:11" x14ac:dyDescent="0.25">
      <c r="A33" s="273">
        <v>46119</v>
      </c>
      <c r="B33" s="227" t="s">
        <v>300</v>
      </c>
      <c r="C33" s="82" t="s">
        <v>118</v>
      </c>
      <c r="D33" s="82">
        <v>85</v>
      </c>
      <c r="E33" s="82"/>
      <c r="F33" s="82"/>
      <c r="G33" s="82"/>
      <c r="H33" s="128" t="s">
        <v>66</v>
      </c>
      <c r="I33" s="90"/>
      <c r="J33" s="82"/>
      <c r="K33" s="217"/>
    </row>
    <row r="34" spans="1:11" x14ac:dyDescent="0.25">
      <c r="A34" s="273">
        <v>46120</v>
      </c>
      <c r="B34" s="82" t="s">
        <v>118</v>
      </c>
      <c r="C34" s="124" t="s">
        <v>385</v>
      </c>
      <c r="D34" s="82">
        <v>1560</v>
      </c>
      <c r="E34" s="82"/>
      <c r="F34" s="82"/>
      <c r="G34" s="82"/>
      <c r="H34" s="90">
        <v>119854</v>
      </c>
      <c r="I34" s="90" t="s">
        <v>386</v>
      </c>
      <c r="J34" s="82"/>
      <c r="K34" s="217"/>
    </row>
    <row r="35" spans="1:11" x14ac:dyDescent="0.25">
      <c r="A35" s="273">
        <v>46122</v>
      </c>
      <c r="B35" s="124" t="s">
        <v>385</v>
      </c>
      <c r="C35" s="124" t="s">
        <v>9</v>
      </c>
      <c r="D35" s="82">
        <v>1070</v>
      </c>
      <c r="E35" s="82"/>
      <c r="F35" s="82"/>
      <c r="G35" s="82"/>
      <c r="H35" s="83" t="s">
        <v>66</v>
      </c>
      <c r="I35" s="90"/>
      <c r="J35" s="82"/>
      <c r="K35" s="217"/>
    </row>
    <row r="36" spans="1:11" x14ac:dyDescent="0.25">
      <c r="A36" s="273">
        <v>46125</v>
      </c>
      <c r="B36" s="82" t="s">
        <v>9</v>
      </c>
      <c r="C36" s="124" t="s">
        <v>300</v>
      </c>
      <c r="D36" s="82">
        <v>430</v>
      </c>
      <c r="E36" s="82"/>
      <c r="F36" s="82"/>
      <c r="G36" s="82"/>
      <c r="H36" s="90">
        <v>293735</v>
      </c>
      <c r="I36" s="90" t="s">
        <v>15</v>
      </c>
      <c r="J36" s="82"/>
      <c r="K36" s="217"/>
    </row>
    <row r="37" spans="1:11" x14ac:dyDescent="0.25">
      <c r="A37" s="273">
        <v>46126</v>
      </c>
      <c r="B37" s="82" t="s">
        <v>300</v>
      </c>
      <c r="C37" s="124" t="s">
        <v>118</v>
      </c>
      <c r="D37" s="82">
        <v>100</v>
      </c>
      <c r="E37" s="82"/>
      <c r="F37" s="82"/>
      <c r="G37" s="82"/>
      <c r="H37" s="83" t="s">
        <v>66</v>
      </c>
      <c r="I37" s="90"/>
      <c r="J37" s="82"/>
      <c r="K37" s="217"/>
    </row>
    <row r="38" spans="1:11" x14ac:dyDescent="0.25">
      <c r="A38" s="273">
        <v>46126</v>
      </c>
      <c r="B38" s="82" t="s">
        <v>118</v>
      </c>
      <c r="C38" s="124" t="s">
        <v>385</v>
      </c>
      <c r="D38" s="82">
        <v>1470</v>
      </c>
      <c r="E38" s="82"/>
      <c r="F38" s="82"/>
      <c r="G38" s="82"/>
      <c r="H38" s="90">
        <v>121071</v>
      </c>
      <c r="I38" s="215" t="s">
        <v>399</v>
      </c>
      <c r="J38" s="82"/>
      <c r="K38" s="217"/>
    </row>
    <row r="39" spans="1:11" x14ac:dyDescent="0.25">
      <c r="A39" s="273">
        <v>46128</v>
      </c>
      <c r="B39" s="124" t="s">
        <v>385</v>
      </c>
      <c r="C39" s="124" t="s">
        <v>9</v>
      </c>
      <c r="D39" s="82">
        <v>1070</v>
      </c>
      <c r="E39" s="82"/>
      <c r="F39" s="82"/>
      <c r="G39" s="82"/>
      <c r="H39" s="83" t="s">
        <v>66</v>
      </c>
      <c r="I39" s="90"/>
      <c r="J39" s="82"/>
      <c r="K39" s="217"/>
    </row>
    <row r="40" spans="1:11" x14ac:dyDescent="0.25">
      <c r="A40" s="273">
        <v>46133</v>
      </c>
      <c r="B40" s="82" t="s">
        <v>9</v>
      </c>
      <c r="C40" s="124" t="s">
        <v>393</v>
      </c>
      <c r="D40" s="82">
        <v>390</v>
      </c>
      <c r="E40" s="82"/>
      <c r="F40" s="82"/>
      <c r="G40" s="82"/>
      <c r="H40" s="123">
        <v>767372</v>
      </c>
      <c r="I40" s="90"/>
      <c r="J40" s="82"/>
      <c r="K40" s="217"/>
    </row>
    <row r="41" spans="1:11" x14ac:dyDescent="0.25">
      <c r="A41" s="273">
        <v>46134</v>
      </c>
      <c r="B41" s="82" t="s">
        <v>393</v>
      </c>
      <c r="C41" s="124" t="s">
        <v>118</v>
      </c>
      <c r="D41" s="82">
        <v>170</v>
      </c>
      <c r="E41" s="82"/>
      <c r="F41" s="82"/>
      <c r="G41" s="82"/>
      <c r="H41" s="128" t="s">
        <v>66</v>
      </c>
      <c r="I41" s="90"/>
      <c r="J41" s="82"/>
      <c r="K41" s="217"/>
    </row>
    <row r="42" spans="1:11" x14ac:dyDescent="0.25">
      <c r="A42" s="273">
        <v>46135</v>
      </c>
      <c r="B42" s="82" t="s">
        <v>118</v>
      </c>
      <c r="C42" s="124" t="s">
        <v>385</v>
      </c>
      <c r="D42" s="82">
        <v>1560</v>
      </c>
      <c r="E42" s="82"/>
      <c r="F42" s="82"/>
      <c r="G42" s="82"/>
      <c r="H42" s="90">
        <v>122522</v>
      </c>
      <c r="I42" s="90" t="s">
        <v>386</v>
      </c>
      <c r="J42" s="82"/>
      <c r="K42" s="217"/>
    </row>
    <row r="43" spans="1:11" x14ac:dyDescent="0.25">
      <c r="A43" s="273">
        <v>46137</v>
      </c>
      <c r="B43" s="124" t="s">
        <v>385</v>
      </c>
      <c r="C43" s="124" t="s">
        <v>9</v>
      </c>
      <c r="D43" s="82">
        <v>1070</v>
      </c>
      <c r="E43" s="82"/>
      <c r="F43" s="82"/>
      <c r="G43" s="82"/>
      <c r="H43" s="83" t="s">
        <v>66</v>
      </c>
      <c r="I43" s="90"/>
      <c r="J43" s="82"/>
      <c r="K43" s="217"/>
    </row>
    <row r="44" spans="1:11" x14ac:dyDescent="0.25">
      <c r="A44" s="273">
        <v>46139</v>
      </c>
      <c r="B44" s="227" t="s">
        <v>9</v>
      </c>
      <c r="C44" s="82" t="s">
        <v>300</v>
      </c>
      <c r="D44" s="82">
        <v>430</v>
      </c>
      <c r="E44" s="82"/>
      <c r="F44" s="82">
        <v>34.74</v>
      </c>
      <c r="G44" s="82"/>
      <c r="H44" s="90">
        <v>294667</v>
      </c>
      <c r="I44" s="90" t="s">
        <v>15</v>
      </c>
      <c r="J44" s="82"/>
      <c r="K44" s="217"/>
    </row>
    <row r="45" spans="1:11" x14ac:dyDescent="0.25">
      <c r="A45" s="273">
        <v>46140</v>
      </c>
      <c r="B45" s="82" t="s">
        <v>300</v>
      </c>
      <c r="C45" s="124" t="s">
        <v>118</v>
      </c>
      <c r="D45" s="82">
        <v>100</v>
      </c>
      <c r="E45" s="82"/>
      <c r="F45" s="82"/>
      <c r="G45" s="82"/>
      <c r="H45" s="128" t="s">
        <v>66</v>
      </c>
      <c r="I45" s="90"/>
      <c r="J45" s="82"/>
      <c r="K45" s="217"/>
    </row>
    <row r="46" spans="1:11" x14ac:dyDescent="0.25">
      <c r="A46" s="273">
        <v>46140</v>
      </c>
      <c r="B46" s="82" t="s">
        <v>118</v>
      </c>
      <c r="C46" s="124" t="s">
        <v>146</v>
      </c>
      <c r="D46" s="82">
        <v>1430</v>
      </c>
      <c r="E46" s="82"/>
      <c r="F46" s="82"/>
      <c r="G46" s="82"/>
      <c r="H46" s="123">
        <v>123588</v>
      </c>
      <c r="I46" s="90" t="s">
        <v>147</v>
      </c>
      <c r="J46" s="82"/>
      <c r="K46" s="217"/>
    </row>
    <row r="47" spans="1:11" x14ac:dyDescent="0.25">
      <c r="A47" s="273"/>
      <c r="B47" s="82"/>
      <c r="C47" s="124"/>
      <c r="D47" s="151" t="s">
        <v>466</v>
      </c>
      <c r="E47" s="82"/>
      <c r="F47" s="82"/>
      <c r="G47" s="82"/>
      <c r="H47" s="128"/>
      <c r="I47" s="90"/>
      <c r="J47" s="82"/>
      <c r="K47" s="217"/>
    </row>
    <row r="48" spans="1:11" x14ac:dyDescent="0.25">
      <c r="A48" s="5"/>
      <c r="B48" s="6"/>
      <c r="C48" s="6"/>
      <c r="D48" s="6"/>
      <c r="E48" s="6"/>
      <c r="F48" s="6"/>
      <c r="G48" s="6"/>
      <c r="H48" s="7"/>
      <c r="I48" s="7"/>
      <c r="J48" s="140"/>
      <c r="K48" s="218"/>
    </row>
    <row r="49" spans="2:11" x14ac:dyDescent="0.25">
      <c r="D49" s="17">
        <f>SUM(D3:D48)</f>
        <v>13725</v>
      </c>
      <c r="E49" s="13"/>
      <c r="F49" s="13">
        <f>AVERAGE(F3:F47)</f>
        <v>34.545000000000002</v>
      </c>
      <c r="G49" s="13"/>
      <c r="J49" s="139">
        <f>SUM(J3:J48)</f>
        <v>0</v>
      </c>
      <c r="K49" s="219">
        <f>SUM(K3:K48)</f>
        <v>0</v>
      </c>
    </row>
    <row r="51" spans="2:11" x14ac:dyDescent="0.25">
      <c r="B51">
        <v>-2000</v>
      </c>
      <c r="C51" s="11">
        <v>44634</v>
      </c>
      <c r="D51" s="11"/>
      <c r="E51" s="11"/>
      <c r="F51" s="11"/>
      <c r="G51" s="11"/>
      <c r="K51" s="4"/>
    </row>
    <row r="52" spans="2:11" x14ac:dyDescent="0.25">
      <c r="B52">
        <v>1350</v>
      </c>
      <c r="C52" s="11" t="s">
        <v>12</v>
      </c>
      <c r="D52" s="11">
        <v>44643</v>
      </c>
      <c r="E52" s="11"/>
      <c r="F52" s="11"/>
      <c r="G52" s="11"/>
      <c r="K52" s="4"/>
    </row>
    <row r="53" spans="2:11" x14ac:dyDescent="0.25">
      <c r="B53">
        <v>-1400</v>
      </c>
      <c r="C53" s="11" t="s">
        <v>13</v>
      </c>
      <c r="D53" s="11"/>
      <c r="E53" s="11"/>
      <c r="F53" s="11"/>
      <c r="G53" s="11"/>
      <c r="K53" s="4"/>
    </row>
    <row r="54" spans="2:11" x14ac:dyDescent="0.25">
      <c r="B54">
        <v>800</v>
      </c>
      <c r="C54" s="11" t="s">
        <v>74</v>
      </c>
      <c r="D54" s="11">
        <v>44656</v>
      </c>
      <c r="E54" s="11"/>
      <c r="F54" s="11"/>
      <c r="G54" s="11"/>
      <c r="K54" s="4"/>
    </row>
    <row r="55" spans="2:11" x14ac:dyDescent="0.25">
      <c r="B55">
        <v>-800</v>
      </c>
      <c r="C55" s="11" t="s">
        <v>13</v>
      </c>
      <c r="D55" s="11">
        <v>44656</v>
      </c>
      <c r="E55" s="11"/>
      <c r="F55" s="11"/>
      <c r="G55" s="11"/>
      <c r="K55" s="4"/>
    </row>
    <row r="56" spans="2:11" x14ac:dyDescent="0.25">
      <c r="B56">
        <v>2400</v>
      </c>
      <c r="C56" s="11" t="s">
        <v>141</v>
      </c>
      <c r="D56" s="11"/>
      <c r="E56" s="11"/>
      <c r="F56" s="11"/>
      <c r="G56" s="11"/>
      <c r="K56" s="4"/>
    </row>
    <row r="57" spans="2:11" x14ac:dyDescent="0.25">
      <c r="B57">
        <v>-2400</v>
      </c>
      <c r="C57" s="11" t="s">
        <v>13</v>
      </c>
      <c r="D57" s="11"/>
      <c r="E57" s="11"/>
      <c r="F57" s="11"/>
      <c r="G57" s="11"/>
      <c r="K57" s="4"/>
    </row>
    <row r="58" spans="2:11" x14ac:dyDescent="0.25">
      <c r="B58">
        <v>560</v>
      </c>
      <c r="C58" s="11" t="s">
        <v>12</v>
      </c>
      <c r="D58" s="11">
        <v>44714</v>
      </c>
      <c r="E58" s="11"/>
      <c r="F58" s="11"/>
      <c r="G58" s="11"/>
      <c r="K58" s="4"/>
    </row>
    <row r="59" spans="2:11" x14ac:dyDescent="0.25">
      <c r="B59">
        <v>-600</v>
      </c>
      <c r="C59" s="11" t="s">
        <v>13</v>
      </c>
      <c r="D59" s="11"/>
      <c r="E59" s="11"/>
      <c r="F59" s="11"/>
      <c r="G59" s="11"/>
      <c r="K59" s="4"/>
    </row>
    <row r="60" spans="2:11" x14ac:dyDescent="0.25">
      <c r="B60">
        <v>280</v>
      </c>
      <c r="C60" s="11" t="s">
        <v>12</v>
      </c>
      <c r="D60" s="11">
        <v>44716</v>
      </c>
      <c r="E60" s="11"/>
      <c r="F60" s="11"/>
      <c r="G60" s="11"/>
      <c r="K60" s="4"/>
    </row>
    <row r="61" spans="2:11" x14ac:dyDescent="0.25">
      <c r="B61">
        <v>-200</v>
      </c>
      <c r="C61" s="11" t="s">
        <v>13</v>
      </c>
      <c r="D61" s="11"/>
      <c r="E61" s="11"/>
      <c r="F61" s="11"/>
      <c r="G61" s="11"/>
      <c r="K61" s="4"/>
    </row>
    <row r="62" spans="2:11" x14ac:dyDescent="0.25">
      <c r="B62">
        <v>680</v>
      </c>
      <c r="C62" s="11" t="s">
        <v>12</v>
      </c>
      <c r="D62" s="11">
        <v>44735</v>
      </c>
      <c r="E62" s="11"/>
      <c r="F62" s="11"/>
      <c r="G62" s="11"/>
      <c r="K62" s="4"/>
    </row>
    <row r="63" spans="2:11" x14ac:dyDescent="0.25">
      <c r="B63">
        <v>-700</v>
      </c>
      <c r="C63" s="11" t="s">
        <v>13</v>
      </c>
      <c r="D63" s="11"/>
      <c r="E63" s="11"/>
      <c r="F63" s="11"/>
      <c r="G63" s="11"/>
      <c r="K63" s="4"/>
    </row>
    <row r="64" spans="2:11" x14ac:dyDescent="0.25">
      <c r="B64">
        <v>480</v>
      </c>
      <c r="C64" s="11" t="s">
        <v>12</v>
      </c>
      <c r="D64" s="11">
        <v>44750</v>
      </c>
      <c r="E64" s="11"/>
      <c r="F64" s="11"/>
      <c r="G64" s="11"/>
      <c r="K64" s="4"/>
    </row>
    <row r="65" spans="2:11" x14ac:dyDescent="0.25">
      <c r="B65">
        <v>-500</v>
      </c>
      <c r="C65" s="11" t="s">
        <v>13</v>
      </c>
      <c r="D65" s="11">
        <v>44750</v>
      </c>
      <c r="E65" s="11"/>
      <c r="F65" s="11"/>
      <c r="G65" s="11"/>
      <c r="K65" s="4"/>
    </row>
    <row r="66" spans="2:11" x14ac:dyDescent="0.25">
      <c r="B66">
        <v>3080</v>
      </c>
      <c r="C66" s="11" t="s">
        <v>141</v>
      </c>
      <c r="D66" s="11"/>
      <c r="E66" s="11"/>
      <c r="F66" s="11"/>
      <c r="G66" s="11"/>
      <c r="K66" s="4"/>
    </row>
    <row r="67" spans="2:11" x14ac:dyDescent="0.25">
      <c r="B67">
        <v>-3070</v>
      </c>
      <c r="C67" s="11" t="s">
        <v>13</v>
      </c>
      <c r="D67" s="11"/>
      <c r="E67" s="11"/>
      <c r="F67" s="11"/>
      <c r="G67" s="11"/>
      <c r="K67" s="4"/>
    </row>
    <row r="68" spans="2:11" x14ac:dyDescent="0.25">
      <c r="B68">
        <v>480</v>
      </c>
      <c r="C68" s="11" t="s">
        <v>12</v>
      </c>
      <c r="D68" s="11">
        <v>44820</v>
      </c>
      <c r="E68" s="11"/>
      <c r="F68" s="11"/>
      <c r="G68" s="11"/>
      <c r="K68" s="4"/>
    </row>
    <row r="69" spans="2:11" ht="14.25" customHeight="1" x14ac:dyDescent="0.25">
      <c r="B69">
        <v>-500</v>
      </c>
      <c r="C69" s="11" t="s">
        <v>13</v>
      </c>
      <c r="D69" s="11"/>
      <c r="E69" s="11"/>
      <c r="F69" s="11"/>
      <c r="G69" s="11"/>
      <c r="K69" s="4"/>
    </row>
    <row r="70" spans="2:11" ht="14.25" customHeight="1" x14ac:dyDescent="0.25">
      <c r="B70">
        <v>1500</v>
      </c>
      <c r="C70" s="11" t="s">
        <v>95</v>
      </c>
      <c r="D70" s="11"/>
      <c r="E70" s="11"/>
      <c r="F70" s="11"/>
      <c r="G70" s="11"/>
      <c r="K70" s="4"/>
    </row>
    <row r="71" spans="2:11" ht="14.25" customHeight="1" x14ac:dyDescent="0.25">
      <c r="B71">
        <v>960</v>
      </c>
      <c r="C71" s="11" t="s">
        <v>12</v>
      </c>
      <c r="D71" s="11"/>
      <c r="E71" s="11"/>
      <c r="F71" s="11"/>
      <c r="G71" s="11"/>
      <c r="K71" s="4"/>
    </row>
    <row r="72" spans="2:11" ht="14.25" customHeight="1" x14ac:dyDescent="0.25">
      <c r="B72">
        <v>-2500</v>
      </c>
      <c r="C72" s="11" t="s">
        <v>188</v>
      </c>
      <c r="D72" s="11"/>
      <c r="E72" s="11"/>
      <c r="F72" s="11"/>
      <c r="G72" s="11"/>
      <c r="K72" s="4"/>
    </row>
    <row r="73" spans="2:11" ht="14.25" customHeight="1" x14ac:dyDescent="0.25">
      <c r="B73">
        <v>280</v>
      </c>
      <c r="C73" s="11" t="s">
        <v>12</v>
      </c>
      <c r="D73" s="11">
        <v>44848</v>
      </c>
      <c r="E73" s="11"/>
      <c r="F73" s="11"/>
      <c r="G73" s="11"/>
      <c r="K73" s="4"/>
    </row>
    <row r="74" spans="2:11" ht="14.25" customHeight="1" x14ac:dyDescent="0.25">
      <c r="B74">
        <v>1900</v>
      </c>
      <c r="C74" s="11" t="s">
        <v>141</v>
      </c>
      <c r="D74" s="11"/>
      <c r="E74" s="11"/>
      <c r="F74" s="11"/>
      <c r="G74" s="11"/>
      <c r="K74" s="4"/>
    </row>
    <row r="75" spans="2:11" ht="14.25" customHeight="1" x14ac:dyDescent="0.25">
      <c r="B75">
        <v>-2100</v>
      </c>
      <c r="C75" s="11" t="s">
        <v>13</v>
      </c>
      <c r="D75" s="11"/>
      <c r="E75" s="11"/>
      <c r="F75" s="11"/>
      <c r="G75" s="11"/>
      <c r="K75" s="4"/>
    </row>
    <row r="76" spans="2:11" ht="14.25" customHeight="1" x14ac:dyDescent="0.25">
      <c r="B76">
        <v>480</v>
      </c>
      <c r="C76" s="11" t="s">
        <v>12</v>
      </c>
      <c r="D76" s="11">
        <v>44854</v>
      </c>
      <c r="E76" s="11"/>
      <c r="F76" s="11"/>
      <c r="G76" s="11"/>
      <c r="K76" s="4"/>
    </row>
    <row r="77" spans="2:11" ht="14.25" customHeight="1" x14ac:dyDescent="0.25">
      <c r="B77">
        <v>-500</v>
      </c>
      <c r="C77" s="11" t="s">
        <v>13</v>
      </c>
      <c r="D77" s="11"/>
      <c r="E77" s="11"/>
      <c r="F77" s="11"/>
      <c r="G77" s="11"/>
      <c r="K77" s="4"/>
    </row>
    <row r="78" spans="2:11" ht="14.25" customHeight="1" x14ac:dyDescent="0.25">
      <c r="B78">
        <v>800</v>
      </c>
      <c r="C78" s="11" t="s">
        <v>12</v>
      </c>
      <c r="D78" s="11">
        <v>44873</v>
      </c>
      <c r="E78" s="11"/>
      <c r="F78" s="11"/>
      <c r="G78" s="11"/>
      <c r="K78" s="4"/>
    </row>
    <row r="79" spans="2:11" ht="14.25" customHeight="1" x14ac:dyDescent="0.25">
      <c r="B79">
        <v>800</v>
      </c>
      <c r="C79" s="11" t="s">
        <v>12</v>
      </c>
      <c r="D79" s="11">
        <v>44879</v>
      </c>
      <c r="E79" s="11"/>
      <c r="F79" s="11"/>
      <c r="G79" s="11"/>
      <c r="K79" s="4"/>
    </row>
    <row r="80" spans="2:11" ht="14.25" customHeight="1" x14ac:dyDescent="0.25">
      <c r="B80">
        <v>1500</v>
      </c>
      <c r="C80" s="11" t="s">
        <v>141</v>
      </c>
      <c r="D80" s="11"/>
      <c r="E80" s="11"/>
      <c r="F80" s="11"/>
      <c r="G80" s="11"/>
      <c r="K80" s="4"/>
    </row>
    <row r="81" spans="2:11" ht="14.25" customHeight="1" x14ac:dyDescent="0.25">
      <c r="B81">
        <v>-3100</v>
      </c>
      <c r="C81" s="11" t="s">
        <v>13</v>
      </c>
      <c r="D81" s="11">
        <v>44880</v>
      </c>
      <c r="E81" s="11"/>
      <c r="F81" s="11"/>
      <c r="G81" s="11"/>
      <c r="K81" s="4"/>
    </row>
    <row r="82" spans="2:11" ht="14.25" customHeight="1" x14ac:dyDescent="0.25">
      <c r="B82">
        <v>800</v>
      </c>
      <c r="C82" s="11" t="s">
        <v>12</v>
      </c>
      <c r="D82" s="11">
        <v>44889</v>
      </c>
      <c r="E82" s="11"/>
      <c r="F82" s="11"/>
      <c r="G82" s="11"/>
      <c r="K82" s="4"/>
    </row>
    <row r="83" spans="2:11" ht="14.25" customHeight="1" x14ac:dyDescent="0.25">
      <c r="B83">
        <v>-800</v>
      </c>
      <c r="C83" s="11" t="s">
        <v>13</v>
      </c>
      <c r="D83" s="11">
        <v>44889</v>
      </c>
      <c r="E83" s="11"/>
      <c r="F83" s="11"/>
      <c r="G83" s="11"/>
      <c r="K83" s="4"/>
    </row>
    <row r="84" spans="2:11" ht="14.25" customHeight="1" x14ac:dyDescent="0.25">
      <c r="B84">
        <v>800</v>
      </c>
      <c r="C84" s="11" t="s">
        <v>12</v>
      </c>
      <c r="D84" s="11">
        <v>44931</v>
      </c>
      <c r="E84" s="11"/>
      <c r="F84" s="11"/>
      <c r="G84" s="11"/>
      <c r="K84" s="4"/>
    </row>
    <row r="85" spans="2:11" ht="14.25" customHeight="1" x14ac:dyDescent="0.25">
      <c r="B85">
        <v>-800</v>
      </c>
      <c r="C85" s="11" t="s">
        <v>13</v>
      </c>
      <c r="D85" s="11">
        <v>44931</v>
      </c>
      <c r="E85" s="11"/>
      <c r="F85" s="11"/>
      <c r="G85" s="11"/>
      <c r="K85" s="4"/>
    </row>
    <row r="86" spans="2:11" ht="14.25" customHeight="1" x14ac:dyDescent="0.25">
      <c r="B86">
        <v>800</v>
      </c>
      <c r="C86" s="11" t="s">
        <v>12</v>
      </c>
      <c r="D86" s="11">
        <v>44939</v>
      </c>
      <c r="E86" s="11"/>
      <c r="F86" s="11"/>
      <c r="G86" s="11"/>
      <c r="K86" s="4"/>
    </row>
    <row r="87" spans="2:11" ht="14.25" customHeight="1" x14ac:dyDescent="0.25">
      <c r="B87">
        <v>-800</v>
      </c>
      <c r="C87" s="11" t="s">
        <v>13</v>
      </c>
      <c r="D87" s="11"/>
      <c r="E87" s="11"/>
      <c r="F87" s="11"/>
      <c r="G87" s="11"/>
      <c r="K87" s="4"/>
    </row>
    <row r="88" spans="2:11" ht="14.25" customHeight="1" x14ac:dyDescent="0.25">
      <c r="B88">
        <v>800</v>
      </c>
      <c r="C88" s="11" t="s">
        <v>12</v>
      </c>
      <c r="D88" s="11">
        <v>44994</v>
      </c>
      <c r="E88" s="11"/>
      <c r="F88" s="11"/>
      <c r="G88" s="11"/>
      <c r="K88" s="4"/>
    </row>
    <row r="89" spans="2:11" ht="14.25" customHeight="1" x14ac:dyDescent="0.25">
      <c r="B89">
        <v>-800</v>
      </c>
      <c r="C89" s="11" t="s">
        <v>13</v>
      </c>
      <c r="D89" s="11">
        <v>44994</v>
      </c>
      <c r="E89" s="11"/>
      <c r="F89" s="11"/>
      <c r="G89" s="11"/>
      <c r="K89" s="4"/>
    </row>
    <row r="90" spans="2:11" ht="14.25" customHeight="1" x14ac:dyDescent="0.25">
      <c r="B90">
        <v>3200</v>
      </c>
      <c r="C90" s="11" t="s">
        <v>12</v>
      </c>
      <c r="D90" s="11"/>
      <c r="E90" s="11"/>
      <c r="F90" s="11"/>
      <c r="G90" s="11"/>
      <c r="K90" s="4"/>
    </row>
    <row r="91" spans="2:11" ht="14.25" customHeight="1" x14ac:dyDescent="0.25">
      <c r="B91">
        <v>-3200</v>
      </c>
      <c r="C91" s="11" t="s">
        <v>13</v>
      </c>
      <c r="D91" s="11"/>
      <c r="E91" s="11"/>
      <c r="F91" s="11"/>
      <c r="G91" s="11"/>
      <c r="K91" s="4"/>
    </row>
    <row r="92" spans="2:11" ht="14.25" customHeight="1" x14ac:dyDescent="0.25">
      <c r="B92">
        <v>6400</v>
      </c>
      <c r="C92" s="11" t="s">
        <v>12</v>
      </c>
      <c r="D92" s="11">
        <v>45037</v>
      </c>
      <c r="E92" s="11"/>
      <c r="F92" s="11"/>
      <c r="G92" s="11"/>
      <c r="K92" s="4"/>
    </row>
    <row r="93" spans="2:11" ht="14.25" customHeight="1" x14ac:dyDescent="0.25">
      <c r="B93">
        <v>-6400</v>
      </c>
      <c r="C93" s="11" t="s">
        <v>13</v>
      </c>
      <c r="D93" s="11">
        <v>45037</v>
      </c>
      <c r="E93" s="11"/>
      <c r="F93" s="11"/>
      <c r="G93" s="11"/>
      <c r="K93" s="4"/>
    </row>
    <row r="94" spans="2:11" ht="14.25" customHeight="1" x14ac:dyDescent="0.25">
      <c r="B94">
        <v>800</v>
      </c>
      <c r="C94" s="11" t="s">
        <v>232</v>
      </c>
      <c r="D94" s="11"/>
      <c r="E94" s="11"/>
      <c r="F94" s="11"/>
      <c r="G94" s="11"/>
      <c r="K94" s="4"/>
    </row>
    <row r="95" spans="2:11" ht="14.25" customHeight="1" x14ac:dyDescent="0.25">
      <c r="B95">
        <v>-800</v>
      </c>
      <c r="C95" s="11" t="s">
        <v>13</v>
      </c>
      <c r="D95" s="11">
        <v>45048</v>
      </c>
      <c r="E95" s="11"/>
      <c r="F95" s="11"/>
      <c r="G95" s="11"/>
      <c r="K95" s="4"/>
    </row>
    <row r="96" spans="2:11" ht="14.25" customHeight="1" x14ac:dyDescent="0.25">
      <c r="B96">
        <v>400</v>
      </c>
      <c r="C96" s="11" t="s">
        <v>12</v>
      </c>
      <c r="D96" s="11">
        <v>45057</v>
      </c>
      <c r="E96" s="11"/>
      <c r="F96" s="11"/>
      <c r="G96" s="11"/>
      <c r="K96" s="4"/>
    </row>
    <row r="97" spans="2:11" ht="14.25" customHeight="1" x14ac:dyDescent="0.25">
      <c r="B97">
        <v>-400</v>
      </c>
      <c r="C97" s="11" t="s">
        <v>13</v>
      </c>
      <c r="D97" s="11">
        <v>45057</v>
      </c>
      <c r="E97" s="11"/>
      <c r="F97" s="11"/>
      <c r="G97" s="11"/>
      <c r="K97" s="4"/>
    </row>
    <row r="98" spans="2:11" ht="14.25" customHeight="1" x14ac:dyDescent="0.25">
      <c r="B98">
        <v>1600</v>
      </c>
      <c r="C98" s="11" t="s">
        <v>12</v>
      </c>
      <c r="D98" s="11">
        <v>45150</v>
      </c>
      <c r="E98" s="11"/>
      <c r="F98" s="11"/>
      <c r="G98" s="11"/>
      <c r="K98" s="4"/>
    </row>
    <row r="99" spans="2:11" ht="14.25" customHeight="1" x14ac:dyDescent="0.25">
      <c r="B99">
        <v>-1600</v>
      </c>
      <c r="C99" s="11" t="s">
        <v>13</v>
      </c>
      <c r="D99" s="11"/>
      <c r="E99" s="11"/>
      <c r="F99" s="11"/>
      <c r="G99" s="11"/>
      <c r="K99" s="4"/>
    </row>
    <row r="100" spans="2:11" ht="14.25" customHeight="1" x14ac:dyDescent="0.25">
      <c r="B100">
        <v>2000</v>
      </c>
      <c r="C100" s="11" t="s">
        <v>12</v>
      </c>
      <c r="D100" s="11"/>
      <c r="E100" s="11"/>
      <c r="F100" s="11"/>
      <c r="G100" s="11"/>
      <c r="K100" s="4"/>
    </row>
    <row r="101" spans="2:11" ht="14.25" customHeight="1" x14ac:dyDescent="0.25">
      <c r="B101">
        <v>-2000</v>
      </c>
      <c r="C101" s="11" t="s">
        <v>13</v>
      </c>
      <c r="D101" s="11"/>
      <c r="E101" s="11"/>
      <c r="F101" s="11"/>
      <c r="G101" s="11"/>
      <c r="K101" s="4"/>
    </row>
    <row r="102" spans="2:11" ht="14.25" customHeight="1" x14ac:dyDescent="0.25">
      <c r="B102">
        <v>1600</v>
      </c>
      <c r="C102" s="11" t="s">
        <v>12</v>
      </c>
      <c r="D102" s="11">
        <v>45169</v>
      </c>
      <c r="E102" s="11"/>
      <c r="F102" s="11"/>
      <c r="G102" s="11"/>
      <c r="K102" s="4"/>
    </row>
    <row r="103" spans="2:11" ht="14.25" customHeight="1" x14ac:dyDescent="0.25">
      <c r="B103">
        <v>-1600</v>
      </c>
      <c r="C103" s="11" t="s">
        <v>13</v>
      </c>
      <c r="D103" s="11"/>
      <c r="E103" s="11"/>
      <c r="F103" s="11"/>
      <c r="G103" s="11"/>
      <c r="K103" s="4"/>
    </row>
    <row r="104" spans="2:11" ht="14.25" customHeight="1" x14ac:dyDescent="0.25">
      <c r="B104">
        <v>-300</v>
      </c>
      <c r="C104" s="11" t="s">
        <v>175</v>
      </c>
      <c r="D104" s="11">
        <v>45260</v>
      </c>
      <c r="E104" s="11"/>
      <c r="F104" s="11"/>
      <c r="G104" s="11"/>
      <c r="K104" s="4"/>
    </row>
    <row r="105" spans="2:11" ht="14.25" customHeight="1" x14ac:dyDescent="0.25">
      <c r="B105">
        <v>1000</v>
      </c>
      <c r="C105" s="11" t="s">
        <v>138</v>
      </c>
      <c r="D105" s="11">
        <v>45321</v>
      </c>
      <c r="E105" s="11"/>
      <c r="F105" s="11"/>
      <c r="G105" s="11"/>
      <c r="K105" s="4"/>
    </row>
    <row r="106" spans="2:11" ht="14.25" customHeight="1" x14ac:dyDescent="0.25">
      <c r="B106">
        <v>-1000</v>
      </c>
      <c r="C106" s="11" t="s">
        <v>13</v>
      </c>
      <c r="D106" s="11"/>
      <c r="E106" s="11"/>
      <c r="F106" s="11"/>
      <c r="G106" s="11"/>
      <c r="K106" s="4"/>
    </row>
    <row r="107" spans="2:11" ht="14.25" customHeight="1" x14ac:dyDescent="0.25">
      <c r="B107">
        <v>1200</v>
      </c>
      <c r="C107" s="11" t="s">
        <v>12</v>
      </c>
      <c r="D107" s="11">
        <v>45412</v>
      </c>
      <c r="E107" s="11"/>
      <c r="F107" s="11"/>
      <c r="G107" s="11"/>
      <c r="K107" s="4"/>
    </row>
    <row r="108" spans="2:11" ht="14.25" customHeight="1" x14ac:dyDescent="0.25">
      <c r="B108">
        <v>-9000</v>
      </c>
      <c r="C108" s="11" t="s">
        <v>13</v>
      </c>
      <c r="D108" s="11">
        <v>45412</v>
      </c>
      <c r="E108" s="11"/>
      <c r="F108" s="11"/>
      <c r="G108" s="11"/>
      <c r="K108" s="4"/>
    </row>
    <row r="109" spans="2:11" ht="14.25" customHeight="1" x14ac:dyDescent="0.25">
      <c r="B109">
        <v>-50000</v>
      </c>
      <c r="C109" s="11" t="s">
        <v>13</v>
      </c>
      <c r="D109" s="11">
        <v>45513</v>
      </c>
      <c r="E109" s="11"/>
      <c r="F109" s="11"/>
      <c r="G109" s="11"/>
      <c r="K109" s="4"/>
    </row>
    <row r="110" spans="2:11" ht="14.25" customHeight="1" x14ac:dyDescent="0.25">
      <c r="B110">
        <v>4700</v>
      </c>
      <c r="C110" s="11" t="s">
        <v>12</v>
      </c>
      <c r="D110" s="11"/>
      <c r="E110" s="11"/>
      <c r="F110" s="11"/>
      <c r="G110" s="11"/>
      <c r="K110" s="4"/>
    </row>
    <row r="111" spans="2:11" ht="14.25" customHeight="1" x14ac:dyDescent="0.25">
      <c r="B111">
        <v>-1000</v>
      </c>
      <c r="C111" s="11" t="s">
        <v>175</v>
      </c>
      <c r="D111" s="11">
        <v>45981</v>
      </c>
      <c r="E111" s="11"/>
      <c r="F111" s="11"/>
      <c r="G111" s="11"/>
      <c r="K111" s="4"/>
    </row>
    <row r="112" spans="2:11" x14ac:dyDescent="0.25">
      <c r="B112" s="135">
        <f>SUM(B51:B111)</f>
        <v>-56440</v>
      </c>
      <c r="C112" s="11">
        <v>45981</v>
      </c>
      <c r="D112" s="11"/>
      <c r="E112" s="11"/>
      <c r="F112" s="11"/>
      <c r="G112" s="11"/>
      <c r="K112" s="4"/>
    </row>
    <row r="113" spans="2:11" x14ac:dyDescent="0.25">
      <c r="B113" s="11"/>
      <c r="D113" s="11"/>
      <c r="E113" s="11"/>
      <c r="F113" s="11"/>
      <c r="G113" s="11"/>
      <c r="K113" s="4"/>
    </row>
    <row r="114" spans="2:11" x14ac:dyDescent="0.25">
      <c r="B114" s="11"/>
      <c r="E114" s="11"/>
      <c r="F114" s="11"/>
      <c r="G114" s="11"/>
      <c r="K114" s="4"/>
    </row>
    <row r="115" spans="2:11" x14ac:dyDescent="0.25">
      <c r="B115" s="11"/>
      <c r="E115" s="11"/>
      <c r="F115" s="11"/>
      <c r="G115" s="11"/>
      <c r="K115" s="4"/>
    </row>
    <row r="116" spans="2:11" x14ac:dyDescent="0.25">
      <c r="B116" s="11"/>
      <c r="E116" s="11"/>
      <c r="F116" s="11"/>
      <c r="G116" s="11"/>
      <c r="K116" s="4"/>
    </row>
    <row r="117" spans="2:11" x14ac:dyDescent="0.25">
      <c r="B117" s="11"/>
      <c r="C117" s="11"/>
      <c r="E117" s="11"/>
      <c r="F117" s="11"/>
      <c r="G117" s="11"/>
      <c r="K117" s="4"/>
    </row>
    <row r="118" spans="2:11" x14ac:dyDescent="0.25">
      <c r="B118" s="11"/>
      <c r="E118" s="4"/>
      <c r="K118" s="4"/>
    </row>
    <row r="119" spans="2:11" x14ac:dyDescent="0.25">
      <c r="B119" s="11"/>
      <c r="F119" s="11"/>
      <c r="G119" s="11"/>
      <c r="I119" s="173"/>
      <c r="K119" s="4"/>
    </row>
    <row r="120" spans="2:11" x14ac:dyDescent="0.25">
      <c r="B120" s="11"/>
      <c r="E120" s="11"/>
      <c r="F120" s="11"/>
      <c r="G120" s="11"/>
      <c r="K120" s="4"/>
    </row>
    <row r="121" spans="2:11" x14ac:dyDescent="0.25">
      <c r="B121" s="11"/>
      <c r="K121" s="4"/>
    </row>
    <row r="122" spans="2:11" x14ac:dyDescent="0.25">
      <c r="B122" s="11"/>
      <c r="E122" s="11"/>
      <c r="F122" s="11"/>
      <c r="G122" s="11"/>
      <c r="K122" s="4"/>
    </row>
    <row r="123" spans="2:11" x14ac:dyDescent="0.25">
      <c r="B123" s="11"/>
      <c r="I123" s="4"/>
    </row>
    <row r="124" spans="2:11" x14ac:dyDescent="0.25">
      <c r="B124" s="11"/>
      <c r="E124" s="11"/>
      <c r="F124" s="11"/>
      <c r="G124" s="11"/>
      <c r="K124" s="4"/>
    </row>
    <row r="125" spans="2:11" x14ac:dyDescent="0.25">
      <c r="B125" s="11"/>
      <c r="E125" s="11"/>
      <c r="F125" s="11"/>
      <c r="G125" s="11"/>
      <c r="K125" s="4"/>
    </row>
    <row r="126" spans="2:11" x14ac:dyDescent="0.25">
      <c r="B126" s="11"/>
      <c r="E126" s="11"/>
      <c r="F126" s="11"/>
      <c r="G126" s="11"/>
      <c r="K126" s="4"/>
    </row>
    <row r="127" spans="2:11" x14ac:dyDescent="0.25">
      <c r="B127" s="11"/>
      <c r="E127" s="11"/>
      <c r="F127" s="11"/>
      <c r="G127" s="11"/>
      <c r="K127" s="4"/>
    </row>
    <row r="128" spans="2:11" x14ac:dyDescent="0.25">
      <c r="B128" s="11"/>
      <c r="E128" s="11"/>
      <c r="F128" s="11"/>
      <c r="G128" s="11"/>
      <c r="K128" s="4"/>
    </row>
    <row r="129" spans="2:11" x14ac:dyDescent="0.25">
      <c r="B129" s="11"/>
      <c r="D129" s="11"/>
      <c r="E129" s="11"/>
      <c r="F129" s="11"/>
      <c r="G129" s="11"/>
      <c r="K129" s="4"/>
    </row>
    <row r="130" spans="2:11" x14ac:dyDescent="0.25">
      <c r="B130" s="11"/>
      <c r="E130" s="11"/>
      <c r="F130" s="11"/>
      <c r="G130" s="11"/>
      <c r="K130" s="4"/>
    </row>
    <row r="131" spans="2:11" x14ac:dyDescent="0.25">
      <c r="B131" s="11"/>
      <c r="E131" s="11"/>
      <c r="F131" s="11"/>
      <c r="G131" s="11"/>
      <c r="K131" s="4"/>
    </row>
    <row r="132" spans="2:11" x14ac:dyDescent="0.25">
      <c r="B132" s="11"/>
      <c r="E132" s="11"/>
      <c r="F132" s="11"/>
      <c r="G132" s="11"/>
      <c r="K132" s="4"/>
    </row>
    <row r="133" spans="2:11" x14ac:dyDescent="0.25">
      <c r="B133" s="11"/>
      <c r="E133" s="11"/>
      <c r="F133" s="11"/>
      <c r="G133" s="11"/>
      <c r="K133" s="4"/>
    </row>
    <row r="134" spans="2:11" x14ac:dyDescent="0.25">
      <c r="B134" s="11"/>
      <c r="E134" s="11"/>
      <c r="F134" s="11"/>
      <c r="G134" s="11"/>
      <c r="K134" s="4"/>
    </row>
    <row r="135" spans="2:11" x14ac:dyDescent="0.25">
      <c r="B135" s="11"/>
      <c r="E135" s="11"/>
      <c r="F135" s="11"/>
      <c r="G135" s="11"/>
      <c r="K135" s="4"/>
    </row>
    <row r="136" spans="2:11" x14ac:dyDescent="0.25">
      <c r="B136" s="11"/>
      <c r="E136" s="11"/>
      <c r="F136" s="11"/>
      <c r="G136" s="11"/>
    </row>
    <row r="137" spans="2:11" x14ac:dyDescent="0.25">
      <c r="B137" s="11"/>
      <c r="E137" s="11"/>
      <c r="F137" s="11"/>
      <c r="G137" s="11"/>
    </row>
    <row r="138" spans="2:11" x14ac:dyDescent="0.25">
      <c r="B138" s="11"/>
      <c r="E138" s="11"/>
      <c r="F138" s="11"/>
      <c r="G138" s="11"/>
    </row>
    <row r="139" spans="2:11" x14ac:dyDescent="0.25">
      <c r="B139" s="11"/>
      <c r="E139" s="11"/>
      <c r="F139" s="11"/>
      <c r="G139" s="11"/>
    </row>
    <row r="140" spans="2:11" x14ac:dyDescent="0.25">
      <c r="B140" s="11"/>
      <c r="E140" s="11"/>
      <c r="F140" s="11"/>
      <c r="G140" s="11"/>
    </row>
    <row r="141" spans="2:11" x14ac:dyDescent="0.25">
      <c r="B141" s="11"/>
      <c r="E141" s="11"/>
      <c r="F141" s="11"/>
      <c r="G141" s="11"/>
    </row>
    <row r="142" spans="2:11" x14ac:dyDescent="0.25">
      <c r="B142" s="11"/>
      <c r="E142" s="11"/>
      <c r="F142" s="11"/>
      <c r="G142" s="11"/>
    </row>
    <row r="143" spans="2:11" x14ac:dyDescent="0.25">
      <c r="B143" s="11"/>
      <c r="E143" s="11"/>
      <c r="F143" s="11"/>
      <c r="G143" s="11"/>
    </row>
    <row r="144" spans="2:11" x14ac:dyDescent="0.25">
      <c r="B144" s="11"/>
      <c r="E144" s="11"/>
      <c r="F144" s="11"/>
      <c r="G144" s="11"/>
    </row>
    <row r="145" spans="2:7" x14ac:dyDescent="0.25">
      <c r="B145" s="11"/>
      <c r="E145" s="11"/>
      <c r="F145" s="11"/>
      <c r="G145" s="11"/>
    </row>
    <row r="146" spans="2:7" x14ac:dyDescent="0.25">
      <c r="B146" s="11"/>
      <c r="E146" s="11"/>
      <c r="F146" s="11"/>
      <c r="G146" s="11"/>
    </row>
    <row r="147" spans="2:7" x14ac:dyDescent="0.25">
      <c r="B147" s="11"/>
      <c r="E147" s="11"/>
      <c r="F147" s="11"/>
      <c r="G147" s="11"/>
    </row>
    <row r="148" spans="2:7" x14ac:dyDescent="0.25">
      <c r="B148" s="11"/>
      <c r="E148" s="11"/>
      <c r="F148" s="11"/>
      <c r="G148" s="11"/>
    </row>
    <row r="149" spans="2:7" x14ac:dyDescent="0.25">
      <c r="B149" s="11"/>
      <c r="E149" s="11"/>
      <c r="F149" s="11"/>
      <c r="G149" s="11"/>
    </row>
    <row r="150" spans="2:7" x14ac:dyDescent="0.25">
      <c r="B150" s="11"/>
      <c r="E150" s="11"/>
      <c r="F150" s="11"/>
      <c r="G150" s="11"/>
    </row>
    <row r="151" spans="2:7" x14ac:dyDescent="0.25">
      <c r="B151" s="11"/>
      <c r="E151" s="11"/>
      <c r="F151" s="11"/>
      <c r="G151" s="11"/>
    </row>
    <row r="152" spans="2:7" x14ac:dyDescent="0.25">
      <c r="B152" s="11"/>
      <c r="E152" s="11"/>
      <c r="F152" s="11"/>
      <c r="G152" s="11"/>
    </row>
    <row r="153" spans="2:7" x14ac:dyDescent="0.25">
      <c r="E153" s="11"/>
      <c r="F153" s="11"/>
      <c r="G153" s="11"/>
    </row>
    <row r="154" spans="2:7" x14ac:dyDescent="0.25">
      <c r="E154" s="11"/>
      <c r="F154" s="11"/>
      <c r="G154" s="11"/>
    </row>
    <row r="155" spans="2:7" x14ac:dyDescent="0.25">
      <c r="E155" s="11"/>
      <c r="F155" s="11"/>
      <c r="G155" s="11"/>
    </row>
    <row r="156" spans="2:7" x14ac:dyDescent="0.25">
      <c r="E156" s="11"/>
      <c r="F156" s="11"/>
      <c r="G156" s="11"/>
    </row>
    <row r="157" spans="2:7" x14ac:dyDescent="0.25">
      <c r="E157" s="11"/>
      <c r="F157" s="11"/>
      <c r="G157" s="11"/>
    </row>
    <row r="158" spans="2:7" x14ac:dyDescent="0.25">
      <c r="E158" s="11"/>
      <c r="F158" s="11"/>
      <c r="G158" s="11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43"/>
  <sheetViews>
    <sheetView topLeftCell="A22" zoomScale="120" zoomScaleNormal="120" workbookViewId="0">
      <selection activeCell="A5" sqref="A5:XFD9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3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81"/>
      <c r="B3" s="227"/>
      <c r="C3" s="82"/>
      <c r="D3" s="82"/>
      <c r="E3" s="82"/>
      <c r="F3" s="82"/>
      <c r="G3" s="82"/>
      <c r="H3" s="123"/>
      <c r="I3" s="90"/>
      <c r="J3" s="82"/>
      <c r="K3" s="217"/>
    </row>
    <row r="4" spans="1:11" x14ac:dyDescent="0.25">
      <c r="A4" s="281"/>
      <c r="B4" s="227"/>
      <c r="C4" s="82"/>
      <c r="D4" s="82"/>
      <c r="E4" s="82"/>
      <c r="F4" s="82"/>
      <c r="G4" s="82"/>
      <c r="H4" s="128"/>
      <c r="I4" s="90"/>
      <c r="J4" s="82"/>
      <c r="K4" s="217"/>
    </row>
    <row r="5" spans="1:11" x14ac:dyDescent="0.25">
      <c r="A5" s="281"/>
      <c r="B5" s="227"/>
      <c r="C5" s="82"/>
      <c r="D5" s="82"/>
      <c r="E5" s="82"/>
      <c r="F5" s="82"/>
      <c r="G5" s="82"/>
      <c r="H5" s="128"/>
      <c r="I5" s="90"/>
      <c r="J5" s="82"/>
      <c r="K5" s="217"/>
    </row>
    <row r="6" spans="1:11" x14ac:dyDescent="0.25">
      <c r="A6" s="281"/>
      <c r="B6" s="227"/>
      <c r="C6" s="82"/>
      <c r="D6" s="82"/>
      <c r="E6" s="82"/>
      <c r="F6" s="82"/>
      <c r="G6" s="82"/>
      <c r="H6" s="128"/>
      <c r="I6" s="90"/>
      <c r="J6" s="82"/>
      <c r="K6" s="217"/>
    </row>
    <row r="7" spans="1:11" x14ac:dyDescent="0.25">
      <c r="A7" s="281"/>
      <c r="B7" s="227"/>
      <c r="C7" s="82"/>
      <c r="D7" s="82"/>
      <c r="E7" s="82"/>
      <c r="F7" s="82"/>
      <c r="G7" s="82"/>
      <c r="H7" s="128"/>
      <c r="I7" s="90"/>
      <c r="J7" s="82"/>
      <c r="K7" s="217"/>
    </row>
    <row r="8" spans="1:11" x14ac:dyDescent="0.25">
      <c r="A8" s="281"/>
      <c r="B8" s="227"/>
      <c r="C8" s="82"/>
      <c r="D8" s="82"/>
      <c r="E8" s="82"/>
      <c r="F8" s="82"/>
      <c r="G8" s="82"/>
      <c r="H8" s="128"/>
      <c r="I8" s="90"/>
      <c r="J8" s="82"/>
      <c r="K8" s="217"/>
    </row>
    <row r="9" spans="1:11" x14ac:dyDescent="0.25">
      <c r="A9" s="281"/>
      <c r="B9" s="227"/>
      <c r="C9" s="82"/>
      <c r="D9" s="82"/>
      <c r="E9" s="82"/>
      <c r="F9" s="82"/>
      <c r="G9" s="82"/>
      <c r="H9" s="128"/>
      <c r="I9" s="90"/>
      <c r="J9" s="82"/>
      <c r="K9" s="217"/>
    </row>
    <row r="10" spans="1:11" x14ac:dyDescent="0.25">
      <c r="A10" s="281"/>
      <c r="B10" s="227"/>
      <c r="C10" s="82"/>
      <c r="D10" s="82"/>
      <c r="E10" s="82"/>
      <c r="F10" s="82"/>
      <c r="G10" s="82"/>
      <c r="H10" s="128"/>
      <c r="I10" s="90"/>
      <c r="J10" s="82"/>
      <c r="K10" s="217"/>
    </row>
    <row r="11" spans="1:11" x14ac:dyDescent="0.25">
      <c r="A11" s="281"/>
      <c r="B11" s="227"/>
      <c r="C11" s="82"/>
      <c r="D11" s="82"/>
      <c r="E11" s="82"/>
      <c r="F11" s="82"/>
      <c r="G11" s="82"/>
      <c r="H11" s="128"/>
      <c r="I11" s="90"/>
      <c r="J11" s="82"/>
      <c r="K11" s="217"/>
    </row>
    <row r="12" spans="1:11" x14ac:dyDescent="0.25">
      <c r="A12" s="281"/>
      <c r="B12" s="227"/>
      <c r="C12" s="82"/>
      <c r="D12" s="82"/>
      <c r="E12" s="82"/>
      <c r="F12" s="82"/>
      <c r="G12" s="82"/>
      <c r="H12" s="128"/>
      <c r="I12" s="90"/>
      <c r="J12" s="82"/>
      <c r="K12" s="217"/>
    </row>
    <row r="13" spans="1:11" x14ac:dyDescent="0.25">
      <c r="A13" s="281"/>
      <c r="B13" s="227"/>
      <c r="C13" s="82"/>
      <c r="D13" s="82"/>
      <c r="E13" s="82"/>
      <c r="F13" s="82"/>
      <c r="G13" s="82"/>
      <c r="H13" s="128"/>
      <c r="I13" s="90"/>
      <c r="J13" s="82"/>
      <c r="K13" s="217"/>
    </row>
    <row r="14" spans="1:11" x14ac:dyDescent="0.25">
      <c r="A14" s="281"/>
      <c r="B14" s="227"/>
      <c r="C14" s="82"/>
      <c r="D14" s="82"/>
      <c r="E14" s="82"/>
      <c r="F14" s="82"/>
      <c r="G14" s="82"/>
      <c r="H14" s="128"/>
      <c r="I14" s="90"/>
      <c r="J14" s="82"/>
      <c r="K14" s="217"/>
    </row>
    <row r="15" spans="1:11" x14ac:dyDescent="0.25">
      <c r="A15" s="281"/>
      <c r="B15" s="227"/>
      <c r="C15" s="82"/>
      <c r="D15" s="82"/>
      <c r="E15" s="82"/>
      <c r="F15" s="82"/>
      <c r="G15" s="82"/>
      <c r="H15" s="128"/>
      <c r="I15" s="90"/>
      <c r="J15" s="82"/>
      <c r="K15" s="217"/>
    </row>
    <row r="16" spans="1:11" x14ac:dyDescent="0.25">
      <c r="A16" s="281"/>
      <c r="B16" s="227"/>
      <c r="C16" s="82"/>
      <c r="D16" s="82"/>
      <c r="E16" s="82"/>
      <c r="F16" s="82"/>
      <c r="G16" s="82"/>
      <c r="H16" s="128"/>
      <c r="I16" s="90"/>
      <c r="J16" s="82"/>
      <c r="K16" s="217"/>
    </row>
    <row r="17" spans="1:11" x14ac:dyDescent="0.25">
      <c r="A17" s="281"/>
      <c r="B17" s="227"/>
      <c r="C17" s="82"/>
      <c r="D17" s="82"/>
      <c r="E17" s="82"/>
      <c r="F17" s="82"/>
      <c r="G17" s="82"/>
      <c r="H17" s="128"/>
      <c r="I17" s="90"/>
      <c r="J17" s="82"/>
      <c r="K17" s="217"/>
    </row>
    <row r="18" spans="1:11" x14ac:dyDescent="0.25">
      <c r="A18" s="281"/>
      <c r="B18" s="227"/>
      <c r="C18" s="82"/>
      <c r="D18" s="82"/>
      <c r="E18" s="82"/>
      <c r="F18" s="82"/>
      <c r="G18" s="82"/>
      <c r="H18" s="128"/>
      <c r="I18" s="90"/>
      <c r="J18" s="82"/>
      <c r="K18" s="217"/>
    </row>
    <row r="19" spans="1:11" x14ac:dyDescent="0.25">
      <c r="A19" s="281"/>
      <c r="B19" s="227"/>
      <c r="C19" s="82"/>
      <c r="D19" s="82"/>
      <c r="E19" s="82"/>
      <c r="F19" s="82"/>
      <c r="G19" s="82"/>
      <c r="H19" s="128"/>
      <c r="I19" s="90"/>
      <c r="J19" s="82"/>
      <c r="K19" s="217"/>
    </row>
    <row r="20" spans="1:11" x14ac:dyDescent="0.25">
      <c r="A20" s="281"/>
      <c r="B20" s="227"/>
      <c r="C20" s="82"/>
      <c r="D20" s="82"/>
      <c r="E20" s="82"/>
      <c r="F20" s="82"/>
      <c r="G20" s="82"/>
      <c r="H20" s="128"/>
      <c r="I20" s="90"/>
      <c r="J20" s="82"/>
      <c r="K20" s="217"/>
    </row>
    <row r="21" spans="1:11" x14ac:dyDescent="0.25">
      <c r="A21" s="281"/>
      <c r="B21" s="227"/>
      <c r="C21" s="82"/>
      <c r="D21" s="82"/>
      <c r="E21" s="82"/>
      <c r="F21" s="82"/>
      <c r="G21" s="82"/>
      <c r="H21" s="128"/>
      <c r="I21" s="90"/>
      <c r="J21" s="82"/>
      <c r="K21" s="217"/>
    </row>
    <row r="22" spans="1:11" x14ac:dyDescent="0.25">
      <c r="A22" s="281"/>
      <c r="B22" s="227"/>
      <c r="C22" s="82"/>
      <c r="D22" s="82"/>
      <c r="E22" s="82"/>
      <c r="F22" s="82"/>
      <c r="G22" s="82"/>
      <c r="H22" s="128"/>
      <c r="I22" s="90"/>
      <c r="J22" s="82"/>
      <c r="K22" s="217"/>
    </row>
    <row r="23" spans="1:11" x14ac:dyDescent="0.25">
      <c r="A23" s="281"/>
      <c r="B23" s="227"/>
      <c r="C23" s="82"/>
      <c r="D23" s="82"/>
      <c r="E23" s="82"/>
      <c r="F23" s="82"/>
      <c r="G23" s="82"/>
      <c r="H23" s="128"/>
      <c r="I23" s="90"/>
      <c r="J23" s="82"/>
      <c r="K23" s="217"/>
    </row>
    <row r="24" spans="1:11" x14ac:dyDescent="0.25">
      <c r="A24" s="281"/>
      <c r="B24" s="227"/>
      <c r="C24" s="82"/>
      <c r="D24" s="82"/>
      <c r="E24" s="82"/>
      <c r="F24" s="82"/>
      <c r="G24" s="82"/>
      <c r="H24" s="128"/>
      <c r="I24" s="90"/>
      <c r="J24" s="82"/>
      <c r="K24" s="217"/>
    </row>
    <row r="25" spans="1:11" x14ac:dyDescent="0.25">
      <c r="A25" s="281"/>
      <c r="B25" s="227"/>
      <c r="C25" s="82"/>
      <c r="D25" s="82"/>
      <c r="E25" s="82"/>
      <c r="F25" s="82"/>
      <c r="G25" s="82"/>
      <c r="H25" s="128"/>
      <c r="I25" s="90"/>
      <c r="J25" s="82"/>
      <c r="K25" s="217"/>
    </row>
    <row r="26" spans="1:11" x14ac:dyDescent="0.25">
      <c r="A26" s="281"/>
      <c r="B26" s="227"/>
      <c r="C26" s="82"/>
      <c r="D26" s="82"/>
      <c r="E26" s="82"/>
      <c r="F26" s="82"/>
      <c r="G26" s="82"/>
      <c r="H26" s="128"/>
      <c r="I26" s="90"/>
      <c r="J26" s="82"/>
      <c r="K26" s="217"/>
    </row>
    <row r="27" spans="1:11" x14ac:dyDescent="0.25">
      <c r="A27" s="281">
        <v>46116</v>
      </c>
      <c r="B27" s="227" t="s">
        <v>9</v>
      </c>
      <c r="C27" s="82" t="s">
        <v>300</v>
      </c>
      <c r="D27" s="82">
        <v>420</v>
      </c>
      <c r="E27" s="82"/>
      <c r="F27" s="82">
        <v>36.07</v>
      </c>
      <c r="G27" s="82"/>
      <c r="H27" s="123">
        <v>618981</v>
      </c>
      <c r="I27" s="90" t="s">
        <v>301</v>
      </c>
      <c r="J27" s="82"/>
      <c r="K27" s="217"/>
    </row>
    <row r="28" spans="1:11" x14ac:dyDescent="0.25">
      <c r="A28" s="281">
        <v>46118</v>
      </c>
      <c r="B28" s="227" t="s">
        <v>300</v>
      </c>
      <c r="C28" s="82" t="s">
        <v>118</v>
      </c>
      <c r="D28" s="82">
        <v>85</v>
      </c>
      <c r="E28" s="82"/>
      <c r="F28" s="82"/>
      <c r="G28" s="82"/>
      <c r="H28" s="128" t="s">
        <v>66</v>
      </c>
      <c r="I28" s="90"/>
      <c r="J28" s="82"/>
      <c r="K28" s="217"/>
    </row>
    <row r="29" spans="1:11" x14ac:dyDescent="0.25">
      <c r="A29" s="282">
        <v>46119</v>
      </c>
      <c r="B29" s="82" t="s">
        <v>118</v>
      </c>
      <c r="C29" s="124" t="s">
        <v>146</v>
      </c>
      <c r="D29" s="82">
        <v>1430</v>
      </c>
      <c r="E29" s="82"/>
      <c r="F29" s="82"/>
      <c r="G29" s="82"/>
      <c r="H29" s="123">
        <v>119679</v>
      </c>
      <c r="I29" s="90" t="s">
        <v>147</v>
      </c>
      <c r="J29" s="82"/>
      <c r="K29" s="217"/>
    </row>
    <row r="30" spans="1:11" x14ac:dyDescent="0.25">
      <c r="A30" s="282">
        <v>46121</v>
      </c>
      <c r="B30" s="82" t="s">
        <v>146</v>
      </c>
      <c r="C30" s="124" t="s">
        <v>9</v>
      </c>
      <c r="D30" s="82">
        <v>940</v>
      </c>
      <c r="E30" s="82"/>
      <c r="F30" s="82"/>
      <c r="G30" s="82"/>
      <c r="H30" s="83" t="s">
        <v>66</v>
      </c>
      <c r="I30" s="90"/>
      <c r="J30" s="82"/>
      <c r="K30" s="217"/>
    </row>
    <row r="31" spans="1:11" x14ac:dyDescent="0.25">
      <c r="A31" s="282">
        <v>46123</v>
      </c>
      <c r="B31" s="82" t="s">
        <v>9</v>
      </c>
      <c r="C31" s="124" t="s">
        <v>326</v>
      </c>
      <c r="D31" s="82">
        <v>380</v>
      </c>
      <c r="E31" s="82"/>
      <c r="F31" s="82">
        <v>36</v>
      </c>
      <c r="G31" s="82"/>
      <c r="H31" s="90">
        <v>2701178</v>
      </c>
      <c r="I31" s="90" t="s">
        <v>327</v>
      </c>
      <c r="J31" s="82"/>
      <c r="K31" s="217">
        <v>738000</v>
      </c>
    </row>
    <row r="32" spans="1:11" x14ac:dyDescent="0.25">
      <c r="A32" s="282">
        <v>46125</v>
      </c>
      <c r="B32" s="82" t="s">
        <v>326</v>
      </c>
      <c r="C32" s="124" t="s">
        <v>220</v>
      </c>
      <c r="D32" s="82">
        <v>130</v>
      </c>
      <c r="E32" s="82"/>
      <c r="F32" s="82"/>
      <c r="G32" s="82"/>
      <c r="H32" s="83" t="s">
        <v>66</v>
      </c>
      <c r="I32" s="90"/>
      <c r="J32" s="82"/>
      <c r="K32" s="217"/>
    </row>
    <row r="33" spans="1:11" x14ac:dyDescent="0.25">
      <c r="A33" s="282">
        <v>46125</v>
      </c>
      <c r="B33" s="82" t="s">
        <v>220</v>
      </c>
      <c r="C33" s="124" t="s">
        <v>75</v>
      </c>
      <c r="D33" s="82">
        <v>340</v>
      </c>
      <c r="E33" s="82"/>
      <c r="F33" s="82"/>
      <c r="G33" s="82"/>
      <c r="H33" s="90">
        <v>895970</v>
      </c>
      <c r="I33" s="90"/>
      <c r="J33" s="82"/>
      <c r="K33" s="217"/>
    </row>
    <row r="34" spans="1:11" x14ac:dyDescent="0.25">
      <c r="A34" s="282">
        <v>46126</v>
      </c>
      <c r="B34" s="82" t="s">
        <v>75</v>
      </c>
      <c r="C34" s="124" t="s">
        <v>9</v>
      </c>
      <c r="D34" s="82">
        <v>550</v>
      </c>
      <c r="E34" s="82"/>
      <c r="F34" s="82"/>
      <c r="G34" s="82"/>
      <c r="H34" s="90" t="s">
        <v>102</v>
      </c>
      <c r="I34" s="90" t="s">
        <v>401</v>
      </c>
      <c r="J34" s="82"/>
      <c r="K34" s="217">
        <v>370454.21</v>
      </c>
    </row>
    <row r="35" spans="1:11" x14ac:dyDescent="0.25">
      <c r="A35" s="282">
        <v>46127</v>
      </c>
      <c r="B35" s="82" t="s">
        <v>9</v>
      </c>
      <c r="C35" s="124" t="s">
        <v>351</v>
      </c>
      <c r="D35" s="82">
        <v>1010</v>
      </c>
      <c r="E35" s="82"/>
      <c r="F35" s="82">
        <v>36.36</v>
      </c>
      <c r="G35" s="82"/>
      <c r="H35" s="90">
        <v>619730</v>
      </c>
      <c r="I35" s="90" t="s">
        <v>257</v>
      </c>
      <c r="J35" s="82"/>
      <c r="K35" s="217"/>
    </row>
    <row r="36" spans="1:11" x14ac:dyDescent="0.25">
      <c r="A36" s="282">
        <v>46128</v>
      </c>
      <c r="B36" s="82" t="s">
        <v>351</v>
      </c>
      <c r="C36" s="124" t="s">
        <v>227</v>
      </c>
      <c r="D36" s="82">
        <v>240</v>
      </c>
      <c r="E36" s="82"/>
      <c r="F36" s="82"/>
      <c r="G36" s="82"/>
      <c r="H36" s="83" t="s">
        <v>66</v>
      </c>
      <c r="I36" s="90"/>
      <c r="J36" s="82"/>
      <c r="K36" s="217"/>
    </row>
    <row r="37" spans="1:11" x14ac:dyDescent="0.25">
      <c r="A37" s="282">
        <v>46128</v>
      </c>
      <c r="B37" s="82" t="s">
        <v>296</v>
      </c>
      <c r="C37" s="124" t="s">
        <v>9</v>
      </c>
      <c r="D37" s="82">
        <v>820</v>
      </c>
      <c r="E37" s="82"/>
      <c r="F37" s="82">
        <v>32.700000000000003</v>
      </c>
      <c r="G37" s="82"/>
      <c r="H37" s="90">
        <v>189647</v>
      </c>
      <c r="I37" s="90" t="s">
        <v>304</v>
      </c>
      <c r="J37" s="82"/>
      <c r="K37" s="217"/>
    </row>
    <row r="38" spans="1:11" x14ac:dyDescent="0.25">
      <c r="A38" s="282">
        <v>46133</v>
      </c>
      <c r="B38" s="82" t="s">
        <v>9</v>
      </c>
      <c r="C38" s="124" t="s">
        <v>351</v>
      </c>
      <c r="D38" s="82">
        <v>1010</v>
      </c>
      <c r="E38" s="82"/>
      <c r="F38" s="82">
        <v>36.51</v>
      </c>
      <c r="G38" s="82"/>
      <c r="H38" s="90">
        <v>620076</v>
      </c>
      <c r="I38" s="90" t="s">
        <v>257</v>
      </c>
      <c r="J38" s="82"/>
      <c r="K38" s="217"/>
    </row>
    <row r="39" spans="1:11" x14ac:dyDescent="0.25">
      <c r="A39" s="282">
        <v>46134</v>
      </c>
      <c r="B39" s="82" t="s">
        <v>351</v>
      </c>
      <c r="C39" s="124" t="s">
        <v>227</v>
      </c>
      <c r="D39" s="82">
        <v>240</v>
      </c>
      <c r="E39" s="82"/>
      <c r="F39" s="82"/>
      <c r="G39" s="82"/>
      <c r="H39" s="83" t="s">
        <v>66</v>
      </c>
      <c r="I39" s="90"/>
      <c r="J39" s="82"/>
      <c r="K39" s="217"/>
    </row>
    <row r="40" spans="1:11" x14ac:dyDescent="0.25">
      <c r="A40" s="282">
        <v>46135</v>
      </c>
      <c r="B40" s="82" t="s">
        <v>296</v>
      </c>
      <c r="C40" s="124" t="s">
        <v>9</v>
      </c>
      <c r="D40" s="82">
        <v>820</v>
      </c>
      <c r="E40" s="82"/>
      <c r="F40" s="82">
        <v>35.700000000000003</v>
      </c>
      <c r="G40" s="82"/>
      <c r="H40" s="90">
        <v>189829</v>
      </c>
      <c r="I40" s="90" t="s">
        <v>304</v>
      </c>
      <c r="J40" s="82"/>
      <c r="K40" s="217"/>
    </row>
    <row r="41" spans="1:11" x14ac:dyDescent="0.25">
      <c r="A41" s="282">
        <v>46136</v>
      </c>
      <c r="B41" s="82" t="s">
        <v>9</v>
      </c>
      <c r="C41" s="124" t="s">
        <v>300</v>
      </c>
      <c r="D41" s="82">
        <v>430</v>
      </c>
      <c r="E41" s="82"/>
      <c r="F41" s="82"/>
      <c r="G41" s="82"/>
      <c r="H41" s="90">
        <v>293735</v>
      </c>
      <c r="I41" s="90" t="s">
        <v>15</v>
      </c>
      <c r="J41" s="82"/>
      <c r="K41" s="217"/>
    </row>
    <row r="42" spans="1:11" x14ac:dyDescent="0.25">
      <c r="A42" s="282">
        <v>46139</v>
      </c>
      <c r="B42" s="227" t="s">
        <v>300</v>
      </c>
      <c r="C42" s="82" t="s">
        <v>118</v>
      </c>
      <c r="D42" s="82">
        <v>100</v>
      </c>
      <c r="E42" s="82"/>
      <c r="F42" s="82"/>
      <c r="G42" s="82"/>
      <c r="H42" s="128" t="s">
        <v>66</v>
      </c>
      <c r="I42" s="90"/>
      <c r="J42" s="82"/>
      <c r="K42" s="217"/>
    </row>
    <row r="43" spans="1:11" x14ac:dyDescent="0.25">
      <c r="A43" s="282">
        <v>46139</v>
      </c>
      <c r="B43" s="82" t="s">
        <v>118</v>
      </c>
      <c r="C43" s="124" t="s">
        <v>385</v>
      </c>
      <c r="D43" s="82">
        <v>1560</v>
      </c>
      <c r="E43" s="82"/>
      <c r="F43" s="82"/>
      <c r="G43" s="82"/>
      <c r="H43" s="90" t="s">
        <v>252</v>
      </c>
      <c r="I43" s="90" t="s">
        <v>386</v>
      </c>
      <c r="J43" s="82"/>
      <c r="K43" s="217"/>
    </row>
    <row r="44" spans="1:11" x14ac:dyDescent="0.25">
      <c r="A44" s="282"/>
      <c r="B44" s="82"/>
      <c r="C44" s="124"/>
      <c r="D44" s="151" t="s">
        <v>462</v>
      </c>
      <c r="E44" s="82"/>
      <c r="F44" s="82"/>
      <c r="G44" s="82"/>
      <c r="H44" s="83"/>
      <c r="I44" s="90"/>
      <c r="J44" s="82"/>
      <c r="K44" s="217"/>
    </row>
    <row r="45" spans="1:11" x14ac:dyDescent="0.25">
      <c r="A45" s="5"/>
      <c r="B45" s="6"/>
      <c r="C45" s="6"/>
      <c r="D45" s="6"/>
      <c r="E45" s="6"/>
      <c r="F45" s="6"/>
      <c r="G45" s="6"/>
      <c r="H45" s="7"/>
      <c r="I45" s="7"/>
      <c r="J45" s="140">
        <f>SUM(J3:J44)</f>
        <v>0</v>
      </c>
      <c r="K45" s="218"/>
    </row>
    <row r="46" spans="1:11" x14ac:dyDescent="0.25">
      <c r="D46" s="17">
        <f>SUM(D3:D45)</f>
        <v>10505</v>
      </c>
      <c r="E46" s="13"/>
      <c r="F46" s="13"/>
      <c r="G46" s="13" t="e">
        <f>AVERAGE(G3:G44)</f>
        <v>#DIV/0!</v>
      </c>
      <c r="J46" s="139"/>
      <c r="K46" s="219">
        <f>SUM(K3:K45)</f>
        <v>1108454.21</v>
      </c>
    </row>
    <row r="48" spans="1:11" x14ac:dyDescent="0.25">
      <c r="C48" s="11"/>
      <c r="D48" s="11"/>
      <c r="E48" s="11"/>
      <c r="F48" s="11"/>
      <c r="G48" s="11"/>
      <c r="K48" s="4"/>
    </row>
    <row r="49" spans="2:11" x14ac:dyDescent="0.25">
      <c r="B49" s="216">
        <v>-2000</v>
      </c>
      <c r="C49" s="11" t="s">
        <v>13</v>
      </c>
      <c r="D49" s="11"/>
      <c r="E49" s="11"/>
      <c r="F49" s="11"/>
      <c r="G49" s="11"/>
      <c r="K49" s="4"/>
    </row>
    <row r="50" spans="2:11" x14ac:dyDescent="0.25">
      <c r="B50">
        <v>1080</v>
      </c>
      <c r="C50" s="11" t="s">
        <v>12</v>
      </c>
      <c r="D50" s="11">
        <v>44761</v>
      </c>
      <c r="E50" s="11"/>
      <c r="F50" s="11"/>
      <c r="G50" s="11"/>
      <c r="K50" s="4"/>
    </row>
    <row r="51" spans="2:11" x14ac:dyDescent="0.25">
      <c r="B51">
        <v>-1100</v>
      </c>
      <c r="C51" s="11" t="s">
        <v>13</v>
      </c>
      <c r="D51" s="11"/>
      <c r="E51" s="11"/>
      <c r="F51" s="11"/>
      <c r="G51" s="11"/>
      <c r="K51" s="4"/>
    </row>
    <row r="52" spans="2:11" x14ac:dyDescent="0.25">
      <c r="B52">
        <v>280</v>
      </c>
      <c r="C52" s="11" t="s">
        <v>12</v>
      </c>
      <c r="D52" s="11">
        <v>44768</v>
      </c>
      <c r="E52" s="11"/>
      <c r="F52" s="11"/>
      <c r="G52" s="11"/>
      <c r="K52" s="4"/>
    </row>
    <row r="53" spans="2:11" x14ac:dyDescent="0.25">
      <c r="B53">
        <v>-300</v>
      </c>
      <c r="C53" s="11" t="s">
        <v>13</v>
      </c>
      <c r="D53" s="11">
        <v>44768</v>
      </c>
      <c r="E53" s="11"/>
      <c r="F53" s="11"/>
      <c r="G53" s="11"/>
      <c r="K53" s="4"/>
    </row>
    <row r="54" spans="2:11" x14ac:dyDescent="0.25">
      <c r="B54">
        <v>400</v>
      </c>
      <c r="C54" s="11" t="s">
        <v>12</v>
      </c>
      <c r="D54" s="11"/>
      <c r="E54" s="11"/>
      <c r="F54" s="11"/>
      <c r="G54" s="11"/>
      <c r="K54" s="4"/>
    </row>
    <row r="55" spans="2:11" x14ac:dyDescent="0.25">
      <c r="B55">
        <v>-400</v>
      </c>
      <c r="C55" s="11" t="s">
        <v>13</v>
      </c>
      <c r="D55" s="11"/>
      <c r="E55" s="11"/>
      <c r="F55" s="11"/>
      <c r="G55" s="11"/>
      <c r="K55" s="4"/>
    </row>
    <row r="56" spans="2:11" x14ac:dyDescent="0.25">
      <c r="B56">
        <v>480</v>
      </c>
      <c r="C56" s="11" t="s">
        <v>12</v>
      </c>
      <c r="D56" s="11">
        <v>44803</v>
      </c>
      <c r="E56" s="11"/>
      <c r="F56" s="11"/>
      <c r="G56" s="11"/>
      <c r="K56" s="4"/>
    </row>
    <row r="57" spans="2:11" x14ac:dyDescent="0.25">
      <c r="B57">
        <v>-510</v>
      </c>
      <c r="C57" s="11" t="s">
        <v>13</v>
      </c>
      <c r="D57" s="11"/>
      <c r="E57" s="11"/>
      <c r="F57" s="11"/>
      <c r="G57" s="11"/>
      <c r="K57" s="4"/>
    </row>
    <row r="58" spans="2:11" x14ac:dyDescent="0.25">
      <c r="B58">
        <v>480</v>
      </c>
      <c r="C58" s="11" t="s">
        <v>12</v>
      </c>
      <c r="D58" s="11">
        <v>44828</v>
      </c>
      <c r="E58" s="11"/>
      <c r="F58" s="11"/>
      <c r="G58" s="11"/>
      <c r="K58" s="4"/>
    </row>
    <row r="59" spans="2:11" x14ac:dyDescent="0.25">
      <c r="B59">
        <v>-500</v>
      </c>
      <c r="C59" s="11" t="s">
        <v>13</v>
      </c>
      <c r="D59" s="11">
        <v>44828</v>
      </c>
      <c r="E59" s="11"/>
      <c r="F59" s="11"/>
      <c r="G59" s="11"/>
      <c r="K59" s="4"/>
    </row>
    <row r="60" spans="2:11" x14ac:dyDescent="0.25">
      <c r="B60">
        <v>800</v>
      </c>
      <c r="C60" s="11" t="s">
        <v>12</v>
      </c>
      <c r="D60" s="11">
        <v>44865</v>
      </c>
      <c r="E60" s="11"/>
      <c r="F60" s="11"/>
      <c r="G60" s="11"/>
      <c r="K60" s="4"/>
    </row>
    <row r="61" spans="2:11" x14ac:dyDescent="0.25">
      <c r="B61">
        <v>-800</v>
      </c>
      <c r="C61" s="11" t="s">
        <v>13</v>
      </c>
      <c r="D61" s="11">
        <v>44865</v>
      </c>
      <c r="E61" s="11"/>
      <c r="F61" s="11"/>
      <c r="G61" s="11"/>
      <c r="K61" s="4"/>
    </row>
    <row r="62" spans="2:11" x14ac:dyDescent="0.25">
      <c r="B62">
        <v>400</v>
      </c>
      <c r="C62" s="11" t="s">
        <v>12</v>
      </c>
      <c r="D62" s="11">
        <v>44867</v>
      </c>
      <c r="E62" s="11"/>
      <c r="F62" s="11"/>
      <c r="G62" s="11"/>
      <c r="K62" s="4"/>
    </row>
    <row r="63" spans="2:11" x14ac:dyDescent="0.25">
      <c r="B63">
        <v>-400</v>
      </c>
      <c r="C63" s="11" t="s">
        <v>13</v>
      </c>
      <c r="D63" s="11">
        <v>44867</v>
      </c>
      <c r="E63" s="11"/>
      <c r="F63" s="11"/>
      <c r="G63" s="11"/>
      <c r="K63" s="4"/>
    </row>
    <row r="64" spans="2:11" x14ac:dyDescent="0.25">
      <c r="B64">
        <v>900</v>
      </c>
      <c r="C64" s="11" t="s">
        <v>12</v>
      </c>
      <c r="D64" s="11">
        <v>44957</v>
      </c>
      <c r="E64" s="11"/>
      <c r="F64" s="11"/>
      <c r="G64" s="11"/>
      <c r="K64" s="4"/>
    </row>
    <row r="65" spans="2:11" x14ac:dyDescent="0.25">
      <c r="B65">
        <v>-900</v>
      </c>
      <c r="C65" s="11" t="s">
        <v>13</v>
      </c>
      <c r="D65" s="11"/>
      <c r="E65" s="11"/>
      <c r="F65" s="11"/>
      <c r="G65" s="11"/>
      <c r="K65" s="4"/>
    </row>
    <row r="66" spans="2:11" x14ac:dyDescent="0.25">
      <c r="B66">
        <v>400</v>
      </c>
      <c r="C66" s="11" t="s">
        <v>12</v>
      </c>
      <c r="D66" s="11">
        <v>44985</v>
      </c>
      <c r="E66" s="11"/>
      <c r="F66" s="11"/>
      <c r="G66" s="11"/>
      <c r="K66" s="4"/>
    </row>
    <row r="67" spans="2:11" x14ac:dyDescent="0.25">
      <c r="B67">
        <v>-400</v>
      </c>
      <c r="C67" s="11" t="s">
        <v>13</v>
      </c>
      <c r="D67" s="11">
        <v>44985</v>
      </c>
      <c r="E67" s="11"/>
      <c r="F67" s="11"/>
      <c r="G67" s="11"/>
      <c r="K67" s="4"/>
    </row>
    <row r="68" spans="2:11" x14ac:dyDescent="0.25">
      <c r="B68">
        <v>600</v>
      </c>
      <c r="C68" s="11" t="s">
        <v>12</v>
      </c>
      <c r="D68" s="11">
        <v>45082</v>
      </c>
      <c r="E68" s="11"/>
      <c r="F68" s="11"/>
      <c r="G68" s="11"/>
      <c r="K68" s="4"/>
    </row>
    <row r="69" spans="2:11" x14ac:dyDescent="0.25">
      <c r="B69">
        <v>-600</v>
      </c>
      <c r="C69" s="11" t="s">
        <v>13</v>
      </c>
      <c r="D69" s="11">
        <v>45082</v>
      </c>
      <c r="E69" s="11"/>
      <c r="F69" s="11"/>
      <c r="G69" s="11"/>
      <c r="K69" s="4"/>
    </row>
    <row r="70" spans="2:11" x14ac:dyDescent="0.25">
      <c r="B70">
        <v>600</v>
      </c>
      <c r="C70" s="11" t="s">
        <v>12</v>
      </c>
      <c r="D70" s="11">
        <v>45093</v>
      </c>
      <c r="E70" s="11"/>
      <c r="F70" s="11"/>
      <c r="G70" s="11"/>
      <c r="K70" s="4"/>
    </row>
    <row r="71" spans="2:11" x14ac:dyDescent="0.25">
      <c r="B71">
        <v>-600</v>
      </c>
      <c r="C71" s="11" t="s">
        <v>13</v>
      </c>
      <c r="D71" s="11">
        <v>45093</v>
      </c>
      <c r="E71" s="11"/>
      <c r="F71" s="11"/>
      <c r="G71" s="11"/>
      <c r="K71" s="4"/>
    </row>
    <row r="72" spans="2:11" x14ac:dyDescent="0.25">
      <c r="B72">
        <v>800</v>
      </c>
      <c r="C72" s="11" t="s">
        <v>12</v>
      </c>
      <c r="D72" s="11">
        <v>45182</v>
      </c>
      <c r="E72" s="11"/>
      <c r="F72" s="11"/>
      <c r="G72" s="11"/>
      <c r="K72" s="4"/>
    </row>
    <row r="73" spans="2:11" x14ac:dyDescent="0.25">
      <c r="B73">
        <v>-800</v>
      </c>
      <c r="C73" s="11" t="s">
        <v>13</v>
      </c>
      <c r="D73" s="11">
        <v>45182</v>
      </c>
      <c r="E73" s="11"/>
      <c r="F73" s="11"/>
      <c r="G73" s="11"/>
      <c r="K73" s="4"/>
    </row>
    <row r="74" spans="2:11" x14ac:dyDescent="0.25">
      <c r="B74">
        <v>-300</v>
      </c>
      <c r="C74" s="11" t="s">
        <v>175</v>
      </c>
      <c r="D74" s="11">
        <v>45195</v>
      </c>
      <c r="E74" s="11"/>
      <c r="F74" s="11"/>
      <c r="G74" s="11"/>
      <c r="K74" s="4"/>
    </row>
    <row r="75" spans="2:11" x14ac:dyDescent="0.25">
      <c r="B75">
        <v>800</v>
      </c>
      <c r="C75" s="11" t="s">
        <v>12</v>
      </c>
      <c r="D75" s="11">
        <v>45206</v>
      </c>
      <c r="E75" s="11"/>
      <c r="F75" s="11"/>
      <c r="G75" s="11"/>
      <c r="K75" s="4"/>
    </row>
    <row r="76" spans="2:11" x14ac:dyDescent="0.25">
      <c r="B76">
        <v>-800</v>
      </c>
      <c r="C76" s="11" t="s">
        <v>13</v>
      </c>
      <c r="D76" s="11"/>
      <c r="E76" s="11"/>
      <c r="F76" s="11"/>
      <c r="G76" s="11"/>
      <c r="K76" s="4"/>
    </row>
    <row r="77" spans="2:11" x14ac:dyDescent="0.25">
      <c r="B77">
        <v>-15000</v>
      </c>
      <c r="C77" s="11" t="s">
        <v>13</v>
      </c>
      <c r="D77" s="11" t="s">
        <v>245</v>
      </c>
      <c r="E77" s="11"/>
      <c r="F77" s="11"/>
      <c r="G77" s="11"/>
      <c r="K77" s="4"/>
    </row>
    <row r="78" spans="2:11" x14ac:dyDescent="0.25">
      <c r="B78">
        <v>14200</v>
      </c>
      <c r="C78" s="11" t="s">
        <v>74</v>
      </c>
      <c r="D78" s="11">
        <v>45357</v>
      </c>
      <c r="E78" s="11"/>
      <c r="F78" s="11"/>
      <c r="G78" s="11"/>
      <c r="K78" s="4"/>
    </row>
    <row r="79" spans="2:11" x14ac:dyDescent="0.25">
      <c r="B79">
        <v>-7000</v>
      </c>
      <c r="C79" s="11" t="s">
        <v>13</v>
      </c>
      <c r="D79" s="11">
        <v>45357</v>
      </c>
      <c r="E79" s="11"/>
      <c r="F79" s="11"/>
      <c r="G79" s="11"/>
      <c r="K79" s="4"/>
    </row>
    <row r="80" spans="2:11" x14ac:dyDescent="0.25">
      <c r="B80">
        <v>10700</v>
      </c>
      <c r="C80" s="11" t="s">
        <v>12</v>
      </c>
      <c r="D80" s="11">
        <v>45533</v>
      </c>
      <c r="E80" s="11"/>
      <c r="F80" s="11"/>
      <c r="G80" s="11"/>
      <c r="K80" s="4"/>
    </row>
    <row r="81" spans="2:11" x14ac:dyDescent="0.25">
      <c r="B81">
        <v>-10700</v>
      </c>
      <c r="C81" s="11" t="s">
        <v>13</v>
      </c>
      <c r="D81" s="11">
        <v>45533</v>
      </c>
      <c r="E81" s="11"/>
      <c r="F81" s="11"/>
      <c r="G81" s="11"/>
      <c r="K81" s="4"/>
    </row>
    <row r="82" spans="2:11" x14ac:dyDescent="0.25">
      <c r="B82">
        <v>10700</v>
      </c>
      <c r="C82" s="11" t="s">
        <v>12</v>
      </c>
      <c r="D82" s="11">
        <v>45544</v>
      </c>
      <c r="E82" s="11"/>
      <c r="F82" s="11"/>
      <c r="G82" s="11"/>
      <c r="K82" s="4"/>
    </row>
    <row r="83" spans="2:11" x14ac:dyDescent="0.25">
      <c r="B83">
        <v>-10700</v>
      </c>
      <c r="C83" s="11" t="s">
        <v>93</v>
      </c>
      <c r="D83" s="11"/>
      <c r="E83" s="11"/>
      <c r="F83" s="11"/>
      <c r="G83" s="11"/>
      <c r="K83" s="4"/>
    </row>
    <row r="84" spans="2:11" x14ac:dyDescent="0.25">
      <c r="B84">
        <v>11100</v>
      </c>
      <c r="C84" s="11" t="s">
        <v>12</v>
      </c>
      <c r="D84" s="11"/>
      <c r="E84" s="11"/>
      <c r="F84" s="11"/>
      <c r="G84" s="11"/>
      <c r="K84" s="4"/>
    </row>
    <row r="85" spans="2:11" x14ac:dyDescent="0.25">
      <c r="B85">
        <v>-11100</v>
      </c>
      <c r="C85" s="11" t="s">
        <v>13</v>
      </c>
      <c r="D85" s="11"/>
      <c r="E85" s="11"/>
      <c r="F85" s="11"/>
      <c r="G85" s="11"/>
      <c r="K85" s="4"/>
    </row>
    <row r="86" spans="2:11" x14ac:dyDescent="0.25">
      <c r="B86">
        <v>11100</v>
      </c>
      <c r="C86" s="11" t="s">
        <v>12</v>
      </c>
      <c r="D86" s="11">
        <v>45610</v>
      </c>
      <c r="E86" s="11"/>
      <c r="F86" s="11"/>
      <c r="G86" s="11"/>
      <c r="K86" s="4"/>
    </row>
    <row r="87" spans="2:11" x14ac:dyDescent="0.25">
      <c r="B87">
        <v>-11100</v>
      </c>
      <c r="C87" s="11"/>
      <c r="D87" s="11"/>
      <c r="E87" s="11"/>
      <c r="F87" s="11"/>
      <c r="G87" s="11"/>
      <c r="K87" s="4"/>
    </row>
    <row r="88" spans="2:11" x14ac:dyDescent="0.25">
      <c r="B88">
        <v>11100</v>
      </c>
      <c r="C88" s="11" t="s">
        <v>12</v>
      </c>
      <c r="D88" s="11">
        <v>45616</v>
      </c>
      <c r="E88" s="11"/>
      <c r="F88" s="11"/>
      <c r="G88" s="11"/>
      <c r="K88" s="4"/>
    </row>
    <row r="89" spans="2:11" x14ac:dyDescent="0.25">
      <c r="B89">
        <v>-11100</v>
      </c>
      <c r="C89" s="11" t="s">
        <v>13</v>
      </c>
      <c r="D89" s="11"/>
      <c r="E89" s="11"/>
      <c r="F89" s="11"/>
      <c r="G89" s="11"/>
      <c r="K89" s="4"/>
    </row>
    <row r="90" spans="2:11" x14ac:dyDescent="0.25">
      <c r="B90">
        <v>17900</v>
      </c>
      <c r="C90" s="11" t="s">
        <v>12</v>
      </c>
      <c r="D90" s="11"/>
      <c r="E90" s="11"/>
      <c r="F90" s="11"/>
      <c r="G90" s="11"/>
      <c r="K90" s="4"/>
    </row>
    <row r="91" spans="2:11" x14ac:dyDescent="0.25">
      <c r="B91">
        <v>-18000</v>
      </c>
      <c r="C91" s="11" t="s">
        <v>13</v>
      </c>
      <c r="D91" s="11">
        <v>45666</v>
      </c>
      <c r="E91" s="11"/>
      <c r="F91" s="11"/>
      <c r="G91" s="11"/>
      <c r="K91" s="4"/>
    </row>
    <row r="92" spans="2:11" x14ac:dyDescent="0.25">
      <c r="B92">
        <v>31200</v>
      </c>
      <c r="C92" s="11" t="s">
        <v>12</v>
      </c>
      <c r="D92" s="11"/>
      <c r="E92" s="11"/>
      <c r="F92" s="11"/>
      <c r="G92" s="11"/>
      <c r="K92" s="4"/>
    </row>
    <row r="93" spans="2:11" x14ac:dyDescent="0.25">
      <c r="B93">
        <v>-31200</v>
      </c>
      <c r="C93" s="11" t="s">
        <v>13</v>
      </c>
      <c r="D93" s="11">
        <v>45756</v>
      </c>
      <c r="E93" s="11"/>
      <c r="F93" s="11"/>
      <c r="G93" s="11"/>
      <c r="K93" s="4"/>
    </row>
    <row r="94" spans="2:11" x14ac:dyDescent="0.25">
      <c r="B94">
        <v>2000</v>
      </c>
      <c r="C94" s="11" t="s">
        <v>270</v>
      </c>
      <c r="D94" s="11">
        <v>45908</v>
      </c>
      <c r="E94" s="11"/>
      <c r="F94" s="11"/>
      <c r="G94" s="11"/>
      <c r="K94" s="4"/>
    </row>
    <row r="95" spans="2:11" x14ac:dyDescent="0.25">
      <c r="B95">
        <v>-2000</v>
      </c>
      <c r="C95" s="11" t="s">
        <v>13</v>
      </c>
      <c r="D95" s="11"/>
      <c r="E95" s="11"/>
      <c r="F95" s="11"/>
      <c r="G95" s="11"/>
      <c r="K95" s="4"/>
    </row>
    <row r="96" spans="2:11" x14ac:dyDescent="0.25">
      <c r="B96">
        <v>-1000</v>
      </c>
      <c r="C96" s="11" t="s">
        <v>175</v>
      </c>
      <c r="D96" s="11">
        <v>45908</v>
      </c>
      <c r="E96" s="11"/>
      <c r="F96" s="11"/>
      <c r="G96" s="11"/>
      <c r="K96" s="4"/>
    </row>
    <row r="97" spans="2:11" x14ac:dyDescent="0.25">
      <c r="B97" s="135">
        <f>SUM(B48:B96)</f>
        <v>-11290</v>
      </c>
      <c r="C97" s="11">
        <v>45908</v>
      </c>
      <c r="D97" s="11"/>
      <c r="E97" s="11"/>
      <c r="F97" s="11"/>
      <c r="G97" s="11"/>
      <c r="K97" s="4"/>
    </row>
    <row r="98" spans="2:11" x14ac:dyDescent="0.25">
      <c r="B98" s="11"/>
      <c r="D98" s="11"/>
      <c r="E98" s="11"/>
      <c r="F98" s="11"/>
      <c r="G98" s="11"/>
      <c r="K98" s="4"/>
    </row>
    <row r="99" spans="2:11" x14ac:dyDescent="0.25">
      <c r="B99" s="11"/>
      <c r="E99" s="11"/>
      <c r="F99" s="11"/>
      <c r="G99" s="11"/>
      <c r="K99" s="4"/>
    </row>
    <row r="100" spans="2:11" x14ac:dyDescent="0.25">
      <c r="B100" s="11"/>
      <c r="E100" s="11"/>
      <c r="F100" s="11"/>
      <c r="G100" s="11"/>
      <c r="K100" s="4"/>
    </row>
    <row r="101" spans="2:11" x14ac:dyDescent="0.25">
      <c r="B101" s="11"/>
      <c r="E101" s="11"/>
      <c r="F101" s="11"/>
      <c r="G101" s="11"/>
      <c r="K101" s="4"/>
    </row>
    <row r="102" spans="2:11" x14ac:dyDescent="0.25">
      <c r="B102" s="11"/>
      <c r="C102" s="11"/>
      <c r="E102" s="11"/>
      <c r="F102" s="11"/>
      <c r="G102" s="11"/>
      <c r="K102" s="4"/>
    </row>
    <row r="103" spans="2:11" x14ac:dyDescent="0.25">
      <c r="B103" s="11"/>
      <c r="E103" s="4"/>
      <c r="K103" s="4"/>
    </row>
    <row r="104" spans="2:11" x14ac:dyDescent="0.25">
      <c r="B104" s="11"/>
      <c r="F104" s="11"/>
      <c r="G104" s="11"/>
      <c r="I104" s="173"/>
      <c r="K104" s="4"/>
    </row>
    <row r="105" spans="2:11" x14ac:dyDescent="0.25">
      <c r="B105" s="11"/>
      <c r="E105" s="11"/>
      <c r="F105" s="11"/>
      <c r="G105" s="11"/>
      <c r="K105" s="4"/>
    </row>
    <row r="106" spans="2:11" x14ac:dyDescent="0.25">
      <c r="B106" s="11"/>
      <c r="K106" s="4"/>
    </row>
    <row r="107" spans="2:11" x14ac:dyDescent="0.25">
      <c r="B107" s="11"/>
      <c r="E107" s="11"/>
      <c r="F107" s="11"/>
      <c r="G107" s="11"/>
      <c r="K107" s="4"/>
    </row>
    <row r="108" spans="2:11" x14ac:dyDescent="0.25">
      <c r="B108" s="11"/>
      <c r="I108" s="4"/>
    </row>
    <row r="109" spans="2:11" x14ac:dyDescent="0.25">
      <c r="B109" s="11"/>
      <c r="E109" s="11"/>
      <c r="F109" s="11"/>
      <c r="G109" s="11"/>
      <c r="K109" s="4"/>
    </row>
    <row r="110" spans="2:11" x14ac:dyDescent="0.25">
      <c r="B110" s="11"/>
      <c r="E110" s="11"/>
      <c r="F110" s="11"/>
      <c r="G110" s="11"/>
      <c r="K110" s="4"/>
    </row>
    <row r="111" spans="2:11" x14ac:dyDescent="0.25">
      <c r="B111" s="11"/>
      <c r="E111" s="11"/>
      <c r="F111" s="11"/>
      <c r="G111" s="11"/>
      <c r="K111" s="4"/>
    </row>
    <row r="112" spans="2:11" x14ac:dyDescent="0.25">
      <c r="B112" s="11"/>
      <c r="E112" s="11"/>
      <c r="F112" s="11"/>
      <c r="G112" s="11"/>
      <c r="K112" s="4"/>
    </row>
    <row r="113" spans="2:11" x14ac:dyDescent="0.25">
      <c r="B113" s="11"/>
      <c r="E113" s="11"/>
      <c r="F113" s="11"/>
      <c r="G113" s="11"/>
      <c r="K113" s="4"/>
    </row>
    <row r="114" spans="2:11" x14ac:dyDescent="0.25">
      <c r="B114" s="11"/>
      <c r="D114" s="11"/>
      <c r="E114" s="11"/>
      <c r="F114" s="11"/>
      <c r="G114" s="11"/>
      <c r="K114" s="4"/>
    </row>
    <row r="115" spans="2:11" x14ac:dyDescent="0.25">
      <c r="B115" s="11"/>
      <c r="E115" s="11"/>
      <c r="F115" s="11"/>
      <c r="G115" s="11"/>
      <c r="K115" s="4"/>
    </row>
    <row r="116" spans="2:11" x14ac:dyDescent="0.25">
      <c r="B116" s="11"/>
      <c r="E116" s="11"/>
      <c r="F116" s="11"/>
      <c r="G116" s="11"/>
      <c r="K116" s="4"/>
    </row>
    <row r="117" spans="2:11" x14ac:dyDescent="0.25">
      <c r="B117" s="11"/>
      <c r="E117" s="11"/>
      <c r="F117" s="11"/>
      <c r="G117" s="11"/>
      <c r="K117" s="4"/>
    </row>
    <row r="118" spans="2:11" x14ac:dyDescent="0.25">
      <c r="B118" s="11"/>
      <c r="E118" s="11"/>
      <c r="F118" s="11"/>
      <c r="G118" s="11"/>
      <c r="K118" s="4"/>
    </row>
    <row r="119" spans="2:11" x14ac:dyDescent="0.25">
      <c r="B119" s="11"/>
      <c r="E119" s="11"/>
      <c r="F119" s="11"/>
      <c r="G119" s="11"/>
      <c r="K119" s="4"/>
    </row>
    <row r="120" spans="2:11" x14ac:dyDescent="0.25">
      <c r="B120" s="11"/>
      <c r="E120" s="11"/>
      <c r="F120" s="11"/>
      <c r="G120" s="11"/>
      <c r="K120" s="4"/>
    </row>
    <row r="121" spans="2:11" x14ac:dyDescent="0.25">
      <c r="B121" s="11"/>
      <c r="E121" s="11"/>
      <c r="F121" s="11"/>
      <c r="G121" s="11"/>
    </row>
    <row r="122" spans="2:11" x14ac:dyDescent="0.25">
      <c r="B122" s="11"/>
      <c r="E122" s="11"/>
      <c r="F122" s="11"/>
      <c r="G122" s="11"/>
    </row>
    <row r="123" spans="2:11" x14ac:dyDescent="0.25">
      <c r="B123" s="11"/>
      <c r="E123" s="11"/>
      <c r="F123" s="11"/>
      <c r="G123" s="11"/>
    </row>
    <row r="124" spans="2:11" x14ac:dyDescent="0.25">
      <c r="B124" s="11"/>
      <c r="E124" s="11"/>
      <c r="F124" s="11"/>
      <c r="G124" s="11"/>
    </row>
    <row r="125" spans="2:11" x14ac:dyDescent="0.25">
      <c r="B125" s="11"/>
      <c r="E125" s="11"/>
      <c r="F125" s="11"/>
      <c r="G125" s="11"/>
    </row>
    <row r="126" spans="2:11" x14ac:dyDescent="0.25">
      <c r="B126" s="11"/>
      <c r="E126" s="11"/>
      <c r="F126" s="11"/>
      <c r="G126" s="11"/>
    </row>
    <row r="127" spans="2:11" x14ac:dyDescent="0.25">
      <c r="B127" s="11"/>
      <c r="E127" s="11"/>
      <c r="F127" s="11"/>
      <c r="G127" s="11"/>
    </row>
    <row r="128" spans="2:11" x14ac:dyDescent="0.25">
      <c r="B128" s="11"/>
      <c r="E128" s="11"/>
      <c r="F128" s="11"/>
      <c r="G128" s="11"/>
    </row>
    <row r="129" spans="2:7" x14ac:dyDescent="0.25">
      <c r="B129" s="11"/>
      <c r="E129" s="11"/>
      <c r="F129" s="11"/>
      <c r="G129" s="11"/>
    </row>
    <row r="130" spans="2:7" x14ac:dyDescent="0.25">
      <c r="B130" s="11"/>
      <c r="E130" s="11"/>
      <c r="F130" s="11"/>
      <c r="G130" s="11"/>
    </row>
    <row r="131" spans="2:7" x14ac:dyDescent="0.25">
      <c r="B131" s="11"/>
      <c r="E131" s="11"/>
      <c r="F131" s="11"/>
      <c r="G131" s="11"/>
    </row>
    <row r="132" spans="2:7" x14ac:dyDescent="0.25">
      <c r="B132" s="11"/>
      <c r="E132" s="11"/>
      <c r="F132" s="11"/>
      <c r="G132" s="11"/>
    </row>
    <row r="133" spans="2:7" x14ac:dyDescent="0.25">
      <c r="B133" s="11"/>
      <c r="E133" s="11"/>
      <c r="F133" s="11"/>
      <c r="G133" s="11"/>
    </row>
    <row r="134" spans="2:7" x14ac:dyDescent="0.25">
      <c r="B134" s="11"/>
      <c r="E134" s="11"/>
      <c r="F134" s="11"/>
      <c r="G134" s="11"/>
    </row>
    <row r="135" spans="2:7" x14ac:dyDescent="0.25">
      <c r="B135" s="11"/>
      <c r="E135" s="11"/>
      <c r="F135" s="11"/>
      <c r="G135" s="11"/>
    </row>
    <row r="136" spans="2:7" x14ac:dyDescent="0.25">
      <c r="B136" s="11"/>
      <c r="E136" s="11"/>
      <c r="F136" s="11"/>
      <c r="G136" s="11"/>
    </row>
    <row r="137" spans="2:7" x14ac:dyDescent="0.25">
      <c r="B137" s="11"/>
      <c r="E137" s="11"/>
      <c r="F137" s="11"/>
      <c r="G137" s="11"/>
    </row>
    <row r="138" spans="2:7" x14ac:dyDescent="0.25">
      <c r="E138" s="11"/>
      <c r="F138" s="11"/>
      <c r="G138" s="11"/>
    </row>
    <row r="139" spans="2:7" x14ac:dyDescent="0.25">
      <c r="E139" s="11"/>
      <c r="F139" s="11"/>
      <c r="G139" s="11"/>
    </row>
    <row r="140" spans="2:7" x14ac:dyDescent="0.25">
      <c r="E140" s="11"/>
      <c r="F140" s="11"/>
      <c r="G140" s="11"/>
    </row>
    <row r="141" spans="2:7" x14ac:dyDescent="0.25">
      <c r="E141" s="11"/>
      <c r="F141" s="11"/>
      <c r="G141" s="11"/>
    </row>
    <row r="142" spans="2:7" x14ac:dyDescent="0.25">
      <c r="E142" s="11"/>
      <c r="F142" s="11"/>
      <c r="G142" s="11"/>
    </row>
    <row r="143" spans="2:7" x14ac:dyDescent="0.25">
      <c r="E143" s="11"/>
      <c r="F143" s="11"/>
      <c r="G143" s="1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FD279"/>
  <sheetViews>
    <sheetView topLeftCell="A7" zoomScale="110" zoomScaleNormal="110" workbookViewId="0">
      <selection activeCell="A3" sqref="A3:H3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3.855468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82"/>
      <c r="C3" s="124"/>
      <c r="D3" s="82"/>
      <c r="E3" s="82"/>
      <c r="F3" s="82"/>
      <c r="G3" s="82"/>
      <c r="H3" s="128"/>
      <c r="I3" s="90"/>
      <c r="J3" s="82"/>
      <c r="K3" s="231"/>
    </row>
    <row r="4" spans="1:11" x14ac:dyDescent="0.25">
      <c r="A4" s="91"/>
      <c r="B4" s="82"/>
      <c r="C4" s="124"/>
      <c r="D4" s="82"/>
      <c r="E4" s="82"/>
      <c r="F4" s="82"/>
      <c r="G4" s="82"/>
      <c r="H4" s="128"/>
      <c r="I4" s="90"/>
      <c r="J4" s="82"/>
      <c r="K4" s="231"/>
    </row>
    <row r="5" spans="1:11" x14ac:dyDescent="0.25">
      <c r="A5" s="91"/>
      <c r="B5" s="82"/>
      <c r="C5" s="124"/>
      <c r="D5" s="82"/>
      <c r="E5" s="82"/>
      <c r="F5" s="82"/>
      <c r="G5" s="82"/>
      <c r="H5" s="128"/>
      <c r="I5" s="90"/>
      <c r="J5" s="82"/>
      <c r="K5" s="231"/>
    </row>
    <row r="6" spans="1:11" x14ac:dyDescent="0.25">
      <c r="A6" s="91"/>
      <c r="B6" s="82"/>
      <c r="C6" s="124"/>
      <c r="D6" s="82"/>
      <c r="E6" s="82"/>
      <c r="F6" s="82"/>
      <c r="G6" s="82"/>
      <c r="H6" s="128"/>
      <c r="I6" s="90"/>
      <c r="J6" s="82"/>
      <c r="K6" s="231"/>
    </row>
    <row r="7" spans="1:11" x14ac:dyDescent="0.25">
      <c r="A7" s="91"/>
      <c r="B7" s="82"/>
      <c r="C7" s="124"/>
      <c r="D7" s="82"/>
      <c r="E7" s="82"/>
      <c r="F7" s="82"/>
      <c r="G7" s="82"/>
      <c r="H7" s="128"/>
      <c r="I7" s="90"/>
      <c r="J7" s="82"/>
      <c r="K7" s="231"/>
    </row>
    <row r="8" spans="1:11" x14ac:dyDescent="0.25">
      <c r="A8" s="91"/>
      <c r="B8" s="82"/>
      <c r="C8" s="124"/>
      <c r="D8" s="82"/>
      <c r="E8" s="82"/>
      <c r="F8" s="82"/>
      <c r="G8" s="82"/>
      <c r="H8" s="128"/>
      <c r="I8" s="90"/>
      <c r="J8" s="82"/>
      <c r="K8" s="231"/>
    </row>
    <row r="9" spans="1:11" x14ac:dyDescent="0.25">
      <c r="A9" s="91"/>
      <c r="B9" s="82"/>
      <c r="C9" s="124"/>
      <c r="D9" s="82"/>
      <c r="E9" s="82"/>
      <c r="F9" s="82"/>
      <c r="G9" s="82"/>
      <c r="H9" s="128"/>
      <c r="I9" s="90"/>
      <c r="J9" s="82"/>
      <c r="K9" s="231"/>
    </row>
    <row r="10" spans="1:11" x14ac:dyDescent="0.25">
      <c r="A10" s="91"/>
      <c r="B10" s="82"/>
      <c r="C10" s="124"/>
      <c r="D10" s="82"/>
      <c r="E10" s="82"/>
      <c r="F10" s="82"/>
      <c r="G10" s="82"/>
      <c r="H10" s="128"/>
      <c r="I10" s="90"/>
      <c r="J10" s="82"/>
      <c r="K10" s="231"/>
    </row>
    <row r="11" spans="1:11" x14ac:dyDescent="0.25">
      <c r="A11" s="91"/>
      <c r="B11" s="82"/>
      <c r="C11" s="124"/>
      <c r="D11" s="82"/>
      <c r="E11" s="82"/>
      <c r="F11" s="82"/>
      <c r="G11" s="82"/>
      <c r="H11" s="128"/>
      <c r="I11" s="90"/>
      <c r="J11" s="82"/>
      <c r="K11" s="231"/>
    </row>
    <row r="12" spans="1:11" x14ac:dyDescent="0.25">
      <c r="A12" s="91"/>
      <c r="B12" s="82"/>
      <c r="C12" s="124"/>
      <c r="D12" s="82"/>
      <c r="E12" s="82"/>
      <c r="F12" s="82"/>
      <c r="G12" s="82"/>
      <c r="H12" s="128"/>
      <c r="I12" s="90"/>
      <c r="J12" s="82"/>
      <c r="K12" s="231"/>
    </row>
    <row r="13" spans="1:11" x14ac:dyDescent="0.25">
      <c r="A13" s="91"/>
      <c r="B13" s="82"/>
      <c r="C13" s="124"/>
      <c r="D13" s="82"/>
      <c r="E13" s="82"/>
      <c r="F13" s="82"/>
      <c r="G13" s="82"/>
      <c r="H13" s="128"/>
      <c r="I13" s="90"/>
      <c r="J13" s="82"/>
      <c r="K13" s="231"/>
    </row>
    <row r="14" spans="1:11" x14ac:dyDescent="0.25">
      <c r="A14" s="91"/>
      <c r="B14" s="82"/>
      <c r="C14" s="124"/>
      <c r="D14" s="82"/>
      <c r="E14" s="82"/>
      <c r="F14" s="82"/>
      <c r="G14" s="82"/>
      <c r="H14" s="128"/>
      <c r="I14" s="90"/>
      <c r="J14" s="82"/>
      <c r="K14" s="231"/>
    </row>
    <row r="15" spans="1:11" x14ac:dyDescent="0.25">
      <c r="A15" s="91"/>
      <c r="B15" s="82"/>
      <c r="C15" s="124"/>
      <c r="D15" s="82"/>
      <c r="E15" s="82"/>
      <c r="F15" s="82"/>
      <c r="G15" s="82"/>
      <c r="H15" s="128"/>
      <c r="I15" s="90"/>
      <c r="J15" s="82"/>
      <c r="K15" s="231"/>
    </row>
    <row r="16" spans="1:11" x14ac:dyDescent="0.25">
      <c r="A16" s="91"/>
      <c r="B16" s="82"/>
      <c r="C16" s="124"/>
      <c r="D16" s="82"/>
      <c r="E16" s="82"/>
      <c r="F16" s="82"/>
      <c r="G16" s="82"/>
      <c r="H16" s="128"/>
      <c r="I16" s="90"/>
      <c r="J16" s="82"/>
      <c r="K16" s="231"/>
    </row>
    <row r="17" spans="1:11" x14ac:dyDescent="0.25">
      <c r="A17" s="91">
        <v>46081</v>
      </c>
      <c r="B17" s="82" t="s">
        <v>146</v>
      </c>
      <c r="C17" s="124" t="s">
        <v>9</v>
      </c>
      <c r="D17" s="82">
        <v>980</v>
      </c>
      <c r="E17" s="82"/>
      <c r="F17" s="82"/>
      <c r="G17" s="82"/>
      <c r="H17" s="128" t="s">
        <v>66</v>
      </c>
      <c r="I17" s="90"/>
      <c r="J17" s="82"/>
      <c r="K17" s="231"/>
    </row>
    <row r="18" spans="1:11" x14ac:dyDescent="0.25">
      <c r="A18" s="91">
        <v>46084</v>
      </c>
      <c r="B18" s="82" t="s">
        <v>9</v>
      </c>
      <c r="C18" s="82" t="s">
        <v>343</v>
      </c>
      <c r="D18" s="82">
        <v>340</v>
      </c>
      <c r="E18" s="82"/>
      <c r="F18" s="82"/>
      <c r="G18" s="82">
        <v>36.82</v>
      </c>
      <c r="H18" s="123">
        <v>291406</v>
      </c>
      <c r="I18" s="90" t="s">
        <v>344</v>
      </c>
      <c r="J18" s="82"/>
      <c r="K18" s="231"/>
    </row>
    <row r="19" spans="1:11" x14ac:dyDescent="0.25">
      <c r="A19" s="91">
        <v>46084</v>
      </c>
      <c r="B19" s="82" t="s">
        <v>343</v>
      </c>
      <c r="C19" s="82" t="s">
        <v>118</v>
      </c>
      <c r="D19" s="82">
        <v>190</v>
      </c>
      <c r="E19" s="82"/>
      <c r="F19" s="82"/>
      <c r="G19" s="82"/>
      <c r="H19" s="128" t="s">
        <v>66</v>
      </c>
      <c r="I19" s="90"/>
      <c r="J19" s="82"/>
      <c r="K19" s="231"/>
    </row>
    <row r="20" spans="1:11" x14ac:dyDescent="0.25">
      <c r="A20" s="91">
        <v>46085</v>
      </c>
      <c r="B20" s="82" t="s">
        <v>118</v>
      </c>
      <c r="C20" s="124" t="s">
        <v>146</v>
      </c>
      <c r="D20" s="82">
        <v>1340</v>
      </c>
      <c r="E20" s="82"/>
      <c r="F20" s="82"/>
      <c r="G20" s="82"/>
      <c r="H20" s="123">
        <v>112834</v>
      </c>
      <c r="I20" s="215" t="s">
        <v>336</v>
      </c>
      <c r="J20" s="82"/>
      <c r="K20" s="231"/>
    </row>
    <row r="21" spans="1:11" x14ac:dyDescent="0.25">
      <c r="A21" s="91">
        <v>46087</v>
      </c>
      <c r="B21" s="82" t="s">
        <v>146</v>
      </c>
      <c r="C21" s="124" t="s">
        <v>227</v>
      </c>
      <c r="D21" s="82">
        <v>180</v>
      </c>
      <c r="E21" s="82"/>
      <c r="F21" s="82"/>
      <c r="G21" s="82"/>
      <c r="H21" s="83" t="s">
        <v>66</v>
      </c>
      <c r="I21" s="90"/>
      <c r="J21" s="82"/>
      <c r="K21" s="231"/>
    </row>
    <row r="22" spans="1:11" x14ac:dyDescent="0.25">
      <c r="A22" s="91">
        <v>46087</v>
      </c>
      <c r="B22" s="82" t="s">
        <v>296</v>
      </c>
      <c r="C22" s="124" t="s">
        <v>9</v>
      </c>
      <c r="D22" s="82">
        <v>820</v>
      </c>
      <c r="E22" s="82"/>
      <c r="F22" s="82"/>
      <c r="G22" s="82"/>
      <c r="H22" s="90">
        <v>187818</v>
      </c>
      <c r="I22" s="90" t="s">
        <v>304</v>
      </c>
      <c r="J22" s="82"/>
      <c r="K22" s="231"/>
    </row>
    <row r="23" spans="1:11" x14ac:dyDescent="0.25">
      <c r="A23" s="91">
        <v>46088</v>
      </c>
      <c r="B23" s="82" t="s">
        <v>9</v>
      </c>
      <c r="C23" s="82" t="s">
        <v>343</v>
      </c>
      <c r="D23" s="82">
        <v>340</v>
      </c>
      <c r="E23" s="82"/>
      <c r="F23" s="82"/>
      <c r="G23" s="82">
        <v>36.76</v>
      </c>
      <c r="H23" s="123">
        <v>291704</v>
      </c>
      <c r="I23" s="90" t="s">
        <v>344</v>
      </c>
      <c r="J23" s="82"/>
      <c r="K23" s="231"/>
    </row>
    <row r="24" spans="1:11" x14ac:dyDescent="0.25">
      <c r="A24" s="91">
        <v>46091</v>
      </c>
      <c r="B24" s="82" t="s">
        <v>343</v>
      </c>
      <c r="C24" s="82" t="s">
        <v>118</v>
      </c>
      <c r="D24" s="82">
        <v>190</v>
      </c>
      <c r="E24" s="82"/>
      <c r="F24" s="82"/>
      <c r="G24" s="82"/>
      <c r="H24" s="128" t="s">
        <v>66</v>
      </c>
      <c r="I24" s="90"/>
      <c r="J24" s="82"/>
      <c r="K24" s="231"/>
    </row>
    <row r="25" spans="1:11" x14ac:dyDescent="0.25">
      <c r="A25" s="91">
        <v>46092</v>
      </c>
      <c r="B25" s="82" t="s">
        <v>118</v>
      </c>
      <c r="C25" s="124" t="s">
        <v>378</v>
      </c>
      <c r="D25" s="82">
        <v>230</v>
      </c>
      <c r="E25" s="82"/>
      <c r="F25" s="270" t="s">
        <v>338</v>
      </c>
      <c r="G25" s="270" t="s">
        <v>377</v>
      </c>
      <c r="H25" s="280" t="s">
        <v>381</v>
      </c>
      <c r="I25" s="90" t="s">
        <v>147</v>
      </c>
      <c r="J25" s="82"/>
      <c r="K25" s="231"/>
    </row>
    <row r="26" spans="1:11" x14ac:dyDescent="0.25">
      <c r="A26" s="91"/>
      <c r="B26" s="82"/>
      <c r="C26" s="124"/>
      <c r="D26" s="151" t="s">
        <v>379</v>
      </c>
      <c r="E26" s="151" t="s">
        <v>380</v>
      </c>
      <c r="F26" s="82"/>
      <c r="G26" s="82"/>
      <c r="H26" s="83"/>
      <c r="I26" s="90"/>
      <c r="J26" s="82"/>
      <c r="K26" s="231"/>
    </row>
    <row r="27" spans="1:11" x14ac:dyDescent="0.25">
      <c r="A27" s="5"/>
      <c r="B27" s="6"/>
      <c r="C27" s="6"/>
      <c r="D27" s="6"/>
      <c r="E27" s="6"/>
      <c r="F27" s="6"/>
      <c r="G27" s="6"/>
      <c r="H27" s="7"/>
      <c r="I27" s="7"/>
      <c r="J27" s="140"/>
      <c r="K27" s="232"/>
    </row>
    <row r="28" spans="1:11" x14ac:dyDescent="0.25">
      <c r="D28" s="17">
        <f>SUM(D3:D27)</f>
        <v>4610</v>
      </c>
      <c r="E28" s="13"/>
      <c r="F28" s="13"/>
      <c r="G28" s="13">
        <f>AVERAGE(G3:G26)</f>
        <v>36.79</v>
      </c>
      <c r="J28" s="139">
        <f>SUM(J3:J27)</f>
        <v>0</v>
      </c>
      <c r="K28" s="233">
        <f>SUM(K3:K27)</f>
        <v>0</v>
      </c>
    </row>
    <row r="33" spans="2:11 16384:16384" x14ac:dyDescent="0.25">
      <c r="D33" s="11"/>
    </row>
    <row r="34" spans="2:11 16384:16384" x14ac:dyDescent="0.25">
      <c r="D34" s="11"/>
    </row>
    <row r="35" spans="2:11 16384:16384" x14ac:dyDescent="0.25">
      <c r="D35" s="11"/>
    </row>
    <row r="36" spans="2:11 16384:16384" x14ac:dyDescent="0.25">
      <c r="B36">
        <v>-2000</v>
      </c>
      <c r="C36" t="s">
        <v>13</v>
      </c>
      <c r="D36" s="11"/>
      <c r="XFD36">
        <f>SUM(A36:XFC36)</f>
        <v>-2000</v>
      </c>
    </row>
    <row r="37" spans="2:11 16384:16384" x14ac:dyDescent="0.25">
      <c r="B37">
        <v>1200</v>
      </c>
      <c r="C37" s="11" t="s">
        <v>74</v>
      </c>
      <c r="D37" s="11"/>
      <c r="E37" s="11"/>
      <c r="F37" s="11"/>
      <c r="G37" s="11"/>
      <c r="K37" s="4"/>
    </row>
    <row r="38" spans="2:11 16384:16384" x14ac:dyDescent="0.25">
      <c r="B38" s="229">
        <v>-1200</v>
      </c>
      <c r="C38" s="11" t="s">
        <v>93</v>
      </c>
      <c r="D38" s="11"/>
      <c r="E38" s="11"/>
      <c r="F38" s="11"/>
      <c r="G38" s="11"/>
      <c r="K38" s="4"/>
    </row>
    <row r="39" spans="2:11 16384:16384" x14ac:dyDescent="0.25">
      <c r="B39" s="230">
        <v>1200</v>
      </c>
      <c r="C39" s="11" t="s">
        <v>12</v>
      </c>
      <c r="D39" s="11">
        <v>45066</v>
      </c>
      <c r="E39" s="11"/>
      <c r="F39" s="11"/>
      <c r="G39" s="11"/>
      <c r="K39" s="4"/>
    </row>
    <row r="40" spans="2:11 16384:16384" x14ac:dyDescent="0.25">
      <c r="B40" s="230">
        <v>-1200</v>
      </c>
      <c r="C40" s="11" t="s">
        <v>13</v>
      </c>
      <c r="D40" s="11">
        <v>45066</v>
      </c>
      <c r="E40" s="11"/>
      <c r="F40" s="11"/>
      <c r="G40" s="11"/>
      <c r="K40" s="4"/>
    </row>
    <row r="41" spans="2:11 16384:16384" x14ac:dyDescent="0.25">
      <c r="B41" s="230">
        <v>1200</v>
      </c>
      <c r="C41" s="11" t="s">
        <v>74</v>
      </c>
      <c r="D41" s="11"/>
      <c r="E41" s="11"/>
      <c r="F41" s="11"/>
      <c r="G41" s="11"/>
      <c r="K41" s="4"/>
    </row>
    <row r="42" spans="2:11 16384:16384" x14ac:dyDescent="0.25">
      <c r="B42" s="230">
        <v>-1200</v>
      </c>
      <c r="C42" s="11" t="s">
        <v>93</v>
      </c>
      <c r="D42" s="11">
        <v>45098</v>
      </c>
      <c r="E42" s="11"/>
      <c r="F42" s="11"/>
      <c r="G42" s="11"/>
      <c r="K42" s="4"/>
    </row>
    <row r="43" spans="2:11 16384:16384" x14ac:dyDescent="0.25">
      <c r="B43" s="230">
        <v>1200</v>
      </c>
      <c r="C43" s="11" t="s">
        <v>74</v>
      </c>
      <c r="D43" s="11">
        <v>45108</v>
      </c>
      <c r="E43" s="11"/>
      <c r="F43" s="11"/>
      <c r="G43" s="11"/>
      <c r="K43" s="4"/>
    </row>
    <row r="44" spans="2:11 16384:16384" x14ac:dyDescent="0.25">
      <c r="B44" s="230">
        <v>-1200</v>
      </c>
      <c r="C44" s="11" t="s">
        <v>93</v>
      </c>
      <c r="D44" s="11">
        <v>45108</v>
      </c>
      <c r="E44" s="11"/>
      <c r="F44" s="11"/>
      <c r="G44" s="11"/>
      <c r="K44" s="4"/>
    </row>
    <row r="45" spans="2:11 16384:16384" x14ac:dyDescent="0.25">
      <c r="B45" s="230">
        <v>2400</v>
      </c>
      <c r="C45" s="11" t="s">
        <v>12</v>
      </c>
      <c r="D45" s="11">
        <v>45117</v>
      </c>
      <c r="E45" s="11"/>
      <c r="F45" s="11"/>
      <c r="G45" s="11"/>
      <c r="K45" s="4"/>
    </row>
    <row r="46" spans="2:11 16384:16384" x14ac:dyDescent="0.25">
      <c r="B46" s="230">
        <v>-2400</v>
      </c>
      <c r="C46" s="11" t="s">
        <v>93</v>
      </c>
      <c r="D46" s="11">
        <v>45117</v>
      </c>
      <c r="E46" s="11"/>
      <c r="F46" s="11"/>
      <c r="G46" s="11"/>
      <c r="K46" s="4"/>
    </row>
    <row r="47" spans="2:11 16384:16384" x14ac:dyDescent="0.25">
      <c r="B47" s="230">
        <v>1200</v>
      </c>
      <c r="C47" s="11" t="s">
        <v>12</v>
      </c>
      <c r="D47" s="11">
        <v>45122</v>
      </c>
      <c r="E47" s="11"/>
      <c r="F47" s="11"/>
      <c r="G47" s="11"/>
      <c r="K47" s="4"/>
    </row>
    <row r="48" spans="2:11 16384:16384" x14ac:dyDescent="0.25">
      <c r="B48" s="230">
        <v>-1200</v>
      </c>
      <c r="C48" s="11" t="s">
        <v>93</v>
      </c>
      <c r="D48" s="11"/>
      <c r="E48" s="11"/>
      <c r="F48" s="11"/>
      <c r="G48" s="11"/>
      <c r="K48" s="4"/>
    </row>
    <row r="49" spans="2:11" x14ac:dyDescent="0.25">
      <c r="B49" s="230">
        <v>1600</v>
      </c>
      <c r="C49" s="11" t="s">
        <v>74</v>
      </c>
      <c r="D49" s="11"/>
      <c r="E49" s="11"/>
      <c r="F49" s="11"/>
      <c r="G49" s="11"/>
      <c r="K49" s="4"/>
    </row>
    <row r="50" spans="2:11" x14ac:dyDescent="0.25">
      <c r="B50" s="230">
        <v>1600</v>
      </c>
      <c r="C50" s="11" t="s">
        <v>12</v>
      </c>
      <c r="D50" s="11">
        <v>45164</v>
      </c>
      <c r="E50" s="11"/>
      <c r="F50" s="11"/>
      <c r="G50" s="11"/>
      <c r="K50" s="4"/>
    </row>
    <row r="51" spans="2:11" x14ac:dyDescent="0.25">
      <c r="B51" s="230">
        <v>-3200</v>
      </c>
      <c r="C51" s="11" t="s">
        <v>93</v>
      </c>
      <c r="D51" s="11">
        <v>45164</v>
      </c>
      <c r="E51" s="11"/>
      <c r="F51" s="11"/>
      <c r="G51" s="11"/>
      <c r="K51" s="4"/>
    </row>
    <row r="52" spans="2:11" x14ac:dyDescent="0.25">
      <c r="B52" s="230">
        <v>800</v>
      </c>
      <c r="C52" s="11" t="s">
        <v>12</v>
      </c>
      <c r="D52" s="11">
        <v>45210</v>
      </c>
      <c r="E52" s="11"/>
      <c r="F52" s="11"/>
      <c r="G52" s="11"/>
      <c r="K52" s="4"/>
    </row>
    <row r="53" spans="2:11" x14ac:dyDescent="0.25">
      <c r="B53" s="230">
        <v>-800</v>
      </c>
      <c r="C53" s="11" t="s">
        <v>13</v>
      </c>
      <c r="D53" s="11"/>
      <c r="E53" s="11"/>
      <c r="F53" s="11"/>
      <c r="G53" s="11"/>
      <c r="K53" s="4"/>
    </row>
    <row r="54" spans="2:11" x14ac:dyDescent="0.25">
      <c r="B54" s="230">
        <v>-30000</v>
      </c>
      <c r="C54" s="11" t="s">
        <v>93</v>
      </c>
      <c r="D54" s="11">
        <v>45306</v>
      </c>
      <c r="E54" s="11"/>
      <c r="F54" s="11"/>
      <c r="G54" s="11"/>
      <c r="K54" s="4"/>
    </row>
    <row r="55" spans="2:11" x14ac:dyDescent="0.25">
      <c r="B55" s="230">
        <v>16500</v>
      </c>
      <c r="C55" s="11" t="s">
        <v>12</v>
      </c>
      <c r="D55" s="11">
        <v>45309</v>
      </c>
      <c r="E55" s="11"/>
      <c r="F55" s="11"/>
      <c r="G55" s="11"/>
      <c r="K55" s="4"/>
    </row>
    <row r="56" spans="2:11" x14ac:dyDescent="0.25">
      <c r="B56" s="230">
        <v>7000</v>
      </c>
      <c r="C56" s="11" t="s">
        <v>95</v>
      </c>
      <c r="D56" s="11">
        <v>45366</v>
      </c>
      <c r="E56" s="11"/>
      <c r="F56" s="11"/>
      <c r="G56" s="11"/>
      <c r="K56" s="4"/>
    </row>
    <row r="57" spans="2:11" x14ac:dyDescent="0.25">
      <c r="B57" s="230">
        <v>4000</v>
      </c>
      <c r="C57" s="11" t="s">
        <v>141</v>
      </c>
      <c r="D57" s="11">
        <v>45404</v>
      </c>
      <c r="E57" s="11"/>
      <c r="F57" s="11"/>
      <c r="G57" s="11"/>
      <c r="K57" s="4"/>
    </row>
    <row r="58" spans="2:11" x14ac:dyDescent="0.25">
      <c r="B58" s="230">
        <v>-4000</v>
      </c>
      <c r="C58" s="11" t="s">
        <v>93</v>
      </c>
      <c r="D58" s="11">
        <v>45404</v>
      </c>
      <c r="E58" s="11"/>
      <c r="F58" s="11"/>
      <c r="G58" s="11"/>
      <c r="K58" s="4"/>
    </row>
    <row r="59" spans="2:11" x14ac:dyDescent="0.25">
      <c r="B59" s="230">
        <v>-1000</v>
      </c>
      <c r="C59" s="11" t="s">
        <v>190</v>
      </c>
      <c r="D59" s="11">
        <v>45499</v>
      </c>
      <c r="E59" s="11"/>
      <c r="F59" s="11"/>
      <c r="G59" s="11"/>
      <c r="K59" s="4"/>
    </row>
    <row r="60" spans="2:11" x14ac:dyDescent="0.25">
      <c r="B60" s="230">
        <v>4700</v>
      </c>
      <c r="C60" s="11" t="s">
        <v>74</v>
      </c>
      <c r="D60" s="11">
        <v>45586</v>
      </c>
      <c r="E60" s="11"/>
      <c r="F60" s="11"/>
      <c r="G60" s="11"/>
      <c r="K60" s="4"/>
    </row>
    <row r="61" spans="2:11" x14ac:dyDescent="0.25">
      <c r="B61" s="230">
        <v>-5000</v>
      </c>
      <c r="C61" s="11" t="s">
        <v>93</v>
      </c>
      <c r="D61" s="11">
        <v>45586</v>
      </c>
      <c r="E61" s="11"/>
      <c r="F61" s="11"/>
      <c r="G61" s="11"/>
      <c r="K61" s="4"/>
    </row>
    <row r="62" spans="2:11" x14ac:dyDescent="0.25">
      <c r="B62" s="230">
        <v>65900</v>
      </c>
      <c r="C62" s="11" t="s">
        <v>74</v>
      </c>
      <c r="D62" s="11"/>
      <c r="E62" s="11"/>
      <c r="F62" s="11"/>
      <c r="G62" s="11"/>
      <c r="K62" s="4"/>
    </row>
    <row r="63" spans="2:11" x14ac:dyDescent="0.25">
      <c r="B63" s="230">
        <v>-66000</v>
      </c>
      <c r="C63" s="11" t="s">
        <v>93</v>
      </c>
      <c r="D63" s="11"/>
      <c r="E63" s="11"/>
      <c r="F63" s="11"/>
      <c r="G63" s="11"/>
      <c r="K63" s="4"/>
    </row>
    <row r="64" spans="2:11" x14ac:dyDescent="0.25">
      <c r="B64" s="230">
        <v>1800</v>
      </c>
      <c r="C64" s="11" t="s">
        <v>138</v>
      </c>
      <c r="D64" s="11">
        <v>45894</v>
      </c>
      <c r="E64" s="11"/>
      <c r="F64" s="11"/>
      <c r="G64" s="11"/>
      <c r="K64" s="4"/>
    </row>
    <row r="65" spans="2:11" x14ac:dyDescent="0.25">
      <c r="B65" s="230">
        <v>-2000</v>
      </c>
      <c r="C65" s="11" t="s">
        <v>13</v>
      </c>
      <c r="D65" s="11">
        <v>45894</v>
      </c>
      <c r="E65" s="11"/>
      <c r="F65" s="11"/>
      <c r="G65" s="11"/>
      <c r="K65" s="4"/>
    </row>
    <row r="66" spans="2:11" x14ac:dyDescent="0.25">
      <c r="B66" s="230">
        <v>4000</v>
      </c>
      <c r="C66" s="11" t="s">
        <v>138</v>
      </c>
      <c r="D66" s="11">
        <v>45922</v>
      </c>
      <c r="E66" s="11"/>
      <c r="F66" s="11"/>
      <c r="G66" s="11"/>
      <c r="K66" s="4"/>
    </row>
    <row r="67" spans="2:11" x14ac:dyDescent="0.25">
      <c r="B67" s="230">
        <v>-4000</v>
      </c>
      <c r="C67" s="11" t="s">
        <v>71</v>
      </c>
      <c r="D67" s="11">
        <v>45922</v>
      </c>
      <c r="E67" s="11"/>
      <c r="F67" s="11"/>
      <c r="G67" s="11"/>
      <c r="K67" s="4"/>
    </row>
    <row r="68" spans="2:11" ht="14.25" customHeight="1" x14ac:dyDescent="0.25">
      <c r="B68" s="230"/>
      <c r="C68" s="11"/>
      <c r="D68" s="11"/>
      <c r="E68" s="11"/>
      <c r="F68" s="11"/>
      <c r="G68" s="11"/>
      <c r="K68" s="4"/>
    </row>
    <row r="69" spans="2:11" x14ac:dyDescent="0.25">
      <c r="B69" s="135">
        <f>SUM(B36:B67)</f>
        <v>-10100</v>
      </c>
      <c r="C69" s="11">
        <v>45922</v>
      </c>
      <c r="D69" s="11"/>
      <c r="E69" s="11"/>
      <c r="F69" s="11"/>
      <c r="G69" s="11"/>
      <c r="K69" s="4"/>
    </row>
    <row r="70" spans="2:11" x14ac:dyDescent="0.25">
      <c r="B70" s="11"/>
      <c r="D70" s="11"/>
      <c r="E70" s="11"/>
      <c r="F70" s="11"/>
      <c r="G70" s="11"/>
      <c r="K70" s="4"/>
    </row>
    <row r="71" spans="2:11" x14ac:dyDescent="0.25">
      <c r="B71" s="11"/>
      <c r="E71" s="11"/>
      <c r="F71" s="11"/>
      <c r="G71" s="11"/>
      <c r="K71" s="4"/>
    </row>
    <row r="72" spans="2:11" x14ac:dyDescent="0.25">
      <c r="B72" s="11"/>
      <c r="E72" s="11"/>
      <c r="F72" s="11"/>
      <c r="G72" s="11"/>
      <c r="K72" s="4"/>
    </row>
    <row r="73" spans="2:11" x14ac:dyDescent="0.25">
      <c r="B73" s="11"/>
      <c r="E73" s="11"/>
      <c r="F73" s="11"/>
      <c r="G73" s="11"/>
      <c r="K73" s="4"/>
    </row>
    <row r="74" spans="2:11" x14ac:dyDescent="0.25">
      <c r="B74" s="11"/>
      <c r="C74" s="11"/>
      <c r="E74" s="11"/>
      <c r="F74" s="11"/>
      <c r="G74" s="11"/>
      <c r="K74" s="4"/>
    </row>
    <row r="75" spans="2:11" x14ac:dyDescent="0.25">
      <c r="B75" s="11"/>
      <c r="E75" s="4"/>
      <c r="K75" s="4"/>
    </row>
    <row r="76" spans="2:11" x14ac:dyDescent="0.25">
      <c r="B76" s="11"/>
      <c r="F76" s="11"/>
      <c r="G76" s="11"/>
      <c r="I76" s="173"/>
      <c r="K76" s="4"/>
    </row>
    <row r="77" spans="2:11" x14ac:dyDescent="0.25">
      <c r="B77" s="11"/>
      <c r="E77" s="11"/>
      <c r="F77" s="11"/>
      <c r="G77" s="11"/>
      <c r="K77" s="4"/>
    </row>
    <row r="78" spans="2:11" x14ac:dyDescent="0.25">
      <c r="B78" s="11"/>
      <c r="K78" s="4"/>
    </row>
    <row r="79" spans="2:11" x14ac:dyDescent="0.25">
      <c r="B79" s="11"/>
      <c r="E79" s="11"/>
      <c r="F79" s="11"/>
      <c r="G79" s="11"/>
      <c r="K79" s="4"/>
    </row>
    <row r="80" spans="2:11" x14ac:dyDescent="0.25">
      <c r="B80" s="11"/>
      <c r="I80" s="4"/>
    </row>
    <row r="81" spans="2:11" x14ac:dyDescent="0.25">
      <c r="B81" s="11"/>
      <c r="E81" s="11"/>
      <c r="F81" s="11"/>
      <c r="G81" s="11"/>
      <c r="K81" s="4"/>
    </row>
    <row r="82" spans="2:11" x14ac:dyDescent="0.25">
      <c r="B82" s="11"/>
      <c r="E82" s="11"/>
      <c r="F82" s="11"/>
      <c r="G82" s="11"/>
      <c r="K82" s="4"/>
    </row>
    <row r="83" spans="2:11" x14ac:dyDescent="0.25">
      <c r="B83" s="11"/>
      <c r="E83" s="11"/>
      <c r="F83" s="11"/>
      <c r="G83" s="11"/>
      <c r="K83" s="4"/>
    </row>
    <row r="84" spans="2:11" x14ac:dyDescent="0.25">
      <c r="B84" s="11"/>
      <c r="E84" s="11"/>
      <c r="F84" s="11"/>
      <c r="G84" s="11"/>
      <c r="K84" s="4"/>
    </row>
    <row r="85" spans="2:11" x14ac:dyDescent="0.25">
      <c r="B85" s="11"/>
      <c r="E85" s="11"/>
      <c r="F85" s="11"/>
      <c r="G85" s="11"/>
      <c r="K85" s="4"/>
    </row>
    <row r="86" spans="2:11" x14ac:dyDescent="0.25">
      <c r="B86" s="11"/>
      <c r="D86" s="11"/>
      <c r="E86" s="11"/>
      <c r="F86" s="11"/>
      <c r="G86" s="11"/>
      <c r="K86" s="4"/>
    </row>
    <row r="87" spans="2:11" x14ac:dyDescent="0.25">
      <c r="B87" s="11"/>
      <c r="E87" s="11"/>
      <c r="F87" s="11"/>
      <c r="G87" s="11"/>
      <c r="K87" s="4"/>
    </row>
    <row r="88" spans="2:11" x14ac:dyDescent="0.25">
      <c r="B88" s="11"/>
      <c r="E88" s="11"/>
      <c r="F88" s="11"/>
      <c r="G88" s="11"/>
      <c r="K88" s="4"/>
    </row>
    <row r="89" spans="2:11" x14ac:dyDescent="0.25">
      <c r="B89" s="11"/>
      <c r="E89" s="11"/>
      <c r="F89" s="11"/>
      <c r="G89" s="11"/>
      <c r="K89" s="4"/>
    </row>
    <row r="90" spans="2:11" x14ac:dyDescent="0.25">
      <c r="B90" s="11"/>
      <c r="E90" s="11"/>
      <c r="F90" s="11"/>
      <c r="G90" s="11"/>
      <c r="K90" s="4"/>
    </row>
    <row r="91" spans="2:11" x14ac:dyDescent="0.25">
      <c r="B91" s="11"/>
      <c r="E91" s="11"/>
      <c r="F91" s="11"/>
      <c r="G91" s="11"/>
      <c r="K91" s="4"/>
    </row>
    <row r="92" spans="2:11" x14ac:dyDescent="0.25">
      <c r="B92" s="11"/>
      <c r="E92" s="11"/>
      <c r="F92" s="11"/>
      <c r="G92" s="11"/>
      <c r="K92" s="4"/>
    </row>
    <row r="93" spans="2:11" x14ac:dyDescent="0.25">
      <c r="B93" s="11"/>
      <c r="E93" s="11"/>
      <c r="F93" s="11"/>
      <c r="G93" s="11"/>
    </row>
    <row r="94" spans="2:11" x14ac:dyDescent="0.25">
      <c r="B94" s="11"/>
      <c r="E94" s="11"/>
      <c r="F94" s="11"/>
      <c r="G94" s="11"/>
    </row>
    <row r="95" spans="2:11" x14ac:dyDescent="0.25">
      <c r="B95" s="11"/>
      <c r="E95" s="11"/>
      <c r="F95" s="11"/>
      <c r="G95" s="11"/>
    </row>
    <row r="96" spans="2:11" x14ac:dyDescent="0.25">
      <c r="B96" s="11"/>
      <c r="E96" s="11"/>
      <c r="F96" s="11"/>
      <c r="G96" s="11"/>
    </row>
    <row r="97" spans="2:7" x14ac:dyDescent="0.25">
      <c r="B97" s="11"/>
      <c r="E97" s="11"/>
      <c r="F97" s="11"/>
      <c r="G97" s="11"/>
    </row>
    <row r="98" spans="2:7" x14ac:dyDescent="0.25">
      <c r="B98" s="11"/>
      <c r="E98" s="11"/>
      <c r="F98" s="11"/>
      <c r="G98" s="11"/>
    </row>
    <row r="99" spans="2:7" x14ac:dyDescent="0.25">
      <c r="B99" s="11"/>
      <c r="E99" s="11"/>
      <c r="F99" s="11"/>
      <c r="G99" s="11"/>
    </row>
    <row r="100" spans="2:7" x14ac:dyDescent="0.25">
      <c r="B100" s="11"/>
      <c r="E100" s="11"/>
      <c r="F100" s="11"/>
      <c r="G100" s="11"/>
    </row>
    <row r="101" spans="2:7" x14ac:dyDescent="0.25">
      <c r="B101" s="11"/>
      <c r="E101" s="11"/>
      <c r="F101" s="11"/>
      <c r="G101" s="11"/>
    </row>
    <row r="102" spans="2:7" x14ac:dyDescent="0.25">
      <c r="B102" s="11"/>
      <c r="E102" s="11"/>
      <c r="F102" s="11"/>
      <c r="G102" s="11"/>
    </row>
    <row r="103" spans="2:7" x14ac:dyDescent="0.25">
      <c r="B103" s="11"/>
      <c r="E103" s="11"/>
      <c r="F103" s="11"/>
      <c r="G103" s="11"/>
    </row>
    <row r="104" spans="2:7" x14ac:dyDescent="0.25">
      <c r="B104" s="11"/>
      <c r="E104" s="11"/>
      <c r="F104" s="11"/>
      <c r="G104" s="11"/>
    </row>
    <row r="105" spans="2:7" x14ac:dyDescent="0.25">
      <c r="B105" s="11"/>
      <c r="E105" s="11"/>
      <c r="F105" s="11"/>
      <c r="G105" s="11"/>
    </row>
    <row r="106" spans="2:7" x14ac:dyDescent="0.25">
      <c r="B106" s="11"/>
      <c r="E106" s="11"/>
      <c r="F106" s="11"/>
      <c r="G106" s="11"/>
    </row>
    <row r="107" spans="2:7" x14ac:dyDescent="0.25">
      <c r="B107" s="11"/>
      <c r="E107" s="11"/>
      <c r="F107" s="11"/>
      <c r="G107" s="11"/>
    </row>
    <row r="108" spans="2:7" x14ac:dyDescent="0.25">
      <c r="B108" s="11"/>
      <c r="E108" s="11"/>
      <c r="F108" s="11"/>
      <c r="G108" s="11"/>
    </row>
    <row r="109" spans="2:7" x14ac:dyDescent="0.25">
      <c r="B109" s="11"/>
      <c r="E109" s="11"/>
      <c r="F109" s="11"/>
      <c r="G109" s="11"/>
    </row>
    <row r="110" spans="2:7" x14ac:dyDescent="0.25">
      <c r="E110" s="11"/>
      <c r="F110" s="11"/>
      <c r="G110" s="11"/>
    </row>
    <row r="111" spans="2:7" x14ac:dyDescent="0.25">
      <c r="E111" s="11"/>
      <c r="F111" s="11"/>
      <c r="G111" s="11"/>
    </row>
    <row r="112" spans="2:7" x14ac:dyDescent="0.25">
      <c r="E112" s="11"/>
      <c r="F112" s="11"/>
      <c r="G112" s="11"/>
    </row>
    <row r="113" spans="5:7" x14ac:dyDescent="0.25">
      <c r="E113" s="11"/>
      <c r="F113" s="11"/>
      <c r="G113" s="11"/>
    </row>
    <row r="114" spans="5:7" x14ac:dyDescent="0.25">
      <c r="E114" s="11"/>
      <c r="F114" s="11"/>
      <c r="G114" s="11"/>
    </row>
    <row r="115" spans="5:7" x14ac:dyDescent="0.25">
      <c r="E115" s="11"/>
      <c r="F115" s="11"/>
      <c r="G115" s="11"/>
    </row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75"/>
  <sheetViews>
    <sheetView topLeftCell="A37" zoomScale="110" zoomScaleNormal="110" workbookViewId="0">
      <selection activeCell="A4" sqref="A4:XFD11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3.4257812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/>
      <c r="B3" s="236"/>
      <c r="C3" s="124"/>
      <c r="D3" s="82"/>
      <c r="E3" s="82"/>
      <c r="F3" s="82"/>
      <c r="G3" s="82"/>
      <c r="H3" s="123"/>
      <c r="I3" s="90"/>
      <c r="J3" s="237"/>
      <c r="K3" s="220"/>
    </row>
    <row r="4" spans="1:11" x14ac:dyDescent="0.25">
      <c r="A4" s="179"/>
      <c r="B4" s="236"/>
      <c r="C4" s="124"/>
      <c r="D4" s="82"/>
      <c r="E4" s="82"/>
      <c r="F4" s="82"/>
      <c r="G4" s="82"/>
      <c r="H4" s="123"/>
      <c r="I4" s="90"/>
      <c r="J4" s="237"/>
      <c r="K4" s="220"/>
    </row>
    <row r="5" spans="1:11" x14ac:dyDescent="0.25">
      <c r="A5" s="179"/>
      <c r="B5" s="236"/>
      <c r="C5" s="124"/>
      <c r="D5" s="82"/>
      <c r="E5" s="82"/>
      <c r="F5" s="82"/>
      <c r="G5" s="82"/>
      <c r="H5" s="123"/>
      <c r="I5" s="90"/>
      <c r="J5" s="237"/>
      <c r="K5" s="220"/>
    </row>
    <row r="6" spans="1:11" x14ac:dyDescent="0.25">
      <c r="A6" s="179"/>
      <c r="B6" s="236"/>
      <c r="C6" s="124"/>
      <c r="D6" s="82"/>
      <c r="E6" s="82"/>
      <c r="F6" s="82"/>
      <c r="G6" s="82"/>
      <c r="H6" s="123"/>
      <c r="I6" s="90"/>
      <c r="J6" s="237"/>
      <c r="K6" s="220"/>
    </row>
    <row r="7" spans="1:11" x14ac:dyDescent="0.25">
      <c r="A7" s="179"/>
      <c r="B7" s="236"/>
      <c r="C7" s="124"/>
      <c r="D7" s="82"/>
      <c r="E7" s="82"/>
      <c r="F7" s="82"/>
      <c r="G7" s="82"/>
      <c r="H7" s="123"/>
      <c r="I7" s="90"/>
      <c r="J7" s="237"/>
      <c r="K7" s="220"/>
    </row>
    <row r="8" spans="1:11" x14ac:dyDescent="0.25">
      <c r="A8" s="179"/>
      <c r="B8" s="236"/>
      <c r="C8" s="124"/>
      <c r="D8" s="82"/>
      <c r="E8" s="82"/>
      <c r="F8" s="82"/>
      <c r="G8" s="82"/>
      <c r="H8" s="123"/>
      <c r="I8" s="90"/>
      <c r="J8" s="237"/>
      <c r="K8" s="220"/>
    </row>
    <row r="9" spans="1:11" x14ac:dyDescent="0.25">
      <c r="A9" s="179"/>
      <c r="B9" s="236"/>
      <c r="C9" s="124"/>
      <c r="D9" s="82"/>
      <c r="E9" s="82"/>
      <c r="F9" s="82"/>
      <c r="G9" s="82"/>
      <c r="H9" s="123"/>
      <c r="I9" s="90"/>
      <c r="J9" s="237"/>
      <c r="K9" s="220"/>
    </row>
    <row r="10" spans="1:11" x14ac:dyDescent="0.25">
      <c r="A10" s="179"/>
      <c r="B10" s="236"/>
      <c r="C10" s="124"/>
      <c r="D10" s="82"/>
      <c r="E10" s="82"/>
      <c r="F10" s="82"/>
      <c r="G10" s="82"/>
      <c r="H10" s="123"/>
      <c r="I10" s="90"/>
      <c r="J10" s="237"/>
      <c r="K10" s="220"/>
    </row>
    <row r="11" spans="1:11" x14ac:dyDescent="0.25">
      <c r="A11" s="179"/>
      <c r="B11" s="236"/>
      <c r="C11" s="124"/>
      <c r="D11" s="82"/>
      <c r="E11" s="82"/>
      <c r="F11" s="82"/>
      <c r="G11" s="82"/>
      <c r="H11" s="123"/>
      <c r="I11" s="90"/>
      <c r="J11" s="237"/>
      <c r="K11" s="220"/>
    </row>
    <row r="12" spans="1:11" x14ac:dyDescent="0.25">
      <c r="A12" s="179"/>
      <c r="B12" s="236"/>
      <c r="C12" s="124"/>
      <c r="D12" s="82"/>
      <c r="E12" s="82"/>
      <c r="F12" s="82"/>
      <c r="G12" s="82"/>
      <c r="H12" s="123"/>
      <c r="I12" s="90"/>
      <c r="J12" s="237"/>
      <c r="K12" s="220"/>
    </row>
    <row r="13" spans="1:11" x14ac:dyDescent="0.25">
      <c r="A13" s="179"/>
      <c r="B13" s="236"/>
      <c r="C13" s="124"/>
      <c r="D13" s="82"/>
      <c r="E13" s="82"/>
      <c r="F13" s="82"/>
      <c r="G13" s="82"/>
      <c r="H13" s="123"/>
      <c r="I13" s="90"/>
      <c r="J13" s="237"/>
      <c r="K13" s="220"/>
    </row>
    <row r="14" spans="1:11" x14ac:dyDescent="0.25">
      <c r="A14" s="179"/>
      <c r="B14" s="236"/>
      <c r="C14" s="124"/>
      <c r="D14" s="82"/>
      <c r="E14" s="82"/>
      <c r="F14" s="82"/>
      <c r="G14" s="82"/>
      <c r="H14" s="123"/>
      <c r="I14" s="90"/>
      <c r="J14" s="237"/>
      <c r="K14" s="220"/>
    </row>
    <row r="15" spans="1:11" x14ac:dyDescent="0.25">
      <c r="A15" s="179"/>
      <c r="B15" s="236"/>
      <c r="C15" s="124"/>
      <c r="D15" s="82"/>
      <c r="E15" s="82"/>
      <c r="F15" s="82"/>
      <c r="G15" s="82"/>
      <c r="H15" s="123"/>
      <c r="I15" s="90"/>
      <c r="J15" s="237"/>
      <c r="K15" s="220"/>
    </row>
    <row r="16" spans="1:11" x14ac:dyDescent="0.25">
      <c r="A16" s="179"/>
      <c r="B16" s="236"/>
      <c r="C16" s="124"/>
      <c r="D16" s="82"/>
      <c r="E16" s="82"/>
      <c r="F16" s="82"/>
      <c r="G16" s="82"/>
      <c r="H16" s="123"/>
      <c r="I16" s="90"/>
      <c r="J16" s="237"/>
      <c r="K16" s="220"/>
    </row>
    <row r="17" spans="1:11" x14ac:dyDescent="0.25">
      <c r="A17" s="179"/>
      <c r="B17" s="236"/>
      <c r="C17" s="124"/>
      <c r="D17" s="82"/>
      <c r="E17" s="82"/>
      <c r="F17" s="82"/>
      <c r="G17" s="82"/>
      <c r="H17" s="123"/>
      <c r="I17" s="90"/>
      <c r="J17" s="237"/>
      <c r="K17" s="220"/>
    </row>
    <row r="18" spans="1:11" x14ac:dyDescent="0.25">
      <c r="A18" s="179"/>
      <c r="B18" s="236"/>
      <c r="C18" s="124"/>
      <c r="D18" s="82"/>
      <c r="E18" s="82"/>
      <c r="F18" s="82"/>
      <c r="G18" s="82"/>
      <c r="H18" s="123"/>
      <c r="I18" s="90"/>
      <c r="J18" s="237"/>
      <c r="K18" s="220"/>
    </row>
    <row r="19" spans="1:11" x14ac:dyDescent="0.25">
      <c r="A19" s="179"/>
      <c r="B19" s="236"/>
      <c r="C19" s="124"/>
      <c r="D19" s="82"/>
      <c r="E19" s="82"/>
      <c r="F19" s="82"/>
      <c r="G19" s="82"/>
      <c r="H19" s="123"/>
      <c r="I19" s="90"/>
      <c r="J19" s="237"/>
      <c r="K19" s="220"/>
    </row>
    <row r="20" spans="1:11" x14ac:dyDescent="0.25">
      <c r="A20" s="179"/>
      <c r="B20" s="236"/>
      <c r="C20" s="124"/>
      <c r="D20" s="82"/>
      <c r="E20" s="82"/>
      <c r="F20" s="82"/>
      <c r="G20" s="82"/>
      <c r="H20" s="128"/>
      <c r="I20" s="90"/>
      <c r="J20" s="237"/>
      <c r="K20" s="220"/>
    </row>
    <row r="21" spans="1:11" x14ac:dyDescent="0.25">
      <c r="A21" s="179"/>
      <c r="B21" s="236"/>
      <c r="C21" s="124"/>
      <c r="D21" s="82"/>
      <c r="E21" s="82"/>
      <c r="F21" s="82"/>
      <c r="G21" s="82"/>
      <c r="H21" s="128"/>
      <c r="I21" s="90"/>
      <c r="J21" s="237"/>
      <c r="K21" s="220"/>
    </row>
    <row r="22" spans="1:11" x14ac:dyDescent="0.25">
      <c r="A22" s="179"/>
      <c r="B22" s="236"/>
      <c r="C22" s="124"/>
      <c r="D22" s="82"/>
      <c r="E22" s="82"/>
      <c r="F22" s="82"/>
      <c r="G22" s="82"/>
      <c r="H22" s="128"/>
      <c r="I22" s="90"/>
      <c r="J22" s="237"/>
      <c r="K22" s="220"/>
    </row>
    <row r="23" spans="1:11" x14ac:dyDescent="0.25">
      <c r="A23" s="179"/>
      <c r="B23" s="236"/>
      <c r="C23" s="124"/>
      <c r="D23" s="82"/>
      <c r="E23" s="82"/>
      <c r="F23" s="82"/>
      <c r="G23" s="82"/>
      <c r="H23" s="128"/>
      <c r="I23" s="90"/>
      <c r="J23" s="237"/>
      <c r="K23" s="220"/>
    </row>
    <row r="24" spans="1:11" x14ac:dyDescent="0.25">
      <c r="A24" s="179"/>
      <c r="B24" s="236"/>
      <c r="C24" s="124"/>
      <c r="D24" s="82"/>
      <c r="E24" s="82"/>
      <c r="F24" s="82"/>
      <c r="G24" s="82"/>
      <c r="H24" s="128"/>
      <c r="I24" s="90"/>
      <c r="J24" s="237"/>
      <c r="K24" s="220"/>
    </row>
    <row r="25" spans="1:11" x14ac:dyDescent="0.25">
      <c r="A25" s="179"/>
      <c r="B25" s="236"/>
      <c r="C25" s="124"/>
      <c r="D25" s="82"/>
      <c r="E25" s="82"/>
      <c r="F25" s="82"/>
      <c r="G25" s="82"/>
      <c r="H25" s="128"/>
      <c r="I25" s="90"/>
      <c r="J25" s="237"/>
      <c r="K25" s="220"/>
    </row>
    <row r="26" spans="1:11" x14ac:dyDescent="0.25">
      <c r="A26" s="179"/>
      <c r="B26" s="236"/>
      <c r="C26" s="124"/>
      <c r="D26" s="82"/>
      <c r="E26" s="82"/>
      <c r="F26" s="82"/>
      <c r="G26" s="82"/>
      <c r="H26" s="128"/>
      <c r="I26" s="90"/>
      <c r="J26" s="237"/>
      <c r="K26" s="220"/>
    </row>
    <row r="27" spans="1:11" x14ac:dyDescent="0.25">
      <c r="A27" s="179"/>
      <c r="B27" s="236"/>
      <c r="C27" s="124"/>
      <c r="D27" s="82"/>
      <c r="E27" s="82"/>
      <c r="F27" s="82"/>
      <c r="G27" s="82"/>
      <c r="H27" s="128"/>
      <c r="I27" s="90"/>
      <c r="J27" s="237"/>
      <c r="K27" s="220"/>
    </row>
    <row r="28" spans="1:11" x14ac:dyDescent="0.25">
      <c r="A28" s="179"/>
      <c r="B28" s="236"/>
      <c r="C28" s="124"/>
      <c r="D28" s="82"/>
      <c r="E28" s="82"/>
      <c r="F28" s="82"/>
      <c r="G28" s="82"/>
      <c r="H28" s="128"/>
      <c r="I28" s="90"/>
      <c r="J28" s="237"/>
      <c r="K28" s="220"/>
    </row>
    <row r="29" spans="1:11" x14ac:dyDescent="0.25">
      <c r="A29" s="179"/>
      <c r="B29" s="236"/>
      <c r="C29" s="124"/>
      <c r="D29" s="82"/>
      <c r="E29" s="82"/>
      <c r="F29" s="82"/>
      <c r="G29" s="82"/>
      <c r="H29" s="128"/>
      <c r="I29" s="90"/>
      <c r="J29" s="237"/>
      <c r="K29" s="220"/>
    </row>
    <row r="30" spans="1:11" x14ac:dyDescent="0.25">
      <c r="A30" s="179"/>
      <c r="B30" s="236"/>
      <c r="C30" s="124"/>
      <c r="D30" s="82"/>
      <c r="E30" s="82"/>
      <c r="F30" s="82"/>
      <c r="G30" s="82"/>
      <c r="H30" s="128"/>
      <c r="I30" s="90"/>
      <c r="J30" s="237"/>
      <c r="K30" s="220"/>
    </row>
    <row r="31" spans="1:11" x14ac:dyDescent="0.25">
      <c r="A31" s="179"/>
      <c r="B31" s="236"/>
      <c r="C31" s="124"/>
      <c r="D31" s="82"/>
      <c r="E31" s="82"/>
      <c r="F31" s="82"/>
      <c r="G31" s="82"/>
      <c r="H31" s="128"/>
      <c r="I31" s="90"/>
      <c r="J31" s="237"/>
      <c r="K31" s="220"/>
    </row>
    <row r="32" spans="1:11" x14ac:dyDescent="0.25">
      <c r="A32" s="179"/>
      <c r="B32" s="236"/>
      <c r="C32" s="124"/>
      <c r="D32" s="82"/>
      <c r="E32" s="82"/>
      <c r="F32" s="82"/>
      <c r="G32" s="82"/>
      <c r="H32" s="128"/>
      <c r="I32" s="90"/>
      <c r="J32" s="237"/>
      <c r="K32" s="220"/>
    </row>
    <row r="33" spans="1:11" x14ac:dyDescent="0.25">
      <c r="A33" s="179"/>
      <c r="B33" s="236"/>
      <c r="C33" s="124"/>
      <c r="D33" s="82"/>
      <c r="E33" s="82"/>
      <c r="F33" s="82"/>
      <c r="G33" s="82"/>
      <c r="H33" s="128"/>
      <c r="I33" s="90"/>
      <c r="J33" s="237"/>
      <c r="K33" s="220"/>
    </row>
    <row r="34" spans="1:11" x14ac:dyDescent="0.25">
      <c r="A34" s="179">
        <v>46111</v>
      </c>
      <c r="B34" s="236" t="s">
        <v>9</v>
      </c>
      <c r="C34" s="124" t="s">
        <v>288</v>
      </c>
      <c r="D34" s="82">
        <v>900</v>
      </c>
      <c r="E34" s="82"/>
      <c r="F34" s="82">
        <v>37.200000000000003</v>
      </c>
      <c r="G34" s="82"/>
      <c r="H34" s="123">
        <v>764216</v>
      </c>
      <c r="I34" s="90"/>
      <c r="J34" s="237"/>
      <c r="K34" s="220"/>
    </row>
    <row r="35" spans="1:11" x14ac:dyDescent="0.25">
      <c r="A35" s="179">
        <v>46116</v>
      </c>
      <c r="B35" s="236" t="s">
        <v>288</v>
      </c>
      <c r="C35" s="124" t="s">
        <v>10</v>
      </c>
      <c r="D35" s="82">
        <v>330</v>
      </c>
      <c r="E35" s="82"/>
      <c r="F35" s="82"/>
      <c r="G35" s="82"/>
      <c r="H35" s="128" t="s">
        <v>66</v>
      </c>
      <c r="I35" s="90"/>
      <c r="J35" s="237"/>
      <c r="K35" s="220"/>
    </row>
    <row r="36" spans="1:11" x14ac:dyDescent="0.25">
      <c r="A36" s="179">
        <v>46117</v>
      </c>
      <c r="B36" s="236" t="s">
        <v>10</v>
      </c>
      <c r="C36" s="124" t="s">
        <v>220</v>
      </c>
      <c r="D36" s="82">
        <v>300</v>
      </c>
      <c r="E36" s="82"/>
      <c r="F36" s="82"/>
      <c r="G36" s="82"/>
      <c r="H36" s="123">
        <v>278637</v>
      </c>
      <c r="I36" s="90"/>
      <c r="J36" s="237"/>
      <c r="K36" s="220"/>
    </row>
    <row r="37" spans="1:11" x14ac:dyDescent="0.25">
      <c r="A37" s="179">
        <v>46119</v>
      </c>
      <c r="B37" s="82" t="s">
        <v>220</v>
      </c>
      <c r="C37" s="124" t="s">
        <v>10</v>
      </c>
      <c r="D37" s="82">
        <v>300</v>
      </c>
      <c r="E37" s="82"/>
      <c r="F37" s="82"/>
      <c r="G37" s="82"/>
      <c r="H37" s="123">
        <v>895080</v>
      </c>
      <c r="I37" s="90"/>
      <c r="J37" s="237"/>
      <c r="K37" s="220"/>
    </row>
    <row r="38" spans="1:11" x14ac:dyDescent="0.25">
      <c r="A38" s="179">
        <v>46119</v>
      </c>
      <c r="B38" s="236" t="s">
        <v>10</v>
      </c>
      <c r="C38" s="124" t="s">
        <v>220</v>
      </c>
      <c r="D38" s="82">
        <v>300</v>
      </c>
      <c r="E38" s="82"/>
      <c r="F38" s="82"/>
      <c r="G38" s="82"/>
      <c r="H38" s="123">
        <v>278702</v>
      </c>
      <c r="I38" s="90"/>
      <c r="J38" s="237"/>
      <c r="K38" s="220"/>
    </row>
    <row r="39" spans="1:11" x14ac:dyDescent="0.25">
      <c r="A39" s="179">
        <v>46121</v>
      </c>
      <c r="B39" s="236" t="s">
        <v>220</v>
      </c>
      <c r="C39" s="124" t="s">
        <v>302</v>
      </c>
      <c r="D39" s="82">
        <v>610</v>
      </c>
      <c r="E39" s="82"/>
      <c r="F39" s="82"/>
      <c r="G39" s="82"/>
      <c r="H39" s="90">
        <v>895444</v>
      </c>
      <c r="I39" s="90"/>
      <c r="J39" s="237"/>
      <c r="K39" s="220">
        <v>1076388.3600000001</v>
      </c>
    </row>
    <row r="40" spans="1:11" x14ac:dyDescent="0.25">
      <c r="A40" s="179">
        <v>46122</v>
      </c>
      <c r="B40" s="236" t="s">
        <v>302</v>
      </c>
      <c r="C40" s="124" t="s">
        <v>9</v>
      </c>
      <c r="D40" s="82">
        <v>310</v>
      </c>
      <c r="E40" s="82"/>
      <c r="F40" s="82">
        <v>25.99</v>
      </c>
      <c r="G40" s="82"/>
      <c r="H40" s="83" t="s">
        <v>66</v>
      </c>
      <c r="I40" s="90"/>
      <c r="J40" s="237"/>
      <c r="K40" s="220"/>
    </row>
    <row r="41" spans="1:11" x14ac:dyDescent="0.25">
      <c r="A41" s="179">
        <v>46122</v>
      </c>
      <c r="B41" s="236" t="s">
        <v>9</v>
      </c>
      <c r="C41" s="124" t="s">
        <v>251</v>
      </c>
      <c r="D41" s="82">
        <v>360</v>
      </c>
      <c r="E41" s="82"/>
      <c r="F41" s="82">
        <v>37.42</v>
      </c>
      <c r="G41" s="82"/>
      <c r="H41" s="123">
        <v>765733</v>
      </c>
      <c r="I41" s="90"/>
      <c r="J41" s="237"/>
      <c r="K41" s="220">
        <v>1242661.4099999999</v>
      </c>
    </row>
    <row r="42" spans="1:11" x14ac:dyDescent="0.25">
      <c r="A42" s="179">
        <v>46125</v>
      </c>
      <c r="B42" s="236" t="s">
        <v>251</v>
      </c>
      <c r="C42" s="124" t="s">
        <v>220</v>
      </c>
      <c r="D42" s="82">
        <v>80</v>
      </c>
      <c r="E42" s="82"/>
      <c r="F42" s="82"/>
      <c r="G42" s="82"/>
      <c r="H42" s="128" t="s">
        <v>66</v>
      </c>
      <c r="I42" s="90"/>
      <c r="J42" s="237"/>
      <c r="K42" s="220"/>
    </row>
    <row r="43" spans="1:11" x14ac:dyDescent="0.25">
      <c r="A43" s="179">
        <v>46126</v>
      </c>
      <c r="B43" s="236" t="s">
        <v>220</v>
      </c>
      <c r="C43" s="124" t="s">
        <v>369</v>
      </c>
      <c r="D43" s="82">
        <v>1000</v>
      </c>
      <c r="E43" s="82"/>
      <c r="F43" s="82">
        <v>36.409999999999997</v>
      </c>
      <c r="G43" s="82"/>
      <c r="H43" s="123">
        <v>896126</v>
      </c>
      <c r="I43" s="90"/>
      <c r="J43" s="237"/>
      <c r="K43" s="220"/>
    </row>
    <row r="44" spans="1:11" x14ac:dyDescent="0.25">
      <c r="A44" s="179">
        <v>46128</v>
      </c>
      <c r="B44" s="236" t="s">
        <v>369</v>
      </c>
      <c r="C44" s="124" t="s">
        <v>10</v>
      </c>
      <c r="D44" s="82">
        <v>820</v>
      </c>
      <c r="E44" s="82"/>
      <c r="F44" s="82"/>
      <c r="G44" s="82"/>
      <c r="H44" s="128" t="s">
        <v>66</v>
      </c>
      <c r="I44" s="90"/>
      <c r="J44" s="237"/>
      <c r="K44" s="220"/>
    </row>
    <row r="45" spans="1:11" x14ac:dyDescent="0.25">
      <c r="A45" s="179">
        <v>46128</v>
      </c>
      <c r="B45" s="236" t="s">
        <v>10</v>
      </c>
      <c r="C45" s="124" t="s">
        <v>251</v>
      </c>
      <c r="D45" s="82">
        <v>240</v>
      </c>
      <c r="E45" s="82"/>
      <c r="F45" s="82">
        <v>34.909999999999997</v>
      </c>
      <c r="G45" s="82"/>
      <c r="H45" s="123">
        <v>279079</v>
      </c>
      <c r="I45" s="90" t="s">
        <v>176</v>
      </c>
      <c r="J45" s="237"/>
      <c r="K45" s="220"/>
    </row>
    <row r="46" spans="1:11" x14ac:dyDescent="0.25">
      <c r="A46" s="179">
        <v>46129</v>
      </c>
      <c r="B46" s="236" t="s">
        <v>251</v>
      </c>
      <c r="C46" s="124" t="s">
        <v>220</v>
      </c>
      <c r="D46" s="82">
        <v>80</v>
      </c>
      <c r="E46" s="82"/>
      <c r="F46" s="82"/>
      <c r="G46" s="82"/>
      <c r="H46" s="128" t="s">
        <v>66</v>
      </c>
      <c r="I46" s="90"/>
      <c r="J46" s="237"/>
      <c r="K46" s="220"/>
    </row>
    <row r="47" spans="1:11" x14ac:dyDescent="0.25">
      <c r="A47" s="179">
        <v>46129</v>
      </c>
      <c r="B47" s="236" t="s">
        <v>220</v>
      </c>
      <c r="C47" s="124" t="s">
        <v>302</v>
      </c>
      <c r="D47" s="82">
        <v>610</v>
      </c>
      <c r="E47" s="82"/>
      <c r="F47" s="82">
        <v>35.979999999999997</v>
      </c>
      <c r="G47" s="82"/>
      <c r="H47" s="90">
        <v>89745</v>
      </c>
      <c r="I47" s="90"/>
      <c r="J47" s="237"/>
      <c r="K47" s="220"/>
    </row>
    <row r="48" spans="1:11" x14ac:dyDescent="0.25">
      <c r="A48" s="179">
        <v>46130</v>
      </c>
      <c r="B48" s="236" t="s">
        <v>302</v>
      </c>
      <c r="C48" s="124" t="s">
        <v>9</v>
      </c>
      <c r="D48" s="82">
        <v>310</v>
      </c>
      <c r="E48" s="82"/>
      <c r="F48" s="82"/>
      <c r="G48" s="82"/>
      <c r="H48" s="83" t="s">
        <v>66</v>
      </c>
      <c r="I48" s="90"/>
      <c r="J48" s="237"/>
      <c r="K48" s="220"/>
    </row>
    <row r="49" spans="1:11" x14ac:dyDescent="0.25">
      <c r="A49" s="179">
        <v>46132</v>
      </c>
      <c r="B49" s="236" t="s">
        <v>9</v>
      </c>
      <c r="C49" s="124" t="s">
        <v>251</v>
      </c>
      <c r="D49" s="82">
        <v>360</v>
      </c>
      <c r="E49" s="82"/>
      <c r="F49" s="82">
        <v>36.36</v>
      </c>
      <c r="G49" s="82"/>
      <c r="H49" s="123">
        <v>767151</v>
      </c>
      <c r="I49" s="90"/>
      <c r="J49" s="237"/>
      <c r="K49" s="220"/>
    </row>
    <row r="50" spans="1:11" x14ac:dyDescent="0.25">
      <c r="A50" s="179">
        <v>46133</v>
      </c>
      <c r="B50" s="236" t="s">
        <v>251</v>
      </c>
      <c r="C50" s="124" t="s">
        <v>220</v>
      </c>
      <c r="D50" s="82">
        <v>70</v>
      </c>
      <c r="E50" s="82"/>
      <c r="F50" s="82"/>
      <c r="G50" s="82"/>
      <c r="H50" s="128" t="s">
        <v>66</v>
      </c>
      <c r="I50" s="90"/>
      <c r="J50" s="237"/>
      <c r="K50" s="220"/>
    </row>
    <row r="51" spans="1:11" x14ac:dyDescent="0.25">
      <c r="A51" s="179">
        <v>46134</v>
      </c>
      <c r="B51" s="82" t="s">
        <v>220</v>
      </c>
      <c r="C51" s="124" t="s">
        <v>10</v>
      </c>
      <c r="D51" s="82">
        <v>300</v>
      </c>
      <c r="E51" s="82"/>
      <c r="F51" s="82"/>
      <c r="G51" s="82"/>
      <c r="H51" s="90">
        <v>897401</v>
      </c>
      <c r="I51" s="90"/>
      <c r="J51" s="237"/>
      <c r="K51" s="220"/>
    </row>
    <row r="52" spans="1:11" x14ac:dyDescent="0.25">
      <c r="A52" s="179">
        <v>46135</v>
      </c>
      <c r="B52" s="236" t="s">
        <v>10</v>
      </c>
      <c r="C52" s="124" t="s">
        <v>251</v>
      </c>
      <c r="D52" s="82">
        <v>240</v>
      </c>
      <c r="E52" s="82"/>
      <c r="F52" s="82">
        <v>35.520000000000003</v>
      </c>
      <c r="G52" s="82"/>
      <c r="H52" s="123">
        <v>279313</v>
      </c>
      <c r="I52" s="90" t="s">
        <v>176</v>
      </c>
      <c r="J52" s="237"/>
      <c r="K52" s="220"/>
    </row>
    <row r="53" spans="1:11" x14ac:dyDescent="0.25">
      <c r="A53" s="179">
        <v>46136</v>
      </c>
      <c r="B53" s="236" t="s">
        <v>251</v>
      </c>
      <c r="C53" s="124" t="s">
        <v>220</v>
      </c>
      <c r="D53" s="82">
        <v>80</v>
      </c>
      <c r="E53" s="82"/>
      <c r="F53" s="82"/>
      <c r="G53" s="82"/>
      <c r="H53" s="128" t="s">
        <v>66</v>
      </c>
      <c r="I53" s="90"/>
      <c r="J53" s="237"/>
      <c r="K53" s="220"/>
    </row>
    <row r="54" spans="1:11" x14ac:dyDescent="0.25">
      <c r="A54" s="179">
        <v>46139</v>
      </c>
      <c r="B54" s="82" t="s">
        <v>220</v>
      </c>
      <c r="C54" s="124" t="s">
        <v>10</v>
      </c>
      <c r="D54" s="82">
        <v>300</v>
      </c>
      <c r="E54" s="82"/>
      <c r="F54" s="82"/>
      <c r="G54" s="82"/>
      <c r="H54" s="123">
        <v>898094</v>
      </c>
      <c r="I54" s="90"/>
      <c r="J54" s="237"/>
      <c r="K54" s="220"/>
    </row>
    <row r="55" spans="1:11" x14ac:dyDescent="0.25">
      <c r="A55" s="179">
        <v>46140</v>
      </c>
      <c r="B55" s="236" t="s">
        <v>10</v>
      </c>
      <c r="C55" s="124" t="s">
        <v>220</v>
      </c>
      <c r="D55" s="82">
        <v>300</v>
      </c>
      <c r="E55" s="82"/>
      <c r="F55" s="82"/>
      <c r="G55" s="82"/>
      <c r="H55" s="123">
        <v>279475</v>
      </c>
      <c r="I55" s="90" t="s">
        <v>176</v>
      </c>
      <c r="J55" s="237"/>
      <c r="K55" s="220"/>
    </row>
    <row r="56" spans="1:11" x14ac:dyDescent="0.25">
      <c r="A56" s="179">
        <v>46140</v>
      </c>
      <c r="B56" s="236" t="s">
        <v>220</v>
      </c>
      <c r="C56" s="124" t="s">
        <v>9</v>
      </c>
      <c r="D56" s="82">
        <v>300</v>
      </c>
      <c r="E56" s="82"/>
      <c r="F56" s="82"/>
      <c r="G56" s="82"/>
      <c r="H56" s="128" t="s">
        <v>66</v>
      </c>
      <c r="I56" s="90"/>
      <c r="J56" s="237"/>
      <c r="K56" s="220"/>
    </row>
    <row r="57" spans="1:11" x14ac:dyDescent="0.25">
      <c r="A57" s="179">
        <v>46141</v>
      </c>
      <c r="B57" s="236" t="s">
        <v>9</v>
      </c>
      <c r="C57" s="124" t="s">
        <v>438</v>
      </c>
      <c r="D57" s="82">
        <v>300</v>
      </c>
      <c r="E57" s="82"/>
      <c r="F57" s="82"/>
      <c r="G57" s="82"/>
      <c r="H57" s="288" t="s">
        <v>252</v>
      </c>
      <c r="I57" s="90"/>
      <c r="J57" s="237"/>
      <c r="K57" s="220"/>
    </row>
    <row r="58" spans="1:11" x14ac:dyDescent="0.25">
      <c r="A58" s="179">
        <v>46142</v>
      </c>
      <c r="B58" s="236" t="s">
        <v>438</v>
      </c>
      <c r="C58" s="124" t="s">
        <v>220</v>
      </c>
      <c r="D58" s="82">
        <v>90</v>
      </c>
      <c r="E58" s="82"/>
      <c r="F58" s="82"/>
      <c r="G58" s="82"/>
      <c r="H58" s="128" t="s">
        <v>66</v>
      </c>
      <c r="I58" s="90"/>
      <c r="J58" s="237"/>
      <c r="K58" s="220"/>
    </row>
    <row r="59" spans="1:11" x14ac:dyDescent="0.25">
      <c r="A59" s="179"/>
      <c r="B59" s="236"/>
      <c r="C59" s="124"/>
      <c r="D59" s="151" t="s">
        <v>464</v>
      </c>
      <c r="E59" s="82"/>
      <c r="F59" s="82"/>
      <c r="G59" s="82"/>
      <c r="H59" s="128"/>
      <c r="I59" s="90"/>
      <c r="J59" s="237"/>
      <c r="K59" s="220"/>
    </row>
    <row r="60" spans="1:11" x14ac:dyDescent="0.25">
      <c r="A60" s="5"/>
      <c r="B60" s="6"/>
      <c r="C60" s="6"/>
      <c r="D60" s="6"/>
      <c r="E60" s="6"/>
      <c r="F60" s="6"/>
      <c r="G60" s="6"/>
      <c r="H60" s="7"/>
      <c r="I60" s="7"/>
      <c r="J60" s="140"/>
      <c r="K60" s="221"/>
    </row>
    <row r="61" spans="1:11" x14ac:dyDescent="0.25">
      <c r="D61" s="17">
        <f>SUM(D3:D60)</f>
        <v>8890</v>
      </c>
      <c r="E61" s="13"/>
      <c r="F61" s="13">
        <f>AVERAGE(F3:F59)</f>
        <v>34.973749999999995</v>
      </c>
      <c r="G61" s="13"/>
      <c r="J61" s="139">
        <f>SUM(J3:J60)</f>
        <v>0</v>
      </c>
      <c r="K61" s="244">
        <f>SUM(K3:K60)</f>
        <v>2319049.77</v>
      </c>
    </row>
    <row r="66" spans="2:11" x14ac:dyDescent="0.25">
      <c r="D66" s="11"/>
    </row>
    <row r="67" spans="2:11" x14ac:dyDescent="0.25">
      <c r="D67" s="11"/>
    </row>
    <row r="68" spans="2:11" x14ac:dyDescent="0.25">
      <c r="D68" s="11"/>
    </row>
    <row r="69" spans="2:11" x14ac:dyDescent="0.25">
      <c r="B69" s="230">
        <v>-2000</v>
      </c>
      <c r="C69" s="11" t="s">
        <v>93</v>
      </c>
      <c r="D69" s="11"/>
      <c r="E69" s="11"/>
      <c r="F69" s="11"/>
      <c r="G69" s="89"/>
      <c r="K69" s="4"/>
    </row>
    <row r="70" spans="2:11" x14ac:dyDescent="0.25">
      <c r="B70" s="230">
        <v>2000</v>
      </c>
      <c r="C70" s="11" t="s">
        <v>12</v>
      </c>
      <c r="D70" s="11">
        <v>45152</v>
      </c>
      <c r="E70" s="11"/>
      <c r="F70" s="11"/>
      <c r="G70" s="89"/>
      <c r="K70" s="4"/>
    </row>
    <row r="71" spans="2:11" x14ac:dyDescent="0.25">
      <c r="B71" s="230">
        <v>-2000</v>
      </c>
      <c r="C71" s="11" t="s">
        <v>13</v>
      </c>
      <c r="D71" s="11"/>
      <c r="E71" s="11"/>
      <c r="F71" s="11"/>
      <c r="G71" s="89"/>
      <c r="K71" s="4"/>
    </row>
    <row r="72" spans="2:11" x14ac:dyDescent="0.25">
      <c r="B72" s="230">
        <v>2000</v>
      </c>
      <c r="C72" s="11" t="s">
        <v>12</v>
      </c>
      <c r="D72" s="11">
        <v>45197</v>
      </c>
      <c r="E72" s="11"/>
      <c r="F72" s="11"/>
      <c r="G72" s="89"/>
      <c r="K72" s="4"/>
    </row>
    <row r="73" spans="2:11" x14ac:dyDescent="0.25">
      <c r="B73" s="230">
        <v>-2000</v>
      </c>
      <c r="C73" s="11" t="s">
        <v>13</v>
      </c>
      <c r="D73" s="11"/>
      <c r="E73" s="11"/>
      <c r="F73" s="11"/>
      <c r="G73" s="89"/>
      <c r="K73" s="4"/>
    </row>
    <row r="74" spans="2:11" x14ac:dyDescent="0.25">
      <c r="B74" s="230">
        <v>1000</v>
      </c>
      <c r="C74" s="11" t="s">
        <v>12</v>
      </c>
      <c r="D74" s="11">
        <v>45304</v>
      </c>
      <c r="E74" s="11"/>
      <c r="F74" s="11"/>
      <c r="G74" s="89"/>
      <c r="K74" s="4"/>
    </row>
    <row r="75" spans="2:11" x14ac:dyDescent="0.25">
      <c r="B75" s="230">
        <v>-1000</v>
      </c>
      <c r="C75" s="11" t="s">
        <v>13</v>
      </c>
      <c r="D75" s="11">
        <v>45304</v>
      </c>
      <c r="E75" s="11"/>
      <c r="F75" s="11"/>
      <c r="G75" s="89"/>
      <c r="K75" s="4"/>
    </row>
    <row r="76" spans="2:11" x14ac:dyDescent="0.25">
      <c r="B76" s="230">
        <v>21000</v>
      </c>
      <c r="C76" s="11" t="s">
        <v>12</v>
      </c>
      <c r="D76" s="11">
        <v>45350</v>
      </c>
      <c r="E76" s="11"/>
      <c r="F76" s="11"/>
      <c r="G76" s="89"/>
      <c r="K76" s="4"/>
    </row>
    <row r="77" spans="2:11" x14ac:dyDescent="0.25">
      <c r="B77" s="230">
        <v>-21000</v>
      </c>
      <c r="C77" s="11" t="s">
        <v>13</v>
      </c>
      <c r="D77" s="11"/>
      <c r="E77" s="11"/>
      <c r="F77" s="11"/>
      <c r="G77" s="89"/>
      <c r="K77" s="4"/>
    </row>
    <row r="78" spans="2:11" x14ac:dyDescent="0.25">
      <c r="B78" s="230">
        <v>6800</v>
      </c>
      <c r="C78" s="11" t="s">
        <v>74</v>
      </c>
      <c r="D78" s="11">
        <v>45404</v>
      </c>
      <c r="E78" s="11"/>
      <c r="F78" s="11"/>
      <c r="G78" s="89"/>
      <c r="K78" s="4"/>
    </row>
    <row r="79" spans="2:11" x14ac:dyDescent="0.25">
      <c r="B79" s="230">
        <v>-12000</v>
      </c>
      <c r="C79" s="11" t="s">
        <v>93</v>
      </c>
      <c r="D79" s="11">
        <v>45404</v>
      </c>
      <c r="E79" s="11"/>
      <c r="F79" s="11"/>
      <c r="G79" s="89"/>
      <c r="K79" s="4"/>
    </row>
    <row r="80" spans="2:11" x14ac:dyDescent="0.25">
      <c r="B80" s="230">
        <v>18400</v>
      </c>
      <c r="C80" s="11" t="s">
        <v>12</v>
      </c>
      <c r="D80" s="11"/>
      <c r="E80" s="11"/>
      <c r="F80" s="11"/>
      <c r="G80" s="89"/>
      <c r="K80" s="4"/>
    </row>
    <row r="81" spans="2:11" x14ac:dyDescent="0.25">
      <c r="B81" s="230">
        <v>-22000</v>
      </c>
      <c r="C81" s="11" t="s">
        <v>93</v>
      </c>
      <c r="D81" s="11">
        <v>45434</v>
      </c>
      <c r="E81" s="11"/>
      <c r="F81" s="11"/>
      <c r="G81" s="89"/>
      <c r="K81" s="4"/>
    </row>
    <row r="82" spans="2:11" x14ac:dyDescent="0.25">
      <c r="B82" s="230">
        <v>7200</v>
      </c>
      <c r="C82" s="11" t="s">
        <v>74</v>
      </c>
      <c r="D82" s="11">
        <v>45472</v>
      </c>
      <c r="E82" s="11"/>
      <c r="F82" s="11"/>
      <c r="G82" s="89"/>
      <c r="K82" s="4"/>
    </row>
    <row r="83" spans="2:11" x14ac:dyDescent="0.25">
      <c r="B83" s="230">
        <v>-8000</v>
      </c>
      <c r="C83" s="11" t="s">
        <v>93</v>
      </c>
      <c r="D83" s="11">
        <v>45472</v>
      </c>
      <c r="E83" s="11"/>
      <c r="F83" s="11"/>
      <c r="G83" s="89"/>
      <c r="K83" s="4"/>
    </row>
    <row r="84" spans="2:11" x14ac:dyDescent="0.25">
      <c r="B84" s="230">
        <v>7400</v>
      </c>
      <c r="C84" s="11" t="s">
        <v>74</v>
      </c>
      <c r="D84" s="11">
        <v>45491</v>
      </c>
      <c r="E84" s="11"/>
      <c r="F84" s="11"/>
      <c r="G84" s="89"/>
      <c r="K84" s="4"/>
    </row>
    <row r="85" spans="2:11" x14ac:dyDescent="0.25">
      <c r="B85" s="230">
        <v>-7400</v>
      </c>
      <c r="C85" s="11" t="s">
        <v>93</v>
      </c>
      <c r="D85" s="11"/>
      <c r="E85" s="11"/>
      <c r="F85" s="11"/>
      <c r="G85" s="89"/>
      <c r="K85" s="4"/>
    </row>
    <row r="86" spans="2:11" x14ac:dyDescent="0.25">
      <c r="B86" s="230">
        <v>7400</v>
      </c>
      <c r="C86" s="11" t="s">
        <v>12</v>
      </c>
      <c r="D86" s="11">
        <v>45506</v>
      </c>
      <c r="E86" s="11"/>
      <c r="F86" s="11"/>
      <c r="G86" s="89"/>
      <c r="K86" s="4"/>
    </row>
    <row r="87" spans="2:11" x14ac:dyDescent="0.25">
      <c r="B87" s="230">
        <v>-7000</v>
      </c>
      <c r="C87" s="11" t="s">
        <v>93</v>
      </c>
      <c r="D87" s="11">
        <v>45506</v>
      </c>
      <c r="E87" s="11"/>
      <c r="F87" s="11"/>
      <c r="G87" s="89"/>
      <c r="K87" s="4"/>
    </row>
    <row r="88" spans="2:11" x14ac:dyDescent="0.25">
      <c r="B88" s="230">
        <v>10700</v>
      </c>
      <c r="C88" s="11" t="s">
        <v>12</v>
      </c>
      <c r="D88" s="11"/>
      <c r="E88" s="11"/>
      <c r="F88" s="11"/>
      <c r="G88" s="89"/>
      <c r="K88" s="4"/>
    </row>
    <row r="89" spans="2:11" x14ac:dyDescent="0.25">
      <c r="B89" s="230">
        <v>-11000</v>
      </c>
      <c r="C89" s="11" t="s">
        <v>93</v>
      </c>
      <c r="D89" s="11"/>
      <c r="E89" s="11"/>
      <c r="F89" s="11"/>
      <c r="G89" s="89"/>
      <c r="K89" s="4"/>
    </row>
    <row r="90" spans="2:11" x14ac:dyDescent="0.25">
      <c r="B90" s="230">
        <v>15400</v>
      </c>
      <c r="C90" s="11" t="s">
        <v>12</v>
      </c>
      <c r="D90" s="11">
        <v>45552</v>
      </c>
      <c r="E90" s="11"/>
      <c r="F90" s="11"/>
      <c r="G90" s="89"/>
      <c r="K90" s="4"/>
    </row>
    <row r="91" spans="2:11" x14ac:dyDescent="0.25">
      <c r="B91" s="230">
        <v>-15400</v>
      </c>
      <c r="C91" s="11" t="s">
        <v>93</v>
      </c>
      <c r="D91" s="11"/>
      <c r="E91" s="11"/>
      <c r="F91" s="11"/>
      <c r="G91" s="89"/>
      <c r="K91" s="4"/>
    </row>
    <row r="92" spans="2:11" x14ac:dyDescent="0.25">
      <c r="B92" s="230">
        <v>10900</v>
      </c>
      <c r="C92" s="11" t="s">
        <v>12</v>
      </c>
      <c r="D92" s="11"/>
      <c r="E92" s="11"/>
      <c r="F92" s="11"/>
      <c r="G92" s="89"/>
      <c r="K92" s="4"/>
    </row>
    <row r="93" spans="2:11" x14ac:dyDescent="0.25">
      <c r="B93" s="230">
        <v>-11000</v>
      </c>
      <c r="C93" s="11" t="s">
        <v>93</v>
      </c>
      <c r="D93" s="11">
        <v>45566</v>
      </c>
      <c r="E93" s="11"/>
      <c r="F93" s="11"/>
      <c r="G93" s="89"/>
      <c r="K93" s="4"/>
    </row>
    <row r="94" spans="2:11" x14ac:dyDescent="0.25">
      <c r="B94" s="230">
        <v>10900</v>
      </c>
      <c r="C94" s="11" t="s">
        <v>12</v>
      </c>
      <c r="D94" s="11">
        <v>45575</v>
      </c>
      <c r="E94" s="11"/>
      <c r="F94" s="11"/>
      <c r="G94" s="89"/>
      <c r="K94" s="4"/>
    </row>
    <row r="95" spans="2:11" x14ac:dyDescent="0.25">
      <c r="B95" s="230">
        <v>-10900</v>
      </c>
      <c r="C95" s="11" t="s">
        <v>93</v>
      </c>
      <c r="D95" s="11"/>
      <c r="E95" s="11"/>
      <c r="F95" s="11"/>
      <c r="G95" s="89"/>
      <c r="K95" s="4"/>
    </row>
    <row r="96" spans="2:11" x14ac:dyDescent="0.25">
      <c r="B96" s="230">
        <v>16000</v>
      </c>
      <c r="C96" s="11" t="s">
        <v>12</v>
      </c>
      <c r="D96" s="11">
        <v>45632</v>
      </c>
      <c r="E96" s="11"/>
      <c r="F96" s="11"/>
      <c r="G96" s="89"/>
      <c r="K96" s="4"/>
    </row>
    <row r="97" spans="2:11" x14ac:dyDescent="0.25">
      <c r="B97" s="230">
        <v>-16000</v>
      </c>
      <c r="C97" s="11" t="s">
        <v>93</v>
      </c>
      <c r="D97" s="11">
        <v>45632</v>
      </c>
      <c r="E97" s="11"/>
      <c r="F97" s="11"/>
      <c r="G97" s="89"/>
      <c r="K97" s="4"/>
    </row>
    <row r="98" spans="2:11" x14ac:dyDescent="0.25">
      <c r="B98" s="230">
        <v>11300</v>
      </c>
      <c r="C98" s="11" t="s">
        <v>12</v>
      </c>
      <c r="D98" s="11"/>
      <c r="E98" s="11"/>
      <c r="F98" s="11"/>
      <c r="G98" s="89"/>
      <c r="K98" s="4"/>
    </row>
    <row r="99" spans="2:11" x14ac:dyDescent="0.25">
      <c r="B99" s="230">
        <v>-11300</v>
      </c>
      <c r="C99" s="11" t="s">
        <v>93</v>
      </c>
      <c r="D99" s="11">
        <v>45644</v>
      </c>
      <c r="E99" s="11"/>
      <c r="F99" s="11"/>
      <c r="G99" s="89"/>
      <c r="K99" s="4"/>
    </row>
    <row r="100" spans="2:11" x14ac:dyDescent="0.25">
      <c r="B100" s="230">
        <v>16600</v>
      </c>
      <c r="C100" s="11" t="s">
        <v>12</v>
      </c>
      <c r="D100" s="11">
        <v>45702</v>
      </c>
      <c r="E100" s="11"/>
      <c r="F100" s="11"/>
      <c r="G100" s="89"/>
      <c r="K100" s="4"/>
    </row>
    <row r="101" spans="2:11" x14ac:dyDescent="0.25">
      <c r="B101" s="230">
        <v>-16500</v>
      </c>
      <c r="C101" s="11" t="s">
        <v>93</v>
      </c>
      <c r="D101" s="11">
        <v>45702</v>
      </c>
      <c r="E101" s="11"/>
      <c r="F101" s="11"/>
      <c r="G101" s="89"/>
      <c r="K101" s="4"/>
    </row>
    <row r="102" spans="2:11" x14ac:dyDescent="0.25">
      <c r="B102" s="230">
        <v>6400</v>
      </c>
      <c r="C102" s="11" t="s">
        <v>12</v>
      </c>
      <c r="D102" s="11">
        <v>45743</v>
      </c>
      <c r="E102" s="11"/>
      <c r="F102" s="11"/>
      <c r="G102" s="89"/>
      <c r="K102" s="4"/>
    </row>
    <row r="103" spans="2:11" x14ac:dyDescent="0.25">
      <c r="B103" s="230">
        <v>16000</v>
      </c>
      <c r="C103" s="11" t="s">
        <v>141</v>
      </c>
      <c r="D103" s="11"/>
      <c r="E103" s="11"/>
      <c r="F103" s="11"/>
      <c r="G103" s="89"/>
      <c r="K103" s="4"/>
    </row>
    <row r="104" spans="2:11" x14ac:dyDescent="0.25">
      <c r="B104" s="230">
        <v>-33000</v>
      </c>
      <c r="C104" s="11" t="s">
        <v>93</v>
      </c>
      <c r="D104" s="11"/>
      <c r="E104" s="11"/>
      <c r="F104" s="11"/>
      <c r="G104" s="89"/>
      <c r="K104" s="4"/>
    </row>
    <row r="105" spans="2:11" x14ac:dyDescent="0.25">
      <c r="B105" s="230">
        <v>8000</v>
      </c>
      <c r="C105" s="11" t="s">
        <v>12</v>
      </c>
      <c r="D105" s="11">
        <v>45786</v>
      </c>
      <c r="E105" s="11"/>
      <c r="F105" s="11"/>
      <c r="G105" s="89"/>
      <c r="K105" s="4"/>
    </row>
    <row r="106" spans="2:11" x14ac:dyDescent="0.25">
      <c r="B106" s="230">
        <v>-8000</v>
      </c>
      <c r="C106" s="11" t="s">
        <v>13</v>
      </c>
      <c r="D106" s="11"/>
      <c r="E106" s="11"/>
      <c r="F106" s="11"/>
      <c r="G106" s="89"/>
      <c r="K106" s="4"/>
    </row>
    <row r="107" spans="2:11" x14ac:dyDescent="0.25">
      <c r="B107" s="230">
        <v>16000</v>
      </c>
      <c r="C107" s="11" t="s">
        <v>12</v>
      </c>
      <c r="D107" s="11">
        <v>45792</v>
      </c>
      <c r="E107" s="11"/>
      <c r="F107" s="11"/>
      <c r="G107" s="89"/>
      <c r="K107" s="4"/>
    </row>
    <row r="108" spans="2:11" x14ac:dyDescent="0.25">
      <c r="B108" s="230">
        <v>-16000</v>
      </c>
      <c r="C108" s="11" t="s">
        <v>13</v>
      </c>
      <c r="D108" s="11"/>
      <c r="E108" s="11"/>
      <c r="F108" s="11"/>
      <c r="G108" s="89"/>
      <c r="K108" s="4"/>
    </row>
    <row r="109" spans="2:11" x14ac:dyDescent="0.25">
      <c r="B109" s="230">
        <v>16000</v>
      </c>
      <c r="C109" s="11" t="s">
        <v>12</v>
      </c>
      <c r="D109" s="11">
        <v>45812</v>
      </c>
      <c r="E109" s="11"/>
      <c r="F109" s="11"/>
      <c r="G109" s="89"/>
      <c r="K109" s="4"/>
    </row>
    <row r="110" spans="2:11" x14ac:dyDescent="0.25">
      <c r="B110" s="230">
        <v>-16000</v>
      </c>
      <c r="C110" s="11" t="s">
        <v>13</v>
      </c>
      <c r="D110" s="11"/>
      <c r="E110" s="11"/>
      <c r="F110" s="11"/>
      <c r="G110" s="89"/>
      <c r="K110" s="4"/>
    </row>
    <row r="111" spans="2:11" x14ac:dyDescent="0.25">
      <c r="B111" s="230">
        <v>28400</v>
      </c>
      <c r="C111" s="11" t="s">
        <v>12</v>
      </c>
      <c r="D111" s="11">
        <v>45827</v>
      </c>
      <c r="E111" s="11"/>
      <c r="F111" s="11"/>
      <c r="G111" s="89"/>
      <c r="K111" s="4"/>
    </row>
    <row r="112" spans="2:11" x14ac:dyDescent="0.25">
      <c r="B112" s="230">
        <v>-29000</v>
      </c>
      <c r="C112" s="11" t="s">
        <v>13</v>
      </c>
      <c r="D112" s="11"/>
      <c r="E112" s="11"/>
      <c r="F112" s="11"/>
      <c r="G112" s="89"/>
      <c r="K112" s="4"/>
    </row>
    <row r="113" spans="2:11" x14ac:dyDescent="0.25">
      <c r="B113" s="230">
        <v>24000</v>
      </c>
      <c r="C113" s="11" t="s">
        <v>12</v>
      </c>
      <c r="D113" s="11">
        <v>45840</v>
      </c>
      <c r="E113" s="11"/>
      <c r="F113" s="11"/>
      <c r="G113" s="89"/>
      <c r="K113" s="4"/>
    </row>
    <row r="114" spans="2:11" x14ac:dyDescent="0.25">
      <c r="B114" s="230">
        <v>-24000</v>
      </c>
      <c r="C114" s="11" t="s">
        <v>93</v>
      </c>
      <c r="D114" s="11">
        <v>45840</v>
      </c>
      <c r="E114" s="11"/>
      <c r="F114" s="11"/>
      <c r="G114" s="89"/>
      <c r="K114" s="4"/>
    </row>
    <row r="115" spans="2:11" x14ac:dyDescent="0.25">
      <c r="B115" s="230">
        <v>24000</v>
      </c>
      <c r="C115" s="11" t="s">
        <v>12</v>
      </c>
      <c r="D115" s="11">
        <v>45862</v>
      </c>
      <c r="E115" s="11"/>
      <c r="F115" s="11"/>
      <c r="G115" s="89"/>
      <c r="K115" s="4"/>
    </row>
    <row r="116" spans="2:11" x14ac:dyDescent="0.25">
      <c r="B116" s="230">
        <v>-24000</v>
      </c>
      <c r="C116" s="11" t="s">
        <v>93</v>
      </c>
      <c r="D116" s="11">
        <v>45862</v>
      </c>
      <c r="E116" s="11"/>
      <c r="F116" s="11"/>
      <c r="G116" s="89"/>
      <c r="K116" s="4"/>
    </row>
    <row r="117" spans="2:11" x14ac:dyDescent="0.25">
      <c r="B117" s="230">
        <v>8000</v>
      </c>
      <c r="C117" s="11" t="s">
        <v>138</v>
      </c>
      <c r="D117" s="11">
        <v>45870</v>
      </c>
      <c r="E117" s="11"/>
      <c r="F117" s="11"/>
      <c r="G117" s="89"/>
      <c r="K117" s="4"/>
    </row>
    <row r="118" spans="2:11" x14ac:dyDescent="0.25">
      <c r="B118" s="230">
        <v>-8000</v>
      </c>
      <c r="C118" s="11" t="s">
        <v>13</v>
      </c>
      <c r="D118" s="11">
        <v>45870</v>
      </c>
      <c r="E118" s="11"/>
      <c r="F118" s="11"/>
      <c r="G118" s="89"/>
      <c r="K118" s="4"/>
    </row>
    <row r="119" spans="2:11" x14ac:dyDescent="0.25">
      <c r="B119" s="230">
        <v>9200</v>
      </c>
      <c r="C119" s="11" t="s">
        <v>137</v>
      </c>
      <c r="D119" s="11">
        <v>45891</v>
      </c>
      <c r="E119" s="11"/>
      <c r="F119" s="11"/>
      <c r="G119" s="89"/>
      <c r="K119" s="4"/>
    </row>
    <row r="120" spans="2:11" x14ac:dyDescent="0.25">
      <c r="B120" s="230">
        <v>-9200</v>
      </c>
      <c r="C120" s="11" t="s">
        <v>93</v>
      </c>
      <c r="D120" s="11">
        <v>45891</v>
      </c>
      <c r="E120" s="11"/>
      <c r="F120" s="11"/>
      <c r="G120" s="89"/>
      <c r="K120" s="4"/>
    </row>
    <row r="121" spans="2:11" x14ac:dyDescent="0.25">
      <c r="B121" s="230">
        <v>9200</v>
      </c>
      <c r="C121" s="11" t="s">
        <v>138</v>
      </c>
      <c r="D121" s="11">
        <v>45936</v>
      </c>
      <c r="E121" s="11"/>
      <c r="F121" s="11"/>
      <c r="G121" s="89"/>
      <c r="K121" s="4"/>
    </row>
    <row r="122" spans="2:11" x14ac:dyDescent="0.25">
      <c r="B122" s="230">
        <v>-9200</v>
      </c>
      <c r="C122" s="11" t="s">
        <v>13</v>
      </c>
      <c r="D122" s="11"/>
      <c r="E122" s="11"/>
      <c r="F122" s="11"/>
      <c r="G122" s="89"/>
      <c r="K122" s="4"/>
    </row>
    <row r="123" spans="2:11" x14ac:dyDescent="0.25">
      <c r="B123" s="230">
        <v>9200</v>
      </c>
      <c r="C123" s="11" t="s">
        <v>138</v>
      </c>
      <c r="D123" s="11">
        <v>45952</v>
      </c>
      <c r="E123" s="11"/>
      <c r="F123" s="11"/>
      <c r="G123" s="89"/>
      <c r="K123" s="4"/>
    </row>
    <row r="124" spans="2:11" x14ac:dyDescent="0.25">
      <c r="B124" s="230">
        <v>-9200</v>
      </c>
      <c r="C124" s="11" t="s">
        <v>13</v>
      </c>
      <c r="D124" s="11"/>
      <c r="E124" s="11"/>
      <c r="F124" s="11"/>
      <c r="G124" s="89"/>
      <c r="K124" s="4"/>
    </row>
    <row r="125" spans="2:11" x14ac:dyDescent="0.25">
      <c r="B125" s="230">
        <v>18400</v>
      </c>
      <c r="C125" s="11" t="s">
        <v>12</v>
      </c>
      <c r="D125" s="11">
        <v>45978</v>
      </c>
      <c r="E125" s="11"/>
      <c r="F125" s="11"/>
      <c r="G125" s="89"/>
      <c r="K125" s="4"/>
    </row>
    <row r="126" spans="2:11" x14ac:dyDescent="0.25">
      <c r="B126" s="230">
        <v>-18400</v>
      </c>
      <c r="C126" s="11" t="s">
        <v>13</v>
      </c>
      <c r="D126" s="11"/>
      <c r="E126" s="11"/>
      <c r="F126" s="11"/>
      <c r="G126" s="89"/>
      <c r="K126" s="4"/>
    </row>
    <row r="127" spans="2:11" x14ac:dyDescent="0.25">
      <c r="B127" s="230">
        <v>9200</v>
      </c>
      <c r="C127" s="11" t="s">
        <v>138</v>
      </c>
      <c r="D127" s="11">
        <v>45999</v>
      </c>
      <c r="E127" s="11"/>
      <c r="F127" s="11"/>
      <c r="G127" s="89"/>
      <c r="K127" s="4"/>
    </row>
    <row r="128" spans="2:11" x14ac:dyDescent="0.25">
      <c r="B128" s="230">
        <v>-9200</v>
      </c>
      <c r="C128" s="11" t="s">
        <v>13</v>
      </c>
      <c r="D128" s="11"/>
      <c r="E128" s="11"/>
      <c r="F128" s="11"/>
      <c r="G128" s="89"/>
      <c r="K128" s="4"/>
    </row>
    <row r="129" spans="2:11" x14ac:dyDescent="0.25">
      <c r="B129" s="135">
        <f>SUM(B69:B128)</f>
        <v>-22700</v>
      </c>
      <c r="C129" s="11">
        <v>45999</v>
      </c>
      <c r="D129" s="11"/>
      <c r="E129" s="11"/>
      <c r="F129" s="11"/>
      <c r="G129" s="11"/>
      <c r="K129" s="4"/>
    </row>
    <row r="130" spans="2:11" x14ac:dyDescent="0.25">
      <c r="B130" s="11"/>
      <c r="D130" s="11"/>
      <c r="E130" s="11"/>
      <c r="F130" s="11"/>
      <c r="G130" s="11"/>
      <c r="K130" s="4"/>
    </row>
    <row r="131" spans="2:11" x14ac:dyDescent="0.25">
      <c r="B131" s="11"/>
      <c r="E131" s="11"/>
      <c r="F131" s="11"/>
      <c r="G131" s="11"/>
      <c r="K131" s="4"/>
    </row>
    <row r="132" spans="2:11" x14ac:dyDescent="0.25">
      <c r="B132" s="11"/>
      <c r="E132" s="11"/>
      <c r="F132" s="11"/>
      <c r="G132" s="11"/>
      <c r="K132" s="4"/>
    </row>
    <row r="133" spans="2:11" x14ac:dyDescent="0.25">
      <c r="B133" s="11"/>
      <c r="E133" s="11"/>
      <c r="F133" s="11"/>
      <c r="G133" s="11"/>
      <c r="K133" s="4"/>
    </row>
    <row r="134" spans="2:11" x14ac:dyDescent="0.25">
      <c r="B134" s="11"/>
      <c r="C134" s="11"/>
      <c r="E134" s="11"/>
      <c r="F134" s="11"/>
      <c r="G134" s="11"/>
      <c r="K134" s="4"/>
    </row>
    <row r="135" spans="2:11" x14ac:dyDescent="0.25">
      <c r="B135" s="11"/>
      <c r="E135" s="4"/>
      <c r="K135" s="4"/>
    </row>
    <row r="136" spans="2:11" x14ac:dyDescent="0.25">
      <c r="B136" s="11"/>
      <c r="F136" s="11"/>
      <c r="G136" s="11"/>
      <c r="I136" s="173"/>
      <c r="K136" s="4"/>
    </row>
    <row r="137" spans="2:11" x14ac:dyDescent="0.25">
      <c r="B137" s="11"/>
      <c r="E137" s="11"/>
      <c r="F137" s="11"/>
      <c r="G137" s="11"/>
      <c r="K137" s="4"/>
    </row>
    <row r="138" spans="2:11" x14ac:dyDescent="0.25">
      <c r="B138" s="11"/>
      <c r="K138" s="4"/>
    </row>
    <row r="139" spans="2:11" x14ac:dyDescent="0.25">
      <c r="B139" s="11"/>
      <c r="E139" s="11"/>
      <c r="F139" s="11"/>
      <c r="G139" s="11"/>
      <c r="K139" s="4"/>
    </row>
    <row r="140" spans="2:11" x14ac:dyDescent="0.25">
      <c r="B140" s="11"/>
      <c r="I140" s="4"/>
    </row>
    <row r="141" spans="2:11" x14ac:dyDescent="0.25">
      <c r="B141" s="11"/>
      <c r="E141" s="11"/>
      <c r="F141" s="11"/>
      <c r="G141" s="11"/>
      <c r="K141" s="4"/>
    </row>
    <row r="142" spans="2:11" x14ac:dyDescent="0.25">
      <c r="B142" s="11"/>
      <c r="E142" s="11"/>
      <c r="F142" s="11"/>
      <c r="G142" s="11"/>
      <c r="K142" s="4"/>
    </row>
    <row r="143" spans="2:11" x14ac:dyDescent="0.25">
      <c r="B143" s="11"/>
      <c r="E143" s="11"/>
      <c r="F143" s="11"/>
      <c r="G143" s="11"/>
      <c r="K143" s="4"/>
    </row>
    <row r="144" spans="2:11" x14ac:dyDescent="0.25">
      <c r="B144" s="11"/>
      <c r="E144" s="11"/>
      <c r="F144" s="11"/>
      <c r="G144" s="11"/>
      <c r="K144" s="4"/>
    </row>
    <row r="145" spans="2:11" x14ac:dyDescent="0.25">
      <c r="B145" s="11"/>
      <c r="E145" s="11"/>
      <c r="F145" s="11"/>
      <c r="G145" s="11"/>
      <c r="K145" s="4"/>
    </row>
    <row r="146" spans="2:11" x14ac:dyDescent="0.25">
      <c r="B146" s="11"/>
      <c r="D146" s="11"/>
      <c r="E146" s="11"/>
      <c r="F146" s="11"/>
      <c r="G146" s="11"/>
      <c r="K146" s="4"/>
    </row>
    <row r="147" spans="2:11" x14ac:dyDescent="0.25">
      <c r="B147" s="11"/>
      <c r="E147" s="11"/>
      <c r="F147" s="11"/>
      <c r="G147" s="11"/>
      <c r="K147" s="4"/>
    </row>
    <row r="148" spans="2:11" x14ac:dyDescent="0.25">
      <c r="B148" s="11"/>
      <c r="E148" s="11"/>
      <c r="F148" s="11"/>
      <c r="G148" s="11"/>
      <c r="K148" s="4"/>
    </row>
    <row r="149" spans="2:11" x14ac:dyDescent="0.25">
      <c r="B149" s="11"/>
      <c r="E149" s="11"/>
      <c r="F149" s="11"/>
      <c r="G149" s="11"/>
      <c r="K149" s="4"/>
    </row>
    <row r="150" spans="2:11" x14ac:dyDescent="0.25">
      <c r="B150" s="11"/>
      <c r="E150" s="11"/>
      <c r="F150" s="11"/>
      <c r="G150" s="11"/>
      <c r="K150" s="4"/>
    </row>
    <row r="151" spans="2:11" x14ac:dyDescent="0.25">
      <c r="B151" s="11"/>
      <c r="E151" s="11"/>
      <c r="F151" s="11"/>
      <c r="G151" s="11"/>
      <c r="K151" s="4"/>
    </row>
    <row r="152" spans="2:11" x14ac:dyDescent="0.25">
      <c r="B152" s="11"/>
      <c r="E152" s="11"/>
      <c r="F152" s="11"/>
      <c r="G152" s="11"/>
      <c r="K152" s="4"/>
    </row>
    <row r="153" spans="2:11" x14ac:dyDescent="0.25">
      <c r="B153" s="11"/>
      <c r="E153" s="11"/>
      <c r="F153" s="11"/>
      <c r="G153" s="11"/>
    </row>
    <row r="154" spans="2:11" x14ac:dyDescent="0.25">
      <c r="B154" s="11"/>
      <c r="E154" s="11"/>
      <c r="F154" s="11"/>
      <c r="G154" s="11"/>
    </row>
    <row r="155" spans="2:11" x14ac:dyDescent="0.25">
      <c r="B155" s="11"/>
      <c r="E155" s="11"/>
      <c r="F155" s="11"/>
      <c r="G155" s="11"/>
    </row>
    <row r="156" spans="2:11" x14ac:dyDescent="0.25">
      <c r="B156" s="11"/>
      <c r="E156" s="11"/>
      <c r="F156" s="11"/>
      <c r="G156" s="11"/>
    </row>
    <row r="157" spans="2:11" x14ac:dyDescent="0.25">
      <c r="B157" s="11"/>
      <c r="E157" s="11"/>
      <c r="F157" s="11"/>
      <c r="G157" s="11"/>
    </row>
    <row r="158" spans="2:11" x14ac:dyDescent="0.25">
      <c r="B158" s="11"/>
      <c r="E158" s="11"/>
      <c r="F158" s="11"/>
      <c r="G158" s="11"/>
    </row>
    <row r="159" spans="2:11" x14ac:dyDescent="0.25">
      <c r="B159" s="11"/>
      <c r="E159" s="11"/>
      <c r="F159" s="11"/>
      <c r="G159" s="11"/>
    </row>
    <row r="160" spans="2:11" x14ac:dyDescent="0.25">
      <c r="B160" s="11"/>
      <c r="E160" s="11"/>
      <c r="F160" s="11"/>
      <c r="G160" s="11"/>
    </row>
    <row r="161" spans="2:7" x14ac:dyDescent="0.25">
      <c r="B161" s="11"/>
      <c r="E161" s="11"/>
      <c r="F161" s="11"/>
      <c r="G161" s="11"/>
    </row>
    <row r="162" spans="2:7" x14ac:dyDescent="0.25">
      <c r="B162" s="11"/>
      <c r="E162" s="11"/>
      <c r="F162" s="11"/>
      <c r="G162" s="11"/>
    </row>
    <row r="163" spans="2:7" x14ac:dyDescent="0.25">
      <c r="B163" s="11"/>
      <c r="E163" s="11"/>
      <c r="F163" s="11"/>
      <c r="G163" s="11"/>
    </row>
    <row r="164" spans="2:7" x14ac:dyDescent="0.25">
      <c r="B164" s="11"/>
      <c r="E164" s="11"/>
      <c r="F164" s="11"/>
      <c r="G164" s="11"/>
    </row>
    <row r="165" spans="2:7" x14ac:dyDescent="0.25">
      <c r="B165" s="11"/>
      <c r="E165" s="11"/>
      <c r="F165" s="11"/>
      <c r="G165" s="11"/>
    </row>
    <row r="166" spans="2:7" x14ac:dyDescent="0.25">
      <c r="B166" s="11"/>
      <c r="E166" s="11"/>
      <c r="F166" s="11"/>
      <c r="G166" s="11"/>
    </row>
    <row r="167" spans="2:7" x14ac:dyDescent="0.25">
      <c r="B167" s="11"/>
      <c r="E167" s="11"/>
      <c r="F167" s="11"/>
      <c r="G167" s="11"/>
    </row>
    <row r="168" spans="2:7" x14ac:dyDescent="0.25">
      <c r="B168" s="11"/>
      <c r="E168" s="11"/>
      <c r="F168" s="11"/>
      <c r="G168" s="11"/>
    </row>
    <row r="169" spans="2:7" x14ac:dyDescent="0.25">
      <c r="B169" s="11"/>
      <c r="E169" s="11"/>
      <c r="F169" s="11"/>
      <c r="G169" s="11"/>
    </row>
    <row r="170" spans="2:7" x14ac:dyDescent="0.25">
      <c r="E170" s="11"/>
      <c r="F170" s="11"/>
      <c r="G170" s="11"/>
    </row>
    <row r="171" spans="2:7" x14ac:dyDescent="0.25">
      <c r="E171" s="11"/>
      <c r="F171" s="11"/>
      <c r="G171" s="11"/>
    </row>
    <row r="172" spans="2:7" x14ac:dyDescent="0.25">
      <c r="E172" s="11"/>
      <c r="F172" s="11"/>
      <c r="G172" s="11"/>
    </row>
    <row r="173" spans="2:7" x14ac:dyDescent="0.25">
      <c r="E173" s="11"/>
      <c r="F173" s="11"/>
      <c r="G173" s="11"/>
    </row>
    <row r="174" spans="2:7" x14ac:dyDescent="0.25">
      <c r="E174" s="11"/>
      <c r="F174" s="11"/>
      <c r="G174" s="11"/>
    </row>
    <row r="175" spans="2:7" x14ac:dyDescent="0.25">
      <c r="E175" s="11"/>
      <c r="F175" s="11"/>
      <c r="G175" s="1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16"/>
  <sheetViews>
    <sheetView zoomScale="110" zoomScaleNormal="110" workbookViewId="0">
      <selection activeCell="A5" sqref="A5:XFD10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3.42578125" bestFit="1" customWidth="1"/>
  </cols>
  <sheetData>
    <row r="1" spans="1:13" x14ac:dyDescent="0.25">
      <c r="D1" s="172" t="s">
        <v>159</v>
      </c>
    </row>
    <row r="2" spans="1:13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  <c r="M2" s="258"/>
    </row>
    <row r="3" spans="1:13" x14ac:dyDescent="0.25">
      <c r="A3" s="91"/>
      <c r="B3" s="82"/>
      <c r="C3" s="124"/>
      <c r="D3" s="286"/>
      <c r="E3" s="286" t="s">
        <v>503</v>
      </c>
      <c r="F3" s="286"/>
      <c r="G3" s="82"/>
      <c r="H3" s="90"/>
      <c r="I3" s="90"/>
      <c r="J3" s="237"/>
      <c r="K3" s="220"/>
    </row>
    <row r="4" spans="1:13" x14ac:dyDescent="0.25">
      <c r="A4" s="91"/>
      <c r="B4" s="82"/>
      <c r="C4" s="124"/>
      <c r="D4" s="82"/>
      <c r="E4" s="82"/>
      <c r="F4" s="82"/>
      <c r="G4" s="82"/>
      <c r="H4" s="90"/>
      <c r="I4" s="90"/>
      <c r="J4" s="237"/>
      <c r="K4" s="220"/>
    </row>
    <row r="5" spans="1:13" x14ac:dyDescent="0.25">
      <c r="A5" s="91"/>
      <c r="B5" s="82"/>
      <c r="C5" s="124"/>
      <c r="D5" s="82"/>
      <c r="E5" s="82"/>
      <c r="F5" s="82"/>
      <c r="G5" s="82"/>
      <c r="H5" s="90"/>
      <c r="I5" s="90"/>
      <c r="J5" s="237"/>
      <c r="K5" s="220"/>
    </row>
    <row r="6" spans="1:13" x14ac:dyDescent="0.25">
      <c r="A6" s="91"/>
      <c r="B6" s="82"/>
      <c r="C6" s="124"/>
      <c r="D6" s="82"/>
      <c r="E6" s="82"/>
      <c r="F6" s="82"/>
      <c r="G6" s="82"/>
      <c r="H6" s="90"/>
      <c r="I6" s="90"/>
      <c r="J6" s="237"/>
      <c r="K6" s="220"/>
    </row>
    <row r="7" spans="1:13" x14ac:dyDescent="0.25">
      <c r="A7" s="91"/>
      <c r="B7" s="82"/>
      <c r="C7" s="124"/>
      <c r="D7" s="82"/>
      <c r="E7" s="82"/>
      <c r="F7" s="82"/>
      <c r="G7" s="82"/>
      <c r="H7" s="90"/>
      <c r="I7" s="90"/>
      <c r="J7" s="237"/>
      <c r="K7" s="220"/>
    </row>
    <row r="8" spans="1:13" x14ac:dyDescent="0.25">
      <c r="A8" s="91"/>
      <c r="B8" s="82"/>
      <c r="C8" s="124"/>
      <c r="D8" s="82"/>
      <c r="E8" s="82"/>
      <c r="F8" s="82"/>
      <c r="G8" s="82"/>
      <c r="H8" s="90"/>
      <c r="I8" s="90"/>
      <c r="J8" s="237"/>
      <c r="K8" s="220"/>
    </row>
    <row r="9" spans="1:13" x14ac:dyDescent="0.25">
      <c r="A9" s="91"/>
      <c r="B9" s="82"/>
      <c r="C9" s="124"/>
      <c r="D9" s="82"/>
      <c r="E9" s="82"/>
      <c r="F9" s="82"/>
      <c r="G9" s="82"/>
      <c r="H9" s="90"/>
      <c r="I9" s="90"/>
      <c r="J9" s="237"/>
      <c r="K9" s="220"/>
    </row>
    <row r="10" spans="1:13" x14ac:dyDescent="0.25">
      <c r="A10" s="91"/>
      <c r="B10" s="82"/>
      <c r="C10" s="124"/>
      <c r="D10" s="82"/>
      <c r="E10" s="82"/>
      <c r="F10" s="82"/>
      <c r="G10" s="82"/>
      <c r="H10" s="90"/>
      <c r="I10" s="90"/>
      <c r="J10" s="237"/>
      <c r="K10" s="220"/>
    </row>
    <row r="11" spans="1:13" x14ac:dyDescent="0.25">
      <c r="A11" s="91"/>
      <c r="B11" s="82"/>
      <c r="C11" s="124"/>
      <c r="D11" s="82"/>
      <c r="E11" s="82"/>
      <c r="F11" s="82"/>
      <c r="G11" s="82"/>
      <c r="H11" s="90"/>
      <c r="I11" s="90"/>
      <c r="J11" s="237"/>
      <c r="K11" s="220"/>
    </row>
    <row r="12" spans="1:13" x14ac:dyDescent="0.25">
      <c r="A12" s="91"/>
      <c r="B12" s="82"/>
      <c r="C12" s="124"/>
      <c r="D12" s="82"/>
      <c r="E12" s="82"/>
      <c r="F12" s="82"/>
      <c r="G12" s="82"/>
      <c r="H12" s="90"/>
      <c r="I12" s="90"/>
      <c r="J12" s="237"/>
      <c r="K12" s="220"/>
    </row>
    <row r="13" spans="1:13" x14ac:dyDescent="0.25">
      <c r="A13" s="91"/>
      <c r="B13" s="82"/>
      <c r="C13" s="124"/>
      <c r="D13" s="82"/>
      <c r="E13" s="82"/>
      <c r="F13" s="82"/>
      <c r="G13" s="82"/>
      <c r="H13" s="90"/>
      <c r="I13" s="90"/>
      <c r="J13" s="237"/>
      <c r="K13" s="220"/>
    </row>
    <row r="14" spans="1:13" x14ac:dyDescent="0.25">
      <c r="A14" s="91"/>
      <c r="B14" s="82"/>
      <c r="C14" s="124"/>
      <c r="D14" s="82"/>
      <c r="E14" s="82"/>
      <c r="F14" s="82"/>
      <c r="G14" s="82"/>
      <c r="H14" s="90"/>
      <c r="I14" s="90"/>
      <c r="J14" s="237"/>
      <c r="K14" s="220"/>
    </row>
    <row r="15" spans="1:13" x14ac:dyDescent="0.25">
      <c r="A15" s="91"/>
      <c r="B15" s="82"/>
      <c r="C15" s="124"/>
      <c r="D15" s="82"/>
      <c r="E15" s="82"/>
      <c r="F15" s="82"/>
      <c r="G15" s="82"/>
      <c r="H15" s="90"/>
      <c r="I15" s="90"/>
      <c r="J15" s="237"/>
      <c r="K15" s="220"/>
    </row>
    <row r="16" spans="1:13" x14ac:dyDescent="0.25">
      <c r="A16" s="91"/>
      <c r="B16" s="82"/>
      <c r="C16" s="124"/>
      <c r="D16" s="82"/>
      <c r="E16" s="82"/>
      <c r="F16" s="82"/>
      <c r="G16" s="82"/>
      <c r="H16" s="90"/>
      <c r="I16" s="90"/>
      <c r="J16" s="237"/>
      <c r="K16" s="220"/>
    </row>
    <row r="17" spans="1:11" x14ac:dyDescent="0.25">
      <c r="A17" s="91"/>
      <c r="B17" s="82"/>
      <c r="C17" s="124"/>
      <c r="D17" s="82"/>
      <c r="E17" s="82"/>
      <c r="F17" s="82"/>
      <c r="G17" s="82"/>
      <c r="H17" s="90"/>
      <c r="I17" s="90"/>
      <c r="J17" s="237"/>
      <c r="K17" s="220"/>
    </row>
    <row r="18" spans="1:11" x14ac:dyDescent="0.25">
      <c r="A18" s="91"/>
      <c r="B18" s="82"/>
      <c r="C18" s="124"/>
      <c r="D18" s="82"/>
      <c r="E18" s="82"/>
      <c r="F18" s="82"/>
      <c r="G18" s="82"/>
      <c r="H18" s="90"/>
      <c r="I18" s="90"/>
      <c r="J18" s="237"/>
      <c r="K18" s="220"/>
    </row>
    <row r="19" spans="1:11" x14ac:dyDescent="0.25">
      <c r="A19" s="91"/>
      <c r="B19" s="82"/>
      <c r="C19" s="124"/>
      <c r="D19" s="82"/>
      <c r="E19" s="82"/>
      <c r="F19" s="82"/>
      <c r="G19" s="82"/>
      <c r="H19" s="90"/>
      <c r="I19" s="90"/>
      <c r="J19" s="237"/>
      <c r="K19" s="220"/>
    </row>
    <row r="20" spans="1:11" x14ac:dyDescent="0.25">
      <c r="A20" s="91"/>
      <c r="B20" s="82"/>
      <c r="C20" s="124"/>
      <c r="D20" s="82"/>
      <c r="E20" s="82"/>
      <c r="F20" s="82"/>
      <c r="G20" s="82"/>
      <c r="H20" s="90"/>
      <c r="I20" s="90"/>
      <c r="J20" s="237"/>
      <c r="K20" s="220"/>
    </row>
    <row r="21" spans="1:11" x14ac:dyDescent="0.25">
      <c r="A21" s="91"/>
      <c r="B21" s="82"/>
      <c r="C21" s="124"/>
      <c r="D21" s="82"/>
      <c r="E21" s="82"/>
      <c r="F21" s="82"/>
      <c r="G21" s="82"/>
      <c r="H21" s="90"/>
      <c r="I21" s="90"/>
      <c r="J21" s="237"/>
      <c r="K21" s="220"/>
    </row>
    <row r="22" spans="1:11" x14ac:dyDescent="0.25">
      <c r="A22" s="91"/>
      <c r="B22" s="82"/>
      <c r="C22" s="124"/>
      <c r="D22" s="82"/>
      <c r="E22" s="82"/>
      <c r="F22" s="82"/>
      <c r="G22" s="82"/>
      <c r="H22" s="90"/>
      <c r="I22" s="90"/>
      <c r="J22" s="237"/>
      <c r="K22" s="220"/>
    </row>
    <row r="23" spans="1:11" x14ac:dyDescent="0.25">
      <c r="A23" s="91"/>
      <c r="B23" s="82"/>
      <c r="C23" s="124"/>
      <c r="D23" s="82"/>
      <c r="E23" s="82"/>
      <c r="F23" s="82"/>
      <c r="G23" s="82"/>
      <c r="H23" s="90"/>
      <c r="I23" s="90"/>
      <c r="J23" s="237"/>
      <c r="K23" s="220"/>
    </row>
    <row r="24" spans="1:11" x14ac:dyDescent="0.25">
      <c r="A24" s="91"/>
      <c r="B24" s="82"/>
      <c r="C24" s="124"/>
      <c r="D24" s="82"/>
      <c r="E24" s="82"/>
      <c r="F24" s="82"/>
      <c r="G24" s="82"/>
      <c r="H24" s="90"/>
      <c r="I24" s="90"/>
      <c r="J24" s="237"/>
      <c r="K24" s="220"/>
    </row>
    <row r="25" spans="1:11" x14ac:dyDescent="0.25">
      <c r="A25" s="91">
        <v>46112</v>
      </c>
      <c r="B25" s="82" t="s">
        <v>220</v>
      </c>
      <c r="C25" s="124" t="s">
        <v>10</v>
      </c>
      <c r="D25" s="82">
        <v>290</v>
      </c>
      <c r="E25" s="82"/>
      <c r="F25" s="82"/>
      <c r="G25" s="82"/>
      <c r="H25" s="90">
        <v>894585</v>
      </c>
      <c r="I25" s="90"/>
      <c r="J25" s="237"/>
      <c r="K25" s="220"/>
    </row>
    <row r="26" spans="1:11" x14ac:dyDescent="0.25">
      <c r="A26" s="91">
        <v>46113</v>
      </c>
      <c r="B26" s="236" t="s">
        <v>10</v>
      </c>
      <c r="C26" s="124" t="s">
        <v>220</v>
      </c>
      <c r="D26" s="82">
        <v>290</v>
      </c>
      <c r="E26" s="82"/>
      <c r="F26" s="82"/>
      <c r="G26" s="82"/>
      <c r="H26" s="123">
        <v>278583</v>
      </c>
      <c r="I26" s="90" t="s">
        <v>176</v>
      </c>
      <c r="J26" s="237"/>
      <c r="K26" s="220"/>
    </row>
    <row r="27" spans="1:11" x14ac:dyDescent="0.25">
      <c r="A27" s="91">
        <v>46118</v>
      </c>
      <c r="B27" s="82" t="s">
        <v>220</v>
      </c>
      <c r="C27" s="124" t="s">
        <v>10</v>
      </c>
      <c r="D27" s="82">
        <v>290</v>
      </c>
      <c r="E27" s="82"/>
      <c r="F27" s="82"/>
      <c r="G27" s="82"/>
      <c r="H27" s="90">
        <v>894946</v>
      </c>
      <c r="I27" s="90"/>
      <c r="J27" s="237"/>
      <c r="K27" s="220"/>
    </row>
    <row r="28" spans="1:11" x14ac:dyDescent="0.25">
      <c r="A28" s="91">
        <v>46118</v>
      </c>
      <c r="B28" s="236" t="s">
        <v>10</v>
      </c>
      <c r="C28" s="124" t="s">
        <v>220</v>
      </c>
      <c r="D28" s="82">
        <v>290</v>
      </c>
      <c r="E28" s="82"/>
      <c r="F28" s="82"/>
      <c r="G28" s="82"/>
      <c r="H28" s="123">
        <v>278667</v>
      </c>
      <c r="I28" s="90" t="s">
        <v>176</v>
      </c>
      <c r="J28" s="237"/>
      <c r="K28" s="220"/>
    </row>
    <row r="29" spans="1:11" x14ac:dyDescent="0.25">
      <c r="A29" s="91">
        <v>46120</v>
      </c>
      <c r="B29" s="82" t="s">
        <v>220</v>
      </c>
      <c r="C29" s="124" t="s">
        <v>10</v>
      </c>
      <c r="D29" s="82">
        <v>290</v>
      </c>
      <c r="E29" s="82"/>
      <c r="F29" s="82"/>
      <c r="G29" s="82"/>
      <c r="H29" s="90">
        <v>895275</v>
      </c>
      <c r="I29" s="90"/>
      <c r="J29" s="237"/>
      <c r="K29" s="220"/>
    </row>
    <row r="30" spans="1:11" x14ac:dyDescent="0.25">
      <c r="A30" s="91">
        <v>46121</v>
      </c>
      <c r="B30" s="236" t="s">
        <v>10</v>
      </c>
      <c r="C30" s="124" t="s">
        <v>220</v>
      </c>
      <c r="D30" s="82">
        <v>290</v>
      </c>
      <c r="E30" s="82"/>
      <c r="F30" s="82"/>
      <c r="G30" s="82"/>
      <c r="H30" s="123">
        <v>278758</v>
      </c>
      <c r="I30" s="90" t="s">
        <v>176</v>
      </c>
      <c r="J30" s="237"/>
      <c r="K30" s="220"/>
    </row>
    <row r="31" spans="1:11" x14ac:dyDescent="0.25">
      <c r="A31" s="91">
        <v>46125</v>
      </c>
      <c r="B31" s="82" t="s">
        <v>220</v>
      </c>
      <c r="C31" s="124" t="s">
        <v>242</v>
      </c>
      <c r="D31" s="82">
        <v>140</v>
      </c>
      <c r="E31" s="82"/>
      <c r="F31" s="82">
        <v>35.35</v>
      </c>
      <c r="G31" s="82"/>
      <c r="H31" s="90">
        <v>895827</v>
      </c>
      <c r="I31" s="90"/>
      <c r="J31" s="237"/>
      <c r="K31" s="220"/>
    </row>
    <row r="32" spans="1:11" x14ac:dyDescent="0.25">
      <c r="A32" s="91">
        <v>46125</v>
      </c>
      <c r="B32" s="82" t="s">
        <v>242</v>
      </c>
      <c r="C32" s="124" t="s">
        <v>10</v>
      </c>
      <c r="D32" s="82">
        <v>185</v>
      </c>
      <c r="E32" s="82"/>
      <c r="F32" s="82"/>
      <c r="G32" s="82"/>
      <c r="H32" s="83" t="s">
        <v>66</v>
      </c>
      <c r="I32" s="90"/>
      <c r="J32" s="237"/>
      <c r="K32" s="220"/>
    </row>
    <row r="33" spans="1:11" x14ac:dyDescent="0.25">
      <c r="A33" s="91">
        <v>46125</v>
      </c>
      <c r="B33" s="82" t="s">
        <v>10</v>
      </c>
      <c r="C33" s="124" t="s">
        <v>274</v>
      </c>
      <c r="D33" s="82">
        <v>80</v>
      </c>
      <c r="E33" s="82"/>
      <c r="F33" s="82"/>
      <c r="G33" s="82"/>
      <c r="H33" s="90">
        <v>278931</v>
      </c>
      <c r="I33" s="90"/>
      <c r="J33" s="237"/>
      <c r="K33" s="220"/>
    </row>
    <row r="34" spans="1:11" x14ac:dyDescent="0.25">
      <c r="A34" s="91">
        <v>46126</v>
      </c>
      <c r="B34" s="82" t="s">
        <v>274</v>
      </c>
      <c r="C34" s="124" t="s">
        <v>10</v>
      </c>
      <c r="D34" s="82">
        <v>80</v>
      </c>
      <c r="E34" s="82"/>
      <c r="F34" s="82"/>
      <c r="G34" s="82"/>
      <c r="H34" s="83" t="s">
        <v>66</v>
      </c>
      <c r="I34" s="90"/>
      <c r="J34" s="237"/>
      <c r="K34" s="220"/>
    </row>
    <row r="35" spans="1:11" x14ac:dyDescent="0.25">
      <c r="A35" s="91">
        <v>46127</v>
      </c>
      <c r="B35" s="236" t="s">
        <v>10</v>
      </c>
      <c r="C35" s="124" t="s">
        <v>220</v>
      </c>
      <c r="D35" s="82">
        <v>290</v>
      </c>
      <c r="E35" s="82"/>
      <c r="F35" s="82"/>
      <c r="G35" s="82"/>
      <c r="H35" s="123">
        <v>279016</v>
      </c>
      <c r="I35" s="90" t="s">
        <v>176</v>
      </c>
      <c r="J35" s="237"/>
      <c r="K35" s="220">
        <v>1229912.97</v>
      </c>
    </row>
    <row r="36" spans="1:11" x14ac:dyDescent="0.25">
      <c r="A36" s="91">
        <v>46129</v>
      </c>
      <c r="B36" s="82" t="s">
        <v>220</v>
      </c>
      <c r="C36" s="124" t="s">
        <v>10</v>
      </c>
      <c r="D36" s="82">
        <v>290</v>
      </c>
      <c r="E36" s="82"/>
      <c r="F36" s="82"/>
      <c r="G36" s="82"/>
      <c r="H36" s="90">
        <v>896695</v>
      </c>
      <c r="I36" s="90"/>
      <c r="J36" s="237"/>
      <c r="K36" s="220"/>
    </row>
    <row r="37" spans="1:11" x14ac:dyDescent="0.25">
      <c r="A37" s="91">
        <v>46129</v>
      </c>
      <c r="B37" s="236" t="s">
        <v>10</v>
      </c>
      <c r="C37" s="124" t="s">
        <v>220</v>
      </c>
      <c r="D37" s="82">
        <v>290</v>
      </c>
      <c r="E37" s="82"/>
      <c r="F37" s="82"/>
      <c r="G37" s="82"/>
      <c r="H37" s="123">
        <v>279144</v>
      </c>
      <c r="I37" s="90" t="s">
        <v>176</v>
      </c>
      <c r="J37" s="237"/>
      <c r="K37" s="220"/>
    </row>
    <row r="38" spans="1:11" x14ac:dyDescent="0.25">
      <c r="A38" s="91">
        <v>46132</v>
      </c>
      <c r="B38" s="82" t="s">
        <v>220</v>
      </c>
      <c r="C38" s="124" t="s">
        <v>10</v>
      </c>
      <c r="D38" s="82">
        <v>290</v>
      </c>
      <c r="E38" s="82"/>
      <c r="F38" s="82"/>
      <c r="G38" s="82"/>
      <c r="H38" s="90">
        <v>896970</v>
      </c>
      <c r="I38" s="90"/>
      <c r="J38" s="237"/>
      <c r="K38" s="220"/>
    </row>
    <row r="39" spans="1:11" x14ac:dyDescent="0.25">
      <c r="A39" s="91">
        <v>46132</v>
      </c>
      <c r="B39" s="236" t="s">
        <v>10</v>
      </c>
      <c r="C39" s="124" t="s">
        <v>220</v>
      </c>
      <c r="D39" s="82">
        <v>290</v>
      </c>
      <c r="E39" s="82"/>
      <c r="F39" s="82"/>
      <c r="G39" s="82"/>
      <c r="H39" s="123">
        <v>279212</v>
      </c>
      <c r="I39" s="90" t="s">
        <v>176</v>
      </c>
      <c r="J39" s="237"/>
      <c r="K39" s="220"/>
    </row>
    <row r="40" spans="1:11" x14ac:dyDescent="0.25">
      <c r="A40" s="91">
        <v>46134</v>
      </c>
      <c r="B40" s="82" t="s">
        <v>220</v>
      </c>
      <c r="C40" s="124" t="s">
        <v>276</v>
      </c>
      <c r="D40" s="82">
        <v>140</v>
      </c>
      <c r="E40" s="82"/>
      <c r="F40" s="82"/>
      <c r="G40" s="82"/>
      <c r="H40" s="90">
        <v>897403</v>
      </c>
      <c r="I40" s="90"/>
      <c r="J40" s="237"/>
      <c r="K40" s="220"/>
    </row>
    <row r="41" spans="1:11" x14ac:dyDescent="0.25">
      <c r="A41" s="91">
        <v>46135</v>
      </c>
      <c r="B41" s="82" t="s">
        <v>276</v>
      </c>
      <c r="C41" s="124" t="s">
        <v>220</v>
      </c>
      <c r="D41" s="82">
        <v>140</v>
      </c>
      <c r="E41" s="82"/>
      <c r="F41" s="82"/>
      <c r="G41" s="82"/>
      <c r="H41" s="83" t="s">
        <v>66</v>
      </c>
      <c r="I41" s="90"/>
      <c r="J41" s="237"/>
      <c r="K41" s="220"/>
    </row>
    <row r="42" spans="1:11" x14ac:dyDescent="0.25">
      <c r="A42" s="91">
        <v>46136</v>
      </c>
      <c r="B42" s="82" t="s">
        <v>220</v>
      </c>
      <c r="C42" s="124" t="s">
        <v>10</v>
      </c>
      <c r="D42" s="82">
        <v>290</v>
      </c>
      <c r="E42" s="82"/>
      <c r="F42" s="82"/>
      <c r="G42" s="82"/>
      <c r="H42" s="90">
        <v>897802</v>
      </c>
      <c r="I42" s="90"/>
      <c r="J42" s="237"/>
      <c r="K42" s="220"/>
    </row>
    <row r="43" spans="1:11" x14ac:dyDescent="0.25">
      <c r="A43" s="91">
        <v>46136</v>
      </c>
      <c r="B43" s="236" t="s">
        <v>10</v>
      </c>
      <c r="C43" s="124" t="s">
        <v>220</v>
      </c>
      <c r="D43" s="82">
        <v>290</v>
      </c>
      <c r="E43" s="82"/>
      <c r="F43" s="82"/>
      <c r="G43" s="82"/>
      <c r="H43" s="123">
        <v>279392</v>
      </c>
      <c r="I43" s="90" t="s">
        <v>176</v>
      </c>
      <c r="J43" s="237"/>
      <c r="K43" s="220"/>
    </row>
    <row r="44" spans="1:11" x14ac:dyDescent="0.25">
      <c r="A44" s="91">
        <v>46140</v>
      </c>
      <c r="B44" s="82" t="s">
        <v>220</v>
      </c>
      <c r="C44" s="124" t="s">
        <v>9</v>
      </c>
      <c r="D44" s="82">
        <v>300</v>
      </c>
      <c r="E44" s="82"/>
      <c r="F44" s="82"/>
      <c r="G44" s="82"/>
      <c r="H44" s="83" t="s">
        <v>66</v>
      </c>
      <c r="I44" s="90"/>
      <c r="J44" s="237"/>
      <c r="K44" s="220"/>
    </row>
    <row r="45" spans="1:11" x14ac:dyDescent="0.25">
      <c r="A45" s="91">
        <v>46140</v>
      </c>
      <c r="B45" s="82" t="s">
        <v>9</v>
      </c>
      <c r="C45" s="124" t="s">
        <v>104</v>
      </c>
      <c r="D45" s="82">
        <v>320</v>
      </c>
      <c r="E45" s="82"/>
      <c r="F45" s="82">
        <v>34.9</v>
      </c>
      <c r="G45" s="82"/>
      <c r="H45" s="90">
        <v>768607</v>
      </c>
      <c r="I45" s="90"/>
      <c r="J45" s="237"/>
      <c r="K45" s="220"/>
    </row>
    <row r="46" spans="1:11" x14ac:dyDescent="0.25">
      <c r="A46" s="91">
        <v>46141</v>
      </c>
      <c r="B46" s="82" t="s">
        <v>104</v>
      </c>
      <c r="C46" s="124" t="s">
        <v>9</v>
      </c>
      <c r="D46" s="82">
        <v>320</v>
      </c>
      <c r="E46" s="82"/>
      <c r="F46" s="82"/>
      <c r="G46" s="82"/>
      <c r="H46" s="83" t="s">
        <v>66</v>
      </c>
      <c r="I46" s="90"/>
      <c r="J46" s="237"/>
      <c r="K46" s="220"/>
    </row>
    <row r="47" spans="1:11" x14ac:dyDescent="0.25">
      <c r="A47" s="91"/>
      <c r="B47" s="82"/>
      <c r="C47" s="124"/>
      <c r="D47" s="151" t="s">
        <v>373</v>
      </c>
      <c r="E47" s="82"/>
      <c r="F47" s="82"/>
      <c r="G47" s="82"/>
      <c r="H47" s="83"/>
      <c r="I47" s="90"/>
      <c r="J47" s="237"/>
      <c r="K47" s="220"/>
    </row>
    <row r="48" spans="1:11" x14ac:dyDescent="0.25">
      <c r="A48" s="5"/>
      <c r="B48" s="6"/>
      <c r="C48" s="6"/>
      <c r="D48" s="6"/>
      <c r="E48" s="6"/>
      <c r="F48" s="6"/>
      <c r="G48" s="6"/>
      <c r="H48" s="7"/>
      <c r="I48" s="7"/>
      <c r="J48" s="140"/>
      <c r="K48" s="221"/>
    </row>
    <row r="49" spans="2:11" x14ac:dyDescent="0.25">
      <c r="D49" s="17">
        <f>SUM(D3:D48)</f>
        <v>5475</v>
      </c>
      <c r="E49" s="13"/>
      <c r="F49" s="13">
        <f>AVERAGE(F3:F47)</f>
        <v>35.125</v>
      </c>
      <c r="G49" s="13"/>
      <c r="J49" s="139">
        <f>SUM(J3:J48)</f>
        <v>0</v>
      </c>
      <c r="K49" s="244">
        <f>SUM(K3:K48)</f>
        <v>1229912.97</v>
      </c>
    </row>
    <row r="54" spans="2:11" x14ac:dyDescent="0.25">
      <c r="D54" s="11"/>
    </row>
    <row r="55" spans="2:11" x14ac:dyDescent="0.25">
      <c r="D55" s="11"/>
    </row>
    <row r="56" spans="2:11" x14ac:dyDescent="0.25">
      <c r="D56" s="11"/>
    </row>
    <row r="57" spans="2:11" x14ac:dyDescent="0.25">
      <c r="B57" s="230">
        <v>-2000</v>
      </c>
      <c r="C57" s="11" t="s">
        <v>93</v>
      </c>
      <c r="D57" s="11"/>
      <c r="E57" s="11"/>
      <c r="F57" s="11"/>
      <c r="G57" s="89"/>
      <c r="K57" s="4"/>
    </row>
    <row r="58" spans="2:11" x14ac:dyDescent="0.25">
      <c r="B58" s="230">
        <v>2000</v>
      </c>
      <c r="C58" s="11" t="s">
        <v>12</v>
      </c>
      <c r="D58" s="11">
        <v>45152</v>
      </c>
      <c r="E58" s="11"/>
      <c r="F58" s="11"/>
      <c r="G58" s="89"/>
      <c r="K58" s="4"/>
    </row>
    <row r="59" spans="2:11" x14ac:dyDescent="0.25">
      <c r="B59" s="230">
        <v>-2000</v>
      </c>
      <c r="C59" s="11" t="s">
        <v>13</v>
      </c>
      <c r="D59" s="11"/>
      <c r="E59" s="11"/>
      <c r="F59" s="11"/>
      <c r="G59" s="89"/>
      <c r="K59" s="4"/>
    </row>
    <row r="60" spans="2:11" x14ac:dyDescent="0.25">
      <c r="B60" s="230">
        <v>800</v>
      </c>
      <c r="C60" s="11" t="s">
        <v>12</v>
      </c>
      <c r="D60" s="11">
        <v>45205</v>
      </c>
      <c r="E60" s="11"/>
      <c r="F60" s="11"/>
      <c r="G60" s="89"/>
      <c r="K60" s="4"/>
    </row>
    <row r="61" spans="2:11" x14ac:dyDescent="0.25">
      <c r="B61" s="230">
        <v>-800</v>
      </c>
      <c r="C61" s="11" t="s">
        <v>93</v>
      </c>
      <c r="D61" s="11"/>
      <c r="E61" s="11"/>
      <c r="F61" s="11"/>
      <c r="G61" s="89"/>
      <c r="K61" s="4"/>
    </row>
    <row r="62" spans="2:11" x14ac:dyDescent="0.25">
      <c r="B62" s="230">
        <v>-1000</v>
      </c>
      <c r="C62" s="11" t="s">
        <v>175</v>
      </c>
      <c r="D62" s="11">
        <v>45373</v>
      </c>
      <c r="E62" s="11"/>
      <c r="F62" s="11"/>
      <c r="G62" s="89"/>
      <c r="K62" s="4"/>
    </row>
    <row r="63" spans="2:11" x14ac:dyDescent="0.25">
      <c r="B63" s="230">
        <v>3100</v>
      </c>
      <c r="C63" s="11" t="s">
        <v>74</v>
      </c>
      <c r="D63" s="11">
        <v>45381</v>
      </c>
      <c r="E63" s="11"/>
      <c r="F63" s="11"/>
      <c r="G63" s="89"/>
      <c r="K63" s="4"/>
    </row>
    <row r="64" spans="2:11" x14ac:dyDescent="0.25">
      <c r="B64" s="230">
        <v>-3100</v>
      </c>
      <c r="C64" s="11" t="s">
        <v>93</v>
      </c>
      <c r="D64" s="11">
        <v>45381</v>
      </c>
      <c r="E64" s="11"/>
      <c r="F64" s="11"/>
      <c r="G64" s="89"/>
      <c r="K64" s="4"/>
    </row>
    <row r="65" spans="2:11" x14ac:dyDescent="0.25">
      <c r="B65" s="230">
        <v>-1000</v>
      </c>
      <c r="C65" s="11" t="s">
        <v>175</v>
      </c>
      <c r="D65" s="11">
        <v>45733</v>
      </c>
      <c r="E65" s="11"/>
      <c r="F65" s="11"/>
      <c r="G65" s="89"/>
      <c r="K65" s="4"/>
    </row>
    <row r="66" spans="2:11" x14ac:dyDescent="0.25">
      <c r="B66" s="230">
        <v>10200</v>
      </c>
      <c r="C66" s="11" t="s">
        <v>12</v>
      </c>
      <c r="D66" s="11">
        <v>45838</v>
      </c>
      <c r="E66" s="11"/>
      <c r="F66" s="11"/>
      <c r="G66" s="89"/>
      <c r="K66" s="4"/>
    </row>
    <row r="67" spans="2:11" x14ac:dyDescent="0.25">
      <c r="B67" s="230">
        <v>-10200</v>
      </c>
      <c r="C67" s="11" t="s">
        <v>93</v>
      </c>
      <c r="D67" s="11">
        <v>45838</v>
      </c>
      <c r="E67" s="11"/>
      <c r="F67" s="11"/>
      <c r="G67" s="89"/>
      <c r="K67" s="4"/>
    </row>
    <row r="68" spans="2:11" x14ac:dyDescent="0.25">
      <c r="B68" s="230">
        <v>2000</v>
      </c>
      <c r="C68" s="11" t="s">
        <v>12</v>
      </c>
      <c r="D68" s="11">
        <v>45987</v>
      </c>
      <c r="E68" s="11"/>
      <c r="F68" s="11"/>
      <c r="G68" s="89"/>
      <c r="K68" s="4"/>
    </row>
    <row r="69" spans="2:11" x14ac:dyDescent="0.25">
      <c r="B69" s="230">
        <v>-18000</v>
      </c>
      <c r="C69" s="11" t="s">
        <v>93</v>
      </c>
      <c r="D69" s="11"/>
      <c r="E69" s="11"/>
      <c r="F69" s="11"/>
      <c r="G69" s="89"/>
      <c r="K69" s="4"/>
    </row>
    <row r="70" spans="2:11" x14ac:dyDescent="0.25">
      <c r="B70" s="135">
        <f>SUM(B56:B69)</f>
        <v>-20000</v>
      </c>
      <c r="C70" s="11">
        <v>45987</v>
      </c>
      <c r="D70" s="11"/>
      <c r="E70" s="11"/>
      <c r="F70" s="11"/>
      <c r="G70" s="11"/>
      <c r="K70" s="4"/>
    </row>
    <row r="71" spans="2:11" x14ac:dyDescent="0.25">
      <c r="B71" s="11"/>
      <c r="D71" s="11"/>
      <c r="E71" s="11"/>
      <c r="F71" s="11"/>
      <c r="G71" s="11"/>
      <c r="K71" s="4"/>
    </row>
    <row r="72" spans="2:11" x14ac:dyDescent="0.25">
      <c r="B72" s="11"/>
      <c r="E72" s="11"/>
      <c r="F72" s="11"/>
      <c r="G72" s="11"/>
      <c r="K72" s="4"/>
    </row>
    <row r="73" spans="2:11" x14ac:dyDescent="0.25">
      <c r="B73" s="11"/>
      <c r="E73" s="11"/>
      <c r="F73" s="11"/>
      <c r="G73" s="11"/>
      <c r="K73" s="4"/>
    </row>
    <row r="74" spans="2:11" x14ac:dyDescent="0.25">
      <c r="B74" s="11"/>
      <c r="E74" s="11"/>
      <c r="F74" s="11"/>
      <c r="G74" s="11"/>
      <c r="K74" s="4"/>
    </row>
    <row r="75" spans="2:11" x14ac:dyDescent="0.25">
      <c r="B75" s="11"/>
      <c r="C75" s="11"/>
      <c r="E75" s="11"/>
      <c r="F75" s="11"/>
      <c r="G75" s="11"/>
      <c r="K75" s="4"/>
    </row>
    <row r="76" spans="2:11" x14ac:dyDescent="0.25">
      <c r="B76" s="11"/>
      <c r="E76" s="4"/>
      <c r="K76" s="4"/>
    </row>
    <row r="77" spans="2:11" x14ac:dyDescent="0.25">
      <c r="B77" s="11"/>
      <c r="F77" s="11"/>
      <c r="G77" s="11"/>
      <c r="I77" s="173"/>
      <c r="K77" s="4"/>
    </row>
    <row r="78" spans="2:11" x14ac:dyDescent="0.25">
      <c r="B78" s="11"/>
      <c r="E78" s="11"/>
      <c r="F78" s="11"/>
      <c r="G78" s="11"/>
      <c r="K78" s="4"/>
    </row>
    <row r="79" spans="2:11" x14ac:dyDescent="0.25">
      <c r="B79" s="11"/>
      <c r="K79" s="4"/>
    </row>
    <row r="80" spans="2:11" x14ac:dyDescent="0.25">
      <c r="B80" s="11"/>
      <c r="E80" s="11"/>
      <c r="F80" s="11"/>
      <c r="G80" s="11"/>
      <c r="K80" s="4"/>
    </row>
    <row r="81" spans="2:11" x14ac:dyDescent="0.25">
      <c r="B81" s="11"/>
      <c r="I81" s="4"/>
    </row>
    <row r="82" spans="2:11" x14ac:dyDescent="0.25">
      <c r="B82" s="11"/>
      <c r="E82" s="11"/>
      <c r="F82" s="11"/>
      <c r="G82" s="11"/>
      <c r="K82" s="4"/>
    </row>
    <row r="83" spans="2:11" x14ac:dyDescent="0.25">
      <c r="B83" s="11"/>
      <c r="E83" s="11"/>
      <c r="F83" s="11"/>
      <c r="G83" s="11"/>
      <c r="K83" s="4"/>
    </row>
    <row r="84" spans="2:11" x14ac:dyDescent="0.25">
      <c r="B84" s="11"/>
      <c r="E84" s="11"/>
      <c r="F84" s="11"/>
      <c r="G84" s="11"/>
      <c r="K84" s="4"/>
    </row>
    <row r="85" spans="2:11" x14ac:dyDescent="0.25">
      <c r="B85" s="11"/>
      <c r="E85" s="11"/>
      <c r="F85" s="11"/>
      <c r="G85" s="11"/>
      <c r="K85" s="4"/>
    </row>
    <row r="86" spans="2:11" x14ac:dyDescent="0.25">
      <c r="B86" s="11"/>
      <c r="E86" s="11"/>
      <c r="F86" s="11"/>
      <c r="G86" s="11"/>
      <c r="K86" s="4"/>
    </row>
    <row r="87" spans="2:11" x14ac:dyDescent="0.25">
      <c r="B87" s="11"/>
      <c r="D87" s="11"/>
      <c r="E87" s="11"/>
      <c r="F87" s="11"/>
      <c r="G87" s="11"/>
      <c r="K87" s="4"/>
    </row>
    <row r="88" spans="2:11" x14ac:dyDescent="0.25">
      <c r="B88" s="11"/>
      <c r="E88" s="11"/>
      <c r="F88" s="11"/>
      <c r="G88" s="11"/>
      <c r="K88" s="4"/>
    </row>
    <row r="89" spans="2:11" x14ac:dyDescent="0.25">
      <c r="B89" s="11"/>
      <c r="E89" s="11"/>
      <c r="F89" s="11"/>
      <c r="G89" s="11"/>
      <c r="K89" s="4"/>
    </row>
    <row r="90" spans="2:11" x14ac:dyDescent="0.25">
      <c r="B90" s="11"/>
      <c r="E90" s="11"/>
      <c r="F90" s="11"/>
      <c r="G90" s="11"/>
      <c r="K90" s="4"/>
    </row>
    <row r="91" spans="2:11" x14ac:dyDescent="0.25">
      <c r="B91" s="11"/>
      <c r="E91" s="11"/>
      <c r="F91" s="11"/>
      <c r="G91" s="11"/>
      <c r="K91" s="4"/>
    </row>
    <row r="92" spans="2:11" x14ac:dyDescent="0.25">
      <c r="B92" s="11"/>
      <c r="E92" s="11"/>
      <c r="F92" s="11"/>
      <c r="G92" s="11"/>
      <c r="K92" s="4"/>
    </row>
    <row r="93" spans="2:11" x14ac:dyDescent="0.25">
      <c r="B93" s="11"/>
      <c r="E93" s="11"/>
      <c r="F93" s="11"/>
      <c r="G93" s="11"/>
      <c r="K93" s="4"/>
    </row>
    <row r="94" spans="2:11" x14ac:dyDescent="0.25">
      <c r="B94" s="11"/>
      <c r="E94" s="11"/>
      <c r="F94" s="11"/>
      <c r="G94" s="11"/>
    </row>
    <row r="95" spans="2:11" x14ac:dyDescent="0.25">
      <c r="B95" s="11"/>
      <c r="E95" s="11"/>
      <c r="F95" s="11"/>
      <c r="G95" s="11"/>
    </row>
    <row r="96" spans="2:11" x14ac:dyDescent="0.25">
      <c r="B96" s="11"/>
      <c r="E96" s="11"/>
      <c r="F96" s="11"/>
      <c r="G96" s="11"/>
    </row>
    <row r="97" spans="2:7" x14ac:dyDescent="0.25">
      <c r="B97" s="11"/>
      <c r="E97" s="11"/>
      <c r="F97" s="11"/>
      <c r="G97" s="11"/>
    </row>
    <row r="98" spans="2:7" x14ac:dyDescent="0.25">
      <c r="B98" s="11"/>
      <c r="E98" s="11"/>
      <c r="F98" s="11"/>
      <c r="G98" s="11"/>
    </row>
    <row r="99" spans="2:7" x14ac:dyDescent="0.25">
      <c r="B99" s="11"/>
      <c r="E99" s="11"/>
      <c r="F99" s="11"/>
      <c r="G99" s="11"/>
    </row>
    <row r="100" spans="2:7" x14ac:dyDescent="0.25">
      <c r="B100" s="11"/>
      <c r="E100" s="11"/>
      <c r="F100" s="11"/>
      <c r="G100" s="11"/>
    </row>
    <row r="101" spans="2:7" x14ac:dyDescent="0.25">
      <c r="B101" s="11"/>
      <c r="E101" s="11"/>
      <c r="F101" s="11"/>
      <c r="G101" s="11"/>
    </row>
    <row r="102" spans="2:7" x14ac:dyDescent="0.25">
      <c r="B102" s="11"/>
      <c r="E102" s="11"/>
      <c r="F102" s="11"/>
      <c r="G102" s="11"/>
    </row>
    <row r="103" spans="2:7" x14ac:dyDescent="0.25">
      <c r="B103" s="11"/>
      <c r="E103" s="11"/>
      <c r="F103" s="11"/>
      <c r="G103" s="11"/>
    </row>
    <row r="104" spans="2:7" x14ac:dyDescent="0.25">
      <c r="B104" s="11"/>
      <c r="E104" s="11"/>
      <c r="F104" s="11"/>
      <c r="G104" s="11"/>
    </row>
    <row r="105" spans="2:7" x14ac:dyDescent="0.25">
      <c r="B105" s="11"/>
      <c r="E105" s="11"/>
      <c r="F105" s="11"/>
      <c r="G105" s="11"/>
    </row>
    <row r="106" spans="2:7" x14ac:dyDescent="0.25">
      <c r="B106" s="11"/>
      <c r="E106" s="11"/>
      <c r="F106" s="11"/>
      <c r="G106" s="11"/>
    </row>
    <row r="107" spans="2:7" x14ac:dyDescent="0.25">
      <c r="B107" s="11"/>
      <c r="E107" s="11"/>
      <c r="F107" s="11"/>
      <c r="G107" s="11"/>
    </row>
    <row r="108" spans="2:7" x14ac:dyDescent="0.25">
      <c r="B108" s="11"/>
      <c r="E108" s="11"/>
      <c r="F108" s="11"/>
      <c r="G108" s="11"/>
    </row>
    <row r="109" spans="2:7" x14ac:dyDescent="0.25">
      <c r="B109" s="11"/>
      <c r="E109" s="11"/>
      <c r="F109" s="11"/>
      <c r="G109" s="11"/>
    </row>
    <row r="110" spans="2:7" x14ac:dyDescent="0.25">
      <c r="B110" s="11"/>
      <c r="E110" s="11"/>
      <c r="F110" s="11"/>
      <c r="G110" s="11"/>
    </row>
    <row r="111" spans="2:7" x14ac:dyDescent="0.25">
      <c r="E111" s="11"/>
      <c r="F111" s="11"/>
      <c r="G111" s="11"/>
    </row>
    <row r="112" spans="2:7" x14ac:dyDescent="0.25">
      <c r="E112" s="11"/>
      <c r="F112" s="11"/>
      <c r="G112" s="11"/>
    </row>
    <row r="113" spans="5:7" x14ac:dyDescent="0.25">
      <c r="E113" s="11"/>
      <c r="F113" s="11"/>
      <c r="G113" s="11"/>
    </row>
    <row r="114" spans="5:7" x14ac:dyDescent="0.25">
      <c r="E114" s="11"/>
      <c r="F114" s="11"/>
      <c r="G114" s="11"/>
    </row>
    <row r="115" spans="5:7" x14ac:dyDescent="0.25">
      <c r="E115" s="11"/>
      <c r="F115" s="11"/>
      <c r="G115" s="11"/>
    </row>
    <row r="116" spans="5:7" x14ac:dyDescent="0.25">
      <c r="E116" s="11"/>
      <c r="F116" s="11"/>
      <c r="G116" s="11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118"/>
  <sheetViews>
    <sheetView topLeftCell="A22" zoomScale="110" zoomScaleNormal="110" workbookViewId="0">
      <selection activeCell="A5" sqref="A5:XFD11"/>
    </sheetView>
  </sheetViews>
  <sheetFormatPr baseColWidth="10" defaultRowHeight="15" x14ac:dyDescent="0.25"/>
  <cols>
    <col min="5" max="5" width="11.140625" customWidth="1"/>
    <col min="6" max="6" width="11.140625" style="230" customWidth="1"/>
    <col min="7" max="7" width="12.140625" customWidth="1"/>
    <col min="8" max="8" width="12.7109375" bestFit="1" customWidth="1"/>
    <col min="9" max="9" width="13.28515625" customWidth="1"/>
    <col min="11" max="11" width="13.4257812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46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/>
      <c r="B3" s="82"/>
      <c r="C3" s="124"/>
      <c r="D3" s="82"/>
      <c r="E3" s="82"/>
      <c r="F3" s="82"/>
      <c r="G3" s="82"/>
      <c r="H3" s="90"/>
      <c r="I3" s="90"/>
      <c r="J3" s="212"/>
      <c r="K3" s="220"/>
    </row>
    <row r="4" spans="1:11" x14ac:dyDescent="0.25">
      <c r="A4" s="179"/>
      <c r="B4" s="82"/>
      <c r="C4" s="124"/>
      <c r="D4" s="82"/>
      <c r="E4" s="82"/>
      <c r="F4" s="82"/>
      <c r="G4" s="82"/>
      <c r="H4" s="90"/>
      <c r="I4" s="90"/>
      <c r="J4" s="212"/>
      <c r="K4" s="220"/>
    </row>
    <row r="5" spans="1:11" x14ac:dyDescent="0.25">
      <c r="A5" s="179"/>
      <c r="B5" s="82"/>
      <c r="C5" s="124"/>
      <c r="D5" s="82"/>
      <c r="E5" s="82"/>
      <c r="F5" s="82"/>
      <c r="G5" s="82"/>
      <c r="H5" s="90"/>
      <c r="I5" s="90"/>
      <c r="J5" s="212"/>
      <c r="K5" s="220"/>
    </row>
    <row r="6" spans="1:11" x14ac:dyDescent="0.25">
      <c r="A6" s="179"/>
      <c r="B6" s="82"/>
      <c r="C6" s="124"/>
      <c r="D6" s="82"/>
      <c r="E6" s="82"/>
      <c r="F6" s="82"/>
      <c r="G6" s="82"/>
      <c r="H6" s="90"/>
      <c r="I6" s="90"/>
      <c r="J6" s="212"/>
      <c r="K6" s="220"/>
    </row>
    <row r="7" spans="1:11" x14ac:dyDescent="0.25">
      <c r="A7" s="179"/>
      <c r="B7" s="82"/>
      <c r="C7" s="124"/>
      <c r="D7" s="82"/>
      <c r="E7" s="82"/>
      <c r="F7" s="82"/>
      <c r="G7" s="82"/>
      <c r="H7" s="90"/>
      <c r="I7" s="90"/>
      <c r="J7" s="212"/>
      <c r="K7" s="220"/>
    </row>
    <row r="8" spans="1:11" x14ac:dyDescent="0.25">
      <c r="A8" s="179"/>
      <c r="B8" s="82"/>
      <c r="C8" s="124"/>
      <c r="D8" s="82"/>
      <c r="E8" s="82"/>
      <c r="F8" s="82"/>
      <c r="G8" s="82"/>
      <c r="H8" s="90"/>
      <c r="I8" s="90"/>
      <c r="J8" s="212"/>
      <c r="K8" s="220"/>
    </row>
    <row r="9" spans="1:11" x14ac:dyDescent="0.25">
      <c r="A9" s="179"/>
      <c r="B9" s="82"/>
      <c r="C9" s="124"/>
      <c r="D9" s="82"/>
      <c r="E9" s="82"/>
      <c r="F9" s="82"/>
      <c r="G9" s="82"/>
      <c r="H9" s="90"/>
      <c r="I9" s="90"/>
      <c r="J9" s="212"/>
      <c r="K9" s="220"/>
    </row>
    <row r="10" spans="1:11" x14ac:dyDescent="0.25">
      <c r="A10" s="179"/>
      <c r="B10" s="82"/>
      <c r="C10" s="124"/>
      <c r="D10" s="82"/>
      <c r="E10" s="82"/>
      <c r="F10" s="82"/>
      <c r="G10" s="82"/>
      <c r="H10" s="90"/>
      <c r="I10" s="90"/>
      <c r="J10" s="212"/>
      <c r="K10" s="220"/>
    </row>
    <row r="11" spans="1:11" x14ac:dyDescent="0.25">
      <c r="A11" s="179"/>
      <c r="B11" s="82"/>
      <c r="C11" s="124"/>
      <c r="D11" s="82"/>
      <c r="E11" s="82"/>
      <c r="F11" s="82"/>
      <c r="G11" s="82"/>
      <c r="H11" s="90"/>
      <c r="I11" s="90"/>
      <c r="J11" s="212"/>
      <c r="K11" s="220"/>
    </row>
    <row r="12" spans="1:11" x14ac:dyDescent="0.25">
      <c r="A12" s="179"/>
      <c r="B12" s="82"/>
      <c r="C12" s="124"/>
      <c r="D12" s="82"/>
      <c r="E12" s="82"/>
      <c r="F12" s="82"/>
      <c r="G12" s="82"/>
      <c r="H12" s="90"/>
      <c r="I12" s="90"/>
      <c r="J12" s="212"/>
      <c r="K12" s="220"/>
    </row>
    <row r="13" spans="1:11" x14ac:dyDescent="0.25">
      <c r="A13" s="179"/>
      <c r="B13" s="82"/>
      <c r="C13" s="124"/>
      <c r="D13" s="82"/>
      <c r="E13" s="82"/>
      <c r="F13" s="82"/>
      <c r="G13" s="82"/>
      <c r="H13" s="90"/>
      <c r="I13" s="90"/>
      <c r="J13" s="212"/>
      <c r="K13" s="220"/>
    </row>
    <row r="14" spans="1:11" x14ac:dyDescent="0.25">
      <c r="A14" s="179"/>
      <c r="B14" s="82"/>
      <c r="C14" s="124"/>
      <c r="D14" s="82"/>
      <c r="E14" s="82"/>
      <c r="F14" s="82"/>
      <c r="G14" s="82"/>
      <c r="H14" s="90"/>
      <c r="I14" s="90"/>
      <c r="J14" s="212"/>
      <c r="K14" s="220"/>
    </row>
    <row r="15" spans="1:11" x14ac:dyDescent="0.25">
      <c r="A15" s="179"/>
      <c r="B15" s="82"/>
      <c r="C15" s="124"/>
      <c r="D15" s="82"/>
      <c r="E15" s="82"/>
      <c r="F15" s="82"/>
      <c r="G15" s="82"/>
      <c r="H15" s="90"/>
      <c r="I15" s="90"/>
      <c r="J15" s="212"/>
      <c r="K15" s="220"/>
    </row>
    <row r="16" spans="1:11" x14ac:dyDescent="0.25">
      <c r="A16" s="179"/>
      <c r="B16" s="82"/>
      <c r="C16" s="124"/>
      <c r="D16" s="82"/>
      <c r="E16" s="82"/>
      <c r="F16" s="82"/>
      <c r="G16" s="82"/>
      <c r="H16" s="90"/>
      <c r="I16" s="90"/>
      <c r="J16" s="212"/>
      <c r="K16" s="220"/>
    </row>
    <row r="17" spans="1:11" x14ac:dyDescent="0.25">
      <c r="A17" s="179"/>
      <c r="B17" s="82"/>
      <c r="C17" s="124"/>
      <c r="D17" s="82"/>
      <c r="E17" s="82"/>
      <c r="F17" s="82"/>
      <c r="G17" s="82"/>
      <c r="H17" s="90"/>
      <c r="I17" s="90"/>
      <c r="J17" s="212"/>
      <c r="K17" s="220"/>
    </row>
    <row r="18" spans="1:11" x14ac:dyDescent="0.25">
      <c r="A18" s="179"/>
      <c r="B18" s="82"/>
      <c r="C18" s="124"/>
      <c r="D18" s="82"/>
      <c r="E18" s="82"/>
      <c r="F18" s="82"/>
      <c r="G18" s="82"/>
      <c r="H18" s="90"/>
      <c r="I18" s="90"/>
      <c r="J18" s="212"/>
      <c r="K18" s="220"/>
    </row>
    <row r="19" spans="1:11" x14ac:dyDescent="0.25">
      <c r="A19" s="179"/>
      <c r="B19" s="82"/>
      <c r="C19" s="124"/>
      <c r="D19" s="82"/>
      <c r="E19" s="82"/>
      <c r="F19" s="82"/>
      <c r="G19" s="82"/>
      <c r="H19" s="90"/>
      <c r="I19" s="90"/>
      <c r="J19" s="212"/>
      <c r="K19" s="220"/>
    </row>
    <row r="20" spans="1:11" x14ac:dyDescent="0.25">
      <c r="A20" s="179"/>
      <c r="B20" s="82"/>
      <c r="C20" s="124"/>
      <c r="D20" s="82"/>
      <c r="E20" s="82"/>
      <c r="F20" s="82"/>
      <c r="G20" s="82"/>
      <c r="H20" s="90"/>
      <c r="I20" s="90"/>
      <c r="J20" s="212"/>
      <c r="K20" s="220"/>
    </row>
    <row r="21" spans="1:11" x14ac:dyDescent="0.25">
      <c r="A21" s="179"/>
      <c r="B21" s="82"/>
      <c r="C21" s="124"/>
      <c r="D21" s="82"/>
      <c r="E21" s="82"/>
      <c r="F21" s="82"/>
      <c r="G21" s="82"/>
      <c r="H21" s="90"/>
      <c r="I21" s="90"/>
      <c r="J21" s="212"/>
      <c r="K21" s="220"/>
    </row>
    <row r="22" spans="1:11" x14ac:dyDescent="0.25">
      <c r="A22" s="179"/>
      <c r="B22" s="82"/>
      <c r="C22" s="124"/>
      <c r="D22" s="82"/>
      <c r="E22" s="82"/>
      <c r="F22" s="82"/>
      <c r="G22" s="82"/>
      <c r="H22" s="90"/>
      <c r="I22" s="90"/>
      <c r="J22" s="212"/>
      <c r="K22" s="220"/>
    </row>
    <row r="23" spans="1:11" x14ac:dyDescent="0.25">
      <c r="A23" s="179"/>
      <c r="B23" s="82"/>
      <c r="C23" s="124"/>
      <c r="D23" s="82"/>
      <c r="E23" s="82"/>
      <c r="F23" s="82"/>
      <c r="G23" s="82"/>
      <c r="H23" s="90"/>
      <c r="I23" s="90"/>
      <c r="J23" s="212"/>
      <c r="K23" s="220"/>
    </row>
    <row r="24" spans="1:11" x14ac:dyDescent="0.25">
      <c r="A24" s="179"/>
      <c r="B24" s="82"/>
      <c r="C24" s="124"/>
      <c r="D24" s="82"/>
      <c r="E24" s="82"/>
      <c r="F24" s="82"/>
      <c r="G24" s="82"/>
      <c r="H24" s="90"/>
      <c r="I24" s="90"/>
      <c r="J24" s="212"/>
      <c r="K24" s="220"/>
    </row>
    <row r="25" spans="1:11" x14ac:dyDescent="0.25">
      <c r="A25" s="179"/>
      <c r="B25" s="82"/>
      <c r="C25" s="124"/>
      <c r="D25" s="82"/>
      <c r="E25" s="82"/>
      <c r="F25" s="82"/>
      <c r="G25" s="82"/>
      <c r="H25" s="90"/>
      <c r="I25" s="90"/>
      <c r="J25" s="212"/>
      <c r="K25" s="220"/>
    </row>
    <row r="26" spans="1:11" x14ac:dyDescent="0.25">
      <c r="A26" s="179"/>
      <c r="B26" s="82"/>
      <c r="C26" s="124"/>
      <c r="D26" s="82"/>
      <c r="E26" s="82"/>
      <c r="F26" s="82"/>
      <c r="G26" s="82"/>
      <c r="H26" s="90"/>
      <c r="I26" s="90"/>
      <c r="J26" s="212"/>
      <c r="K26" s="220"/>
    </row>
    <row r="27" spans="1:11" x14ac:dyDescent="0.25">
      <c r="A27" s="179"/>
      <c r="B27" s="82"/>
      <c r="C27" s="124"/>
      <c r="D27" s="82"/>
      <c r="E27" s="82"/>
      <c r="F27" s="82"/>
      <c r="G27" s="82"/>
      <c r="H27" s="90"/>
      <c r="I27" s="90"/>
      <c r="J27" s="212"/>
      <c r="K27" s="220"/>
    </row>
    <row r="28" spans="1:11" x14ac:dyDescent="0.25">
      <c r="A28" s="179"/>
      <c r="B28" s="82"/>
      <c r="C28" s="124"/>
      <c r="D28" s="82"/>
      <c r="E28" s="82"/>
      <c r="F28" s="82"/>
      <c r="G28" s="82"/>
      <c r="H28" s="90"/>
      <c r="I28" s="90"/>
      <c r="J28" s="212"/>
      <c r="K28" s="220"/>
    </row>
    <row r="29" spans="1:11" x14ac:dyDescent="0.25">
      <c r="A29" s="179">
        <v>46112</v>
      </c>
      <c r="B29" s="82" t="s">
        <v>296</v>
      </c>
      <c r="C29" s="124" t="s">
        <v>9</v>
      </c>
      <c r="D29" s="82">
        <v>820</v>
      </c>
      <c r="E29" s="82"/>
      <c r="F29" s="82">
        <v>34.6</v>
      </c>
      <c r="G29" s="82"/>
      <c r="H29" s="90">
        <v>189318</v>
      </c>
      <c r="I29" s="90" t="s">
        <v>304</v>
      </c>
      <c r="J29" s="212"/>
      <c r="K29" s="220"/>
    </row>
    <row r="30" spans="1:11" x14ac:dyDescent="0.25">
      <c r="A30" s="179">
        <v>46118</v>
      </c>
      <c r="B30" s="227" t="s">
        <v>9</v>
      </c>
      <c r="C30" s="82" t="s">
        <v>300</v>
      </c>
      <c r="D30" s="82">
        <v>420</v>
      </c>
      <c r="E30" s="82"/>
      <c r="F30" s="82">
        <v>34.71</v>
      </c>
      <c r="G30" s="82"/>
      <c r="H30" s="123">
        <v>619049</v>
      </c>
      <c r="I30" s="90" t="s">
        <v>301</v>
      </c>
      <c r="J30" s="212"/>
      <c r="K30" s="220"/>
    </row>
    <row r="31" spans="1:11" x14ac:dyDescent="0.25">
      <c r="A31" s="179">
        <v>46119</v>
      </c>
      <c r="B31" s="227" t="s">
        <v>300</v>
      </c>
      <c r="C31" s="82" t="s">
        <v>118</v>
      </c>
      <c r="D31" s="82">
        <v>85</v>
      </c>
      <c r="E31" s="82"/>
      <c r="F31" s="82"/>
      <c r="G31" s="82"/>
      <c r="H31" s="128" t="s">
        <v>66</v>
      </c>
      <c r="I31" s="90"/>
      <c r="J31" s="212"/>
      <c r="K31" s="220"/>
    </row>
    <row r="32" spans="1:11" x14ac:dyDescent="0.25">
      <c r="A32" s="179">
        <v>46120</v>
      </c>
      <c r="B32" s="82" t="s">
        <v>118</v>
      </c>
      <c r="C32" s="124" t="s">
        <v>385</v>
      </c>
      <c r="D32" s="82">
        <v>1560</v>
      </c>
      <c r="E32" s="82"/>
      <c r="F32" s="82"/>
      <c r="G32" s="82"/>
      <c r="H32" s="90">
        <v>119871</v>
      </c>
      <c r="I32" s="215" t="s">
        <v>399</v>
      </c>
      <c r="J32" s="212"/>
      <c r="K32" s="220"/>
    </row>
    <row r="33" spans="1:11" x14ac:dyDescent="0.25">
      <c r="A33" s="179">
        <v>46122</v>
      </c>
      <c r="B33" s="124" t="s">
        <v>385</v>
      </c>
      <c r="C33" s="124" t="s">
        <v>9</v>
      </c>
      <c r="D33" s="82">
        <v>1070</v>
      </c>
      <c r="E33" s="82"/>
      <c r="F33" s="82"/>
      <c r="G33" s="82"/>
      <c r="H33" s="83" t="s">
        <v>66</v>
      </c>
      <c r="I33" s="90"/>
      <c r="J33" s="212"/>
      <c r="K33" s="220"/>
    </row>
    <row r="34" spans="1:11" x14ac:dyDescent="0.25">
      <c r="A34" s="179">
        <v>46125</v>
      </c>
      <c r="B34" s="82" t="s">
        <v>9</v>
      </c>
      <c r="C34" s="124" t="s">
        <v>300</v>
      </c>
      <c r="D34" s="82">
        <v>430</v>
      </c>
      <c r="E34" s="82"/>
      <c r="F34" s="82"/>
      <c r="G34" s="82"/>
      <c r="H34" s="90">
        <v>293730</v>
      </c>
      <c r="I34" s="90" t="s">
        <v>15</v>
      </c>
      <c r="J34" s="212"/>
      <c r="K34" s="220"/>
    </row>
    <row r="35" spans="1:11" x14ac:dyDescent="0.25">
      <c r="A35" s="179">
        <v>46126</v>
      </c>
      <c r="B35" s="82" t="s">
        <v>300</v>
      </c>
      <c r="C35" s="124" t="s">
        <v>118</v>
      </c>
      <c r="D35" s="82">
        <v>100</v>
      </c>
      <c r="E35" s="82"/>
      <c r="F35" s="82"/>
      <c r="G35" s="82"/>
      <c r="H35" s="83" t="s">
        <v>66</v>
      </c>
      <c r="I35" s="90"/>
      <c r="J35" s="212"/>
      <c r="K35" s="220"/>
    </row>
    <row r="36" spans="1:11" x14ac:dyDescent="0.25">
      <c r="A36" s="179">
        <v>46127</v>
      </c>
      <c r="B36" s="82" t="s">
        <v>118</v>
      </c>
      <c r="C36" s="124" t="s">
        <v>385</v>
      </c>
      <c r="D36" s="82">
        <v>1560</v>
      </c>
      <c r="E36" s="82"/>
      <c r="F36" s="82"/>
      <c r="G36" s="82"/>
      <c r="H36" s="90">
        <v>81423</v>
      </c>
      <c r="I36" s="90" t="s">
        <v>386</v>
      </c>
      <c r="J36" s="212"/>
      <c r="K36" s="220"/>
    </row>
    <row r="37" spans="1:11" x14ac:dyDescent="0.25">
      <c r="A37" s="179">
        <v>46129</v>
      </c>
      <c r="B37" s="124" t="s">
        <v>385</v>
      </c>
      <c r="C37" s="124" t="s">
        <v>9</v>
      </c>
      <c r="D37" s="82">
        <v>1070</v>
      </c>
      <c r="E37" s="82"/>
      <c r="F37" s="82"/>
      <c r="G37" s="82"/>
      <c r="H37" s="83" t="s">
        <v>66</v>
      </c>
      <c r="I37" s="90"/>
      <c r="J37" s="212"/>
      <c r="K37" s="220"/>
    </row>
    <row r="38" spans="1:11" x14ac:dyDescent="0.25">
      <c r="A38" s="179">
        <v>46132</v>
      </c>
      <c r="B38" s="82" t="s">
        <v>9</v>
      </c>
      <c r="C38" s="82" t="s">
        <v>382</v>
      </c>
      <c r="D38" s="82">
        <v>420</v>
      </c>
      <c r="E38" s="82"/>
      <c r="F38" s="82"/>
      <c r="G38" s="82"/>
      <c r="H38" s="123" t="s">
        <v>252</v>
      </c>
      <c r="I38" s="90" t="s">
        <v>344</v>
      </c>
      <c r="J38" s="212"/>
      <c r="K38" s="220"/>
    </row>
    <row r="39" spans="1:11" x14ac:dyDescent="0.25">
      <c r="A39" s="179">
        <v>46133</v>
      </c>
      <c r="B39" s="82" t="s">
        <v>352</v>
      </c>
      <c r="C39" s="82" t="s">
        <v>118</v>
      </c>
      <c r="D39" s="82">
        <v>150</v>
      </c>
      <c r="E39" s="82"/>
      <c r="F39" s="82"/>
      <c r="G39" s="82"/>
      <c r="H39" s="128" t="s">
        <v>66</v>
      </c>
      <c r="I39" s="90"/>
      <c r="J39" s="212"/>
      <c r="K39" s="220"/>
    </row>
    <row r="40" spans="1:11" x14ac:dyDescent="0.25">
      <c r="A40" s="179">
        <v>46133</v>
      </c>
      <c r="B40" s="82" t="s">
        <v>118</v>
      </c>
      <c r="C40" s="124" t="s">
        <v>467</v>
      </c>
      <c r="D40" s="82">
        <v>1430</v>
      </c>
      <c r="E40" s="82"/>
      <c r="F40" s="82"/>
      <c r="G40" s="82"/>
      <c r="H40" s="289">
        <v>122161</v>
      </c>
      <c r="I40" s="90" t="s">
        <v>468</v>
      </c>
      <c r="J40" s="212"/>
      <c r="K40" s="220"/>
    </row>
    <row r="41" spans="1:11" x14ac:dyDescent="0.25">
      <c r="A41" s="179">
        <v>46135</v>
      </c>
      <c r="B41" s="82" t="s">
        <v>467</v>
      </c>
      <c r="C41" s="124" t="s">
        <v>227</v>
      </c>
      <c r="D41" s="82">
        <v>200</v>
      </c>
      <c r="E41" s="82"/>
      <c r="F41" s="82"/>
      <c r="G41" s="82"/>
      <c r="H41" s="83" t="s">
        <v>66</v>
      </c>
      <c r="I41" s="90"/>
      <c r="J41" s="212"/>
      <c r="K41" s="220"/>
    </row>
    <row r="42" spans="1:11" x14ac:dyDescent="0.25">
      <c r="A42" s="179">
        <v>46136</v>
      </c>
      <c r="B42" s="82" t="s">
        <v>296</v>
      </c>
      <c r="C42" s="124" t="s">
        <v>9</v>
      </c>
      <c r="D42" s="82">
        <v>820</v>
      </c>
      <c r="E42" s="82"/>
      <c r="F42" s="82">
        <v>34.4</v>
      </c>
      <c r="G42" s="82"/>
      <c r="H42" s="90">
        <v>189853</v>
      </c>
      <c r="I42" s="90" t="s">
        <v>304</v>
      </c>
      <c r="J42" s="212"/>
      <c r="K42" s="220"/>
    </row>
    <row r="43" spans="1:11" x14ac:dyDescent="0.25">
      <c r="A43" s="179">
        <v>46137</v>
      </c>
      <c r="B43" s="82" t="s">
        <v>9</v>
      </c>
      <c r="C43" s="124" t="s">
        <v>351</v>
      </c>
      <c r="D43" s="82">
        <v>1010</v>
      </c>
      <c r="E43" s="82"/>
      <c r="F43" s="82"/>
      <c r="G43" s="82"/>
      <c r="H43" s="90">
        <v>620324</v>
      </c>
      <c r="I43" s="90" t="s">
        <v>257</v>
      </c>
      <c r="J43" s="212"/>
      <c r="K43" s="220"/>
    </row>
    <row r="44" spans="1:11" x14ac:dyDescent="0.25">
      <c r="A44" s="179">
        <v>46140</v>
      </c>
      <c r="B44" s="82" t="s">
        <v>351</v>
      </c>
      <c r="C44" s="124" t="s">
        <v>227</v>
      </c>
      <c r="D44" s="82">
        <v>240</v>
      </c>
      <c r="E44" s="82"/>
      <c r="F44" s="82"/>
      <c r="G44" s="82"/>
      <c r="H44" s="83" t="s">
        <v>66</v>
      </c>
      <c r="I44" s="90"/>
      <c r="J44" s="212"/>
      <c r="K44" s="220"/>
    </row>
    <row r="45" spans="1:11" x14ac:dyDescent="0.25">
      <c r="A45" s="179">
        <v>46140</v>
      </c>
      <c r="B45" s="82" t="s">
        <v>296</v>
      </c>
      <c r="C45" s="124" t="s">
        <v>9</v>
      </c>
      <c r="D45" s="82">
        <v>820</v>
      </c>
      <c r="E45" s="82"/>
      <c r="F45" s="82">
        <v>34.1</v>
      </c>
      <c r="G45" s="82"/>
      <c r="H45" s="90">
        <v>190029</v>
      </c>
      <c r="I45" s="90" t="s">
        <v>304</v>
      </c>
      <c r="J45" s="212"/>
      <c r="K45" s="220"/>
    </row>
    <row r="46" spans="1:11" x14ac:dyDescent="0.25">
      <c r="A46" s="179">
        <v>46141</v>
      </c>
      <c r="B46" s="82" t="s">
        <v>9</v>
      </c>
      <c r="C46" s="124" t="s">
        <v>276</v>
      </c>
      <c r="D46" s="82">
        <v>400</v>
      </c>
      <c r="E46" s="82"/>
      <c r="F46" s="82"/>
      <c r="G46" s="82"/>
      <c r="H46" s="90" t="s">
        <v>252</v>
      </c>
      <c r="I46" s="90" t="s">
        <v>15</v>
      </c>
      <c r="J46" s="212"/>
      <c r="K46" s="220"/>
    </row>
    <row r="47" spans="1:11" x14ac:dyDescent="0.25">
      <c r="A47" s="179">
        <v>46142</v>
      </c>
      <c r="B47" s="82" t="s">
        <v>424</v>
      </c>
      <c r="C47" s="124" t="s">
        <v>118</v>
      </c>
      <c r="D47" s="82">
        <v>150</v>
      </c>
      <c r="E47" s="82"/>
      <c r="F47" s="82"/>
      <c r="G47" s="82"/>
      <c r="H47" s="128" t="s">
        <v>66</v>
      </c>
      <c r="I47" s="90"/>
      <c r="J47" s="212"/>
      <c r="K47" s="220"/>
    </row>
    <row r="48" spans="1:11" x14ac:dyDescent="0.25">
      <c r="A48" s="179"/>
      <c r="B48" s="82"/>
      <c r="C48" s="124"/>
      <c r="D48" s="151" t="s">
        <v>453</v>
      </c>
      <c r="E48" s="82"/>
      <c r="F48" s="82"/>
      <c r="G48" s="82"/>
      <c r="H48" s="83"/>
      <c r="I48" s="90"/>
      <c r="J48" s="212"/>
      <c r="K48" s="220"/>
    </row>
    <row r="49" spans="1:11" x14ac:dyDescent="0.25">
      <c r="A49" s="5"/>
      <c r="B49" s="6"/>
      <c r="C49" s="6"/>
      <c r="D49" s="6"/>
      <c r="E49" s="6"/>
      <c r="F49" s="6"/>
      <c r="G49" s="6"/>
      <c r="H49" s="7"/>
      <c r="I49" s="7"/>
      <c r="J49" s="140"/>
      <c r="K49" s="221"/>
    </row>
    <row r="50" spans="1:11" x14ac:dyDescent="0.25">
      <c r="D50" s="17">
        <f>SUM(D3:D49)</f>
        <v>12755</v>
      </c>
      <c r="E50" s="13"/>
      <c r="F50" s="175">
        <f>AVERAGE(F3:F48)</f>
        <v>34.452500000000001</v>
      </c>
      <c r="G50" s="13"/>
      <c r="J50" s="139">
        <f>SUM(J3:J49)</f>
        <v>0</v>
      </c>
      <c r="K50" s="244">
        <f>SUM(K3:K49)</f>
        <v>0</v>
      </c>
    </row>
    <row r="55" spans="1:11" x14ac:dyDescent="0.25">
      <c r="D55" s="11"/>
    </row>
    <row r="56" spans="1:11" x14ac:dyDescent="0.25">
      <c r="D56" s="11"/>
    </row>
    <row r="57" spans="1:11" x14ac:dyDescent="0.25">
      <c r="D57" s="11"/>
    </row>
    <row r="58" spans="1:11" x14ac:dyDescent="0.25">
      <c r="B58" s="230">
        <v>-2000</v>
      </c>
      <c r="C58" s="11" t="s">
        <v>93</v>
      </c>
      <c r="D58" s="11"/>
      <c r="E58" s="11"/>
      <c r="F58" s="247"/>
      <c r="G58" s="89"/>
      <c r="K58" s="4"/>
    </row>
    <row r="59" spans="1:11" x14ac:dyDescent="0.25">
      <c r="B59" s="230">
        <v>10400</v>
      </c>
      <c r="C59" s="11" t="s">
        <v>12</v>
      </c>
      <c r="D59" s="11"/>
      <c r="E59" s="11"/>
      <c r="F59" s="247"/>
      <c r="G59" s="89"/>
      <c r="K59" s="4"/>
    </row>
    <row r="60" spans="1:11" x14ac:dyDescent="0.25">
      <c r="B60" s="230">
        <v>-20000</v>
      </c>
      <c r="C60" s="11" t="s">
        <v>93</v>
      </c>
      <c r="D60" s="11"/>
      <c r="E60" s="11"/>
      <c r="F60" s="247"/>
      <c r="G60" s="89"/>
      <c r="K60" s="4"/>
    </row>
    <row r="61" spans="1:11" x14ac:dyDescent="0.25">
      <c r="B61" s="230">
        <v>18800</v>
      </c>
      <c r="C61" s="11" t="s">
        <v>12</v>
      </c>
      <c r="D61" s="11"/>
      <c r="E61" s="11"/>
      <c r="F61" s="247"/>
      <c r="G61" s="89"/>
      <c r="K61" s="4"/>
    </row>
    <row r="62" spans="1:11" x14ac:dyDescent="0.25">
      <c r="B62" s="230">
        <v>8000</v>
      </c>
      <c r="C62" s="11" t="s">
        <v>141</v>
      </c>
      <c r="D62" s="11"/>
      <c r="E62" s="11"/>
      <c r="F62" s="247"/>
      <c r="G62" s="89"/>
      <c r="K62" s="4"/>
    </row>
    <row r="63" spans="1:11" x14ac:dyDescent="0.25">
      <c r="B63" s="230">
        <v>-35000</v>
      </c>
      <c r="C63" s="11" t="s">
        <v>93</v>
      </c>
      <c r="D63" s="11"/>
      <c r="E63" s="11"/>
      <c r="F63" s="247"/>
      <c r="G63" s="89"/>
      <c r="K63" s="4"/>
    </row>
    <row r="64" spans="1:11" x14ac:dyDescent="0.25">
      <c r="B64" s="230">
        <v>9800</v>
      </c>
      <c r="C64" s="11" t="s">
        <v>12</v>
      </c>
      <c r="D64" s="11"/>
      <c r="E64" s="11"/>
      <c r="F64" s="247"/>
      <c r="G64" s="89"/>
      <c r="K64" s="4"/>
    </row>
    <row r="65" spans="2:11" x14ac:dyDescent="0.25">
      <c r="B65" s="230">
        <v>-10000</v>
      </c>
      <c r="C65" s="11" t="s">
        <v>93</v>
      </c>
      <c r="D65" s="11">
        <v>45427</v>
      </c>
      <c r="E65" s="11"/>
      <c r="F65" s="247"/>
      <c r="G65" s="89"/>
      <c r="K65" s="4"/>
    </row>
    <row r="66" spans="2:11" x14ac:dyDescent="0.25">
      <c r="B66" s="230">
        <v>-80000</v>
      </c>
      <c r="C66" s="11" t="s">
        <v>93</v>
      </c>
      <c r="D66" s="11"/>
      <c r="E66" s="11"/>
      <c r="F66" s="247"/>
      <c r="G66" s="89"/>
      <c r="K66" s="4"/>
    </row>
    <row r="67" spans="2:11" x14ac:dyDescent="0.25">
      <c r="B67" s="230">
        <v>9000</v>
      </c>
      <c r="C67" s="11" t="s">
        <v>95</v>
      </c>
      <c r="D67" s="11"/>
      <c r="E67" s="11"/>
      <c r="F67" s="247"/>
      <c r="G67" s="89"/>
      <c r="K67" s="4"/>
    </row>
    <row r="68" spans="2:11" x14ac:dyDescent="0.25">
      <c r="B68" s="230">
        <v>43600</v>
      </c>
      <c r="C68" s="11" t="s">
        <v>12</v>
      </c>
      <c r="D68" s="11"/>
      <c r="E68" s="11"/>
      <c r="F68" s="247"/>
      <c r="G68" s="89"/>
      <c r="K68" s="4"/>
    </row>
    <row r="69" spans="2:11" x14ac:dyDescent="0.25">
      <c r="B69" s="230">
        <v>48608</v>
      </c>
      <c r="C69" s="11" t="s">
        <v>267</v>
      </c>
      <c r="D69" s="11"/>
      <c r="E69" s="11"/>
      <c r="F69" s="247"/>
      <c r="G69" s="89"/>
      <c r="K69" s="4"/>
    </row>
    <row r="70" spans="2:11" x14ac:dyDescent="0.25">
      <c r="B70" s="230">
        <v>-13000</v>
      </c>
      <c r="C70" s="11" t="s">
        <v>93</v>
      </c>
      <c r="D70" s="11"/>
      <c r="E70" s="11"/>
      <c r="F70" s="247"/>
      <c r="G70" s="89"/>
      <c r="K70" s="4"/>
    </row>
    <row r="71" spans="2:11" x14ac:dyDescent="0.25">
      <c r="B71" s="230"/>
      <c r="C71" s="11"/>
      <c r="D71" s="11"/>
      <c r="E71" s="11"/>
      <c r="F71" s="247"/>
      <c r="G71" s="89"/>
      <c r="K71" s="4"/>
    </row>
    <row r="72" spans="2:11" x14ac:dyDescent="0.25">
      <c r="B72" s="135">
        <f>SUM(B57:B70)</f>
        <v>-11792</v>
      </c>
      <c r="C72" s="11">
        <v>45595</v>
      </c>
      <c r="D72" s="11"/>
      <c r="E72" s="11"/>
      <c r="F72" s="247"/>
      <c r="G72" s="11"/>
      <c r="K72" s="4"/>
    </row>
    <row r="73" spans="2:11" x14ac:dyDescent="0.25">
      <c r="B73" s="11"/>
      <c r="D73" s="11"/>
      <c r="E73" s="11"/>
      <c r="F73" s="247"/>
      <c r="G73" s="11"/>
      <c r="K73" s="4"/>
    </row>
    <row r="74" spans="2:11" x14ac:dyDescent="0.25">
      <c r="B74" s="11"/>
      <c r="E74" s="11"/>
      <c r="F74" s="247"/>
      <c r="G74" s="11"/>
      <c r="K74" s="4"/>
    </row>
    <row r="75" spans="2:11" x14ac:dyDescent="0.25">
      <c r="B75" s="11"/>
      <c r="E75" s="11"/>
      <c r="F75" s="247"/>
      <c r="G75" s="11"/>
      <c r="K75" s="4"/>
    </row>
    <row r="76" spans="2:11" x14ac:dyDescent="0.25">
      <c r="B76" s="11"/>
      <c r="E76" s="11"/>
      <c r="F76" s="247"/>
      <c r="G76" s="11"/>
      <c r="K76" s="4"/>
    </row>
    <row r="77" spans="2:11" x14ac:dyDescent="0.25">
      <c r="B77" s="11"/>
      <c r="C77" s="11"/>
      <c r="E77" s="11"/>
      <c r="F77" s="247"/>
      <c r="G77" s="11"/>
      <c r="K77" s="4"/>
    </row>
    <row r="78" spans="2:11" x14ac:dyDescent="0.25">
      <c r="B78" s="11"/>
      <c r="E78" s="4"/>
      <c r="K78" s="4"/>
    </row>
    <row r="79" spans="2:11" x14ac:dyDescent="0.25">
      <c r="B79" s="11"/>
      <c r="F79" s="247"/>
      <c r="G79" s="11"/>
      <c r="I79" s="173"/>
      <c r="K79" s="4"/>
    </row>
    <row r="80" spans="2:11" x14ac:dyDescent="0.25">
      <c r="B80" s="11"/>
      <c r="E80" s="11"/>
      <c r="F80" s="247"/>
      <c r="G80" s="11"/>
      <c r="K80" s="4"/>
    </row>
    <row r="81" spans="2:11" x14ac:dyDescent="0.25">
      <c r="B81" s="11"/>
      <c r="K81" s="4"/>
    </row>
    <row r="82" spans="2:11" x14ac:dyDescent="0.25">
      <c r="B82" s="11"/>
      <c r="E82" s="11"/>
      <c r="F82" s="247"/>
      <c r="G82" s="11"/>
      <c r="K82" s="4"/>
    </row>
    <row r="83" spans="2:11" x14ac:dyDescent="0.25">
      <c r="B83" s="11"/>
      <c r="I83" s="4"/>
    </row>
    <row r="84" spans="2:11" x14ac:dyDescent="0.25">
      <c r="B84" s="11"/>
      <c r="E84" s="11"/>
      <c r="F84" s="247"/>
      <c r="G84" s="11"/>
      <c r="K84" s="4"/>
    </row>
    <row r="85" spans="2:11" x14ac:dyDescent="0.25">
      <c r="B85" s="11"/>
      <c r="E85" s="11"/>
      <c r="F85" s="247"/>
      <c r="G85" s="11"/>
      <c r="K85" s="4"/>
    </row>
    <row r="86" spans="2:11" x14ac:dyDescent="0.25">
      <c r="B86" s="11"/>
      <c r="E86" s="11"/>
      <c r="F86" s="247"/>
      <c r="G86" s="11"/>
      <c r="K86" s="4"/>
    </row>
    <row r="87" spans="2:11" x14ac:dyDescent="0.25">
      <c r="B87" s="11"/>
      <c r="E87" s="11"/>
      <c r="F87" s="247"/>
      <c r="G87" s="11"/>
      <c r="K87" s="4"/>
    </row>
    <row r="88" spans="2:11" x14ac:dyDescent="0.25">
      <c r="B88" s="11"/>
      <c r="E88" s="11"/>
      <c r="F88" s="247"/>
      <c r="G88" s="11"/>
      <c r="K88" s="4"/>
    </row>
    <row r="89" spans="2:11" x14ac:dyDescent="0.25">
      <c r="B89" s="11"/>
      <c r="D89" s="11"/>
      <c r="E89" s="11"/>
      <c r="F89" s="247"/>
      <c r="G89" s="11"/>
      <c r="K89" s="4"/>
    </row>
    <row r="90" spans="2:11" x14ac:dyDescent="0.25">
      <c r="B90" s="11"/>
      <c r="E90" s="11"/>
      <c r="F90" s="247"/>
      <c r="G90" s="11"/>
      <c r="K90" s="4"/>
    </row>
    <row r="91" spans="2:11" x14ac:dyDescent="0.25">
      <c r="B91" s="11"/>
      <c r="E91" s="11"/>
      <c r="F91" s="247"/>
      <c r="G91" s="11"/>
      <c r="K91" s="4"/>
    </row>
    <row r="92" spans="2:11" x14ac:dyDescent="0.25">
      <c r="B92" s="11"/>
      <c r="E92" s="11"/>
      <c r="F92" s="247"/>
      <c r="G92" s="11"/>
      <c r="K92" s="4"/>
    </row>
    <row r="93" spans="2:11" x14ac:dyDescent="0.25">
      <c r="B93" s="11"/>
      <c r="E93" s="11"/>
      <c r="F93" s="247"/>
      <c r="G93" s="11"/>
      <c r="K93" s="4"/>
    </row>
    <row r="94" spans="2:11" x14ac:dyDescent="0.25">
      <c r="B94" s="11"/>
      <c r="E94" s="11"/>
      <c r="F94" s="247"/>
      <c r="G94" s="11"/>
      <c r="K94" s="4"/>
    </row>
    <row r="95" spans="2:11" x14ac:dyDescent="0.25">
      <c r="B95" s="11"/>
      <c r="E95" s="11"/>
      <c r="F95" s="247"/>
      <c r="G95" s="11"/>
      <c r="K95" s="4"/>
    </row>
    <row r="96" spans="2:11" x14ac:dyDescent="0.25">
      <c r="B96" s="11"/>
      <c r="E96" s="11"/>
      <c r="F96" s="247"/>
      <c r="G96" s="11"/>
    </row>
    <row r="97" spans="2:7" x14ac:dyDescent="0.25">
      <c r="B97" s="11"/>
      <c r="E97" s="11"/>
      <c r="F97" s="247"/>
      <c r="G97" s="11"/>
    </row>
    <row r="98" spans="2:7" x14ac:dyDescent="0.25">
      <c r="B98" s="11"/>
      <c r="E98" s="11"/>
      <c r="F98" s="247"/>
      <c r="G98" s="11"/>
    </row>
    <row r="99" spans="2:7" x14ac:dyDescent="0.25">
      <c r="B99" s="11"/>
      <c r="E99" s="11"/>
      <c r="F99" s="247"/>
      <c r="G99" s="11"/>
    </row>
    <row r="100" spans="2:7" x14ac:dyDescent="0.25">
      <c r="B100" s="11"/>
      <c r="E100" s="11"/>
      <c r="F100" s="247"/>
      <c r="G100" s="11"/>
    </row>
    <row r="101" spans="2:7" x14ac:dyDescent="0.25">
      <c r="B101" s="11"/>
      <c r="E101" s="11"/>
      <c r="F101" s="247"/>
      <c r="G101" s="11"/>
    </row>
    <row r="102" spans="2:7" x14ac:dyDescent="0.25">
      <c r="B102" s="11"/>
      <c r="E102" s="11"/>
      <c r="F102" s="247"/>
      <c r="G102" s="11"/>
    </row>
    <row r="103" spans="2:7" x14ac:dyDescent="0.25">
      <c r="B103" s="11"/>
      <c r="E103" s="11"/>
      <c r="F103" s="247"/>
      <c r="G103" s="11"/>
    </row>
    <row r="104" spans="2:7" x14ac:dyDescent="0.25">
      <c r="B104" s="11"/>
      <c r="E104" s="11"/>
      <c r="F104" s="247"/>
      <c r="G104" s="11"/>
    </row>
    <row r="105" spans="2:7" x14ac:dyDescent="0.25">
      <c r="B105" s="11"/>
      <c r="E105" s="11"/>
      <c r="F105" s="247"/>
      <c r="G105" s="11"/>
    </row>
    <row r="106" spans="2:7" x14ac:dyDescent="0.25">
      <c r="B106" s="11"/>
      <c r="E106" s="11"/>
      <c r="F106" s="247"/>
      <c r="G106" s="11"/>
    </row>
    <row r="107" spans="2:7" x14ac:dyDescent="0.25">
      <c r="B107" s="11"/>
      <c r="E107" s="11"/>
      <c r="F107" s="247"/>
      <c r="G107" s="11"/>
    </row>
    <row r="108" spans="2:7" x14ac:dyDescent="0.25">
      <c r="B108" s="11"/>
      <c r="E108" s="11"/>
      <c r="F108" s="247"/>
      <c r="G108" s="11"/>
    </row>
    <row r="109" spans="2:7" x14ac:dyDescent="0.25">
      <c r="B109" s="11"/>
      <c r="E109" s="11"/>
      <c r="F109" s="247"/>
      <c r="G109" s="11"/>
    </row>
    <row r="110" spans="2:7" x14ac:dyDescent="0.25">
      <c r="B110" s="11"/>
      <c r="E110" s="11"/>
      <c r="F110" s="247"/>
      <c r="G110" s="11"/>
    </row>
    <row r="111" spans="2:7" x14ac:dyDescent="0.25">
      <c r="B111" s="11"/>
      <c r="E111" s="11"/>
      <c r="F111" s="247"/>
      <c r="G111" s="11"/>
    </row>
    <row r="112" spans="2:7" x14ac:dyDescent="0.25">
      <c r="B112" s="11"/>
      <c r="E112" s="11"/>
      <c r="F112" s="247"/>
      <c r="G112" s="11"/>
    </row>
    <row r="113" spans="5:7" x14ac:dyDescent="0.25">
      <c r="E113" s="11"/>
      <c r="F113" s="247"/>
      <c r="G113" s="11"/>
    </row>
    <row r="114" spans="5:7" x14ac:dyDescent="0.25">
      <c r="E114" s="11"/>
      <c r="F114" s="247"/>
      <c r="G114" s="11"/>
    </row>
    <row r="115" spans="5:7" x14ac:dyDescent="0.25">
      <c r="E115" s="11"/>
      <c r="F115" s="247"/>
      <c r="G115" s="11"/>
    </row>
    <row r="116" spans="5:7" x14ac:dyDescent="0.25">
      <c r="E116" s="11"/>
      <c r="F116" s="247"/>
      <c r="G116" s="11"/>
    </row>
    <row r="117" spans="5:7" x14ac:dyDescent="0.25">
      <c r="E117" s="11"/>
      <c r="F117" s="247"/>
      <c r="G117" s="11"/>
    </row>
    <row r="118" spans="5:7" x14ac:dyDescent="0.25">
      <c r="E118" s="11"/>
      <c r="F118" s="247"/>
      <c r="G118" s="1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112"/>
  <sheetViews>
    <sheetView topLeftCell="A22" zoomScale="110" zoomScaleNormal="110" workbookViewId="0">
      <selection activeCell="M3" sqref="M3"/>
    </sheetView>
  </sheetViews>
  <sheetFormatPr baseColWidth="10" defaultRowHeight="15" x14ac:dyDescent="0.25"/>
  <cols>
    <col min="5" max="5" width="11.140625" customWidth="1"/>
    <col min="6" max="6" width="11.140625" style="230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46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51"/>
      <c r="B3" s="82"/>
      <c r="C3" s="124"/>
      <c r="D3" s="82"/>
      <c r="E3" s="82"/>
      <c r="F3" s="82"/>
      <c r="G3" s="82"/>
      <c r="H3" s="123"/>
      <c r="I3" s="90"/>
      <c r="J3" s="212"/>
      <c r="K3" s="241"/>
    </row>
    <row r="4" spans="1:11" x14ac:dyDescent="0.25">
      <c r="A4" s="251"/>
      <c r="B4" s="82"/>
      <c r="C4" s="124"/>
      <c r="D4" s="82"/>
      <c r="E4" s="82"/>
      <c r="F4" s="82"/>
      <c r="G4" s="82"/>
      <c r="H4" s="83"/>
      <c r="I4" s="90"/>
      <c r="J4" s="212"/>
      <c r="K4" s="241"/>
    </row>
    <row r="5" spans="1:11" x14ac:dyDescent="0.25">
      <c r="A5" s="251"/>
      <c r="B5" s="82"/>
      <c r="C5" s="124"/>
      <c r="D5" s="82"/>
      <c r="E5" s="82"/>
      <c r="F5" s="82"/>
      <c r="G5" s="82"/>
      <c r="H5" s="83"/>
      <c r="I5" s="90"/>
      <c r="J5" s="212"/>
      <c r="K5" s="241"/>
    </row>
    <row r="6" spans="1:11" x14ac:dyDescent="0.25">
      <c r="A6" s="251"/>
      <c r="B6" s="82"/>
      <c r="C6" s="124"/>
      <c r="D6" s="82"/>
      <c r="E6" s="82"/>
      <c r="F6" s="82"/>
      <c r="G6" s="82"/>
      <c r="H6" s="83"/>
      <c r="I6" s="90"/>
      <c r="J6" s="212"/>
      <c r="K6" s="241"/>
    </row>
    <row r="7" spans="1:11" x14ac:dyDescent="0.25">
      <c r="A7" s="251"/>
      <c r="B7" s="82"/>
      <c r="C7" s="124"/>
      <c r="D7" s="82"/>
      <c r="E7" s="82"/>
      <c r="F7" s="82"/>
      <c r="G7" s="82"/>
      <c r="H7" s="83"/>
      <c r="I7" s="90"/>
      <c r="J7" s="212"/>
      <c r="K7" s="241"/>
    </row>
    <row r="8" spans="1:11" x14ac:dyDescent="0.25">
      <c r="A8" s="251"/>
      <c r="B8" s="82"/>
      <c r="C8" s="124"/>
      <c r="D8" s="82"/>
      <c r="E8" s="82"/>
      <c r="F8" s="82"/>
      <c r="G8" s="82"/>
      <c r="H8" s="83"/>
      <c r="I8" s="90"/>
      <c r="J8" s="212"/>
      <c r="K8" s="241"/>
    </row>
    <row r="9" spans="1:11" x14ac:dyDescent="0.25">
      <c r="A9" s="251"/>
      <c r="B9" s="82"/>
      <c r="C9" s="124"/>
      <c r="D9" s="82"/>
      <c r="E9" s="82"/>
      <c r="F9" s="82"/>
      <c r="G9" s="82"/>
      <c r="H9" s="83"/>
      <c r="I9" s="90"/>
      <c r="J9" s="212"/>
      <c r="K9" s="241"/>
    </row>
    <row r="10" spans="1:11" x14ac:dyDescent="0.25">
      <c r="A10" s="251"/>
      <c r="B10" s="82"/>
      <c r="C10" s="124"/>
      <c r="D10" s="82"/>
      <c r="E10" s="82"/>
      <c r="F10" s="82"/>
      <c r="G10" s="82"/>
      <c r="H10" s="83"/>
      <c r="I10" s="90"/>
      <c r="J10" s="212"/>
      <c r="K10" s="241"/>
    </row>
    <row r="11" spans="1:11" x14ac:dyDescent="0.25">
      <c r="A11" s="251"/>
      <c r="B11" s="82"/>
      <c r="C11" s="124"/>
      <c r="D11" s="82"/>
      <c r="E11" s="82"/>
      <c r="F11" s="82"/>
      <c r="G11" s="82"/>
      <c r="H11" s="83"/>
      <c r="I11" s="90"/>
      <c r="J11" s="212"/>
      <c r="K11" s="241"/>
    </row>
    <row r="12" spans="1:11" x14ac:dyDescent="0.25">
      <c r="A12" s="251"/>
      <c r="B12" s="82"/>
      <c r="C12" s="124"/>
      <c r="D12" s="82"/>
      <c r="E12" s="82"/>
      <c r="F12" s="82"/>
      <c r="G12" s="82"/>
      <c r="H12" s="83"/>
      <c r="I12" s="90"/>
      <c r="J12" s="212"/>
      <c r="K12" s="241"/>
    </row>
    <row r="13" spans="1:11" x14ac:dyDescent="0.25">
      <c r="A13" s="251"/>
      <c r="B13" s="82"/>
      <c r="C13" s="124"/>
      <c r="D13" s="82"/>
      <c r="E13" s="82"/>
      <c r="F13" s="82"/>
      <c r="G13" s="82"/>
      <c r="H13" s="83"/>
      <c r="I13" s="90"/>
      <c r="J13" s="212"/>
      <c r="K13" s="241"/>
    </row>
    <row r="14" spans="1:11" x14ac:dyDescent="0.25">
      <c r="A14" s="251"/>
      <c r="B14" s="82"/>
      <c r="C14" s="124"/>
      <c r="D14" s="82"/>
      <c r="E14" s="82"/>
      <c r="F14" s="82"/>
      <c r="G14" s="82"/>
      <c r="H14" s="83"/>
      <c r="I14" s="90"/>
      <c r="J14" s="212"/>
      <c r="K14" s="241"/>
    </row>
    <row r="15" spans="1:11" x14ac:dyDescent="0.25">
      <c r="A15" s="251"/>
      <c r="B15" s="82"/>
      <c r="C15" s="124"/>
      <c r="D15" s="82"/>
      <c r="E15" s="82"/>
      <c r="F15" s="82"/>
      <c r="G15" s="82"/>
      <c r="H15" s="83"/>
      <c r="I15" s="90"/>
      <c r="J15" s="212"/>
      <c r="K15" s="241"/>
    </row>
    <row r="16" spans="1:11" x14ac:dyDescent="0.25">
      <c r="A16" s="251"/>
      <c r="B16" s="82"/>
      <c r="C16" s="124"/>
      <c r="D16" s="82"/>
      <c r="E16" s="82"/>
      <c r="F16" s="82"/>
      <c r="G16" s="82"/>
      <c r="H16" s="83"/>
      <c r="I16" s="90"/>
      <c r="J16" s="212"/>
      <c r="K16" s="241"/>
    </row>
    <row r="17" spans="1:11" x14ac:dyDescent="0.25">
      <c r="A17" s="251"/>
      <c r="B17" s="82"/>
      <c r="C17" s="124"/>
      <c r="D17" s="82"/>
      <c r="E17" s="82"/>
      <c r="F17" s="82"/>
      <c r="G17" s="82"/>
      <c r="H17" s="83"/>
      <c r="I17" s="90"/>
      <c r="J17" s="212"/>
      <c r="K17" s="241"/>
    </row>
    <row r="18" spans="1:11" x14ac:dyDescent="0.25">
      <c r="A18" s="251"/>
      <c r="B18" s="82"/>
      <c r="C18" s="124"/>
      <c r="D18" s="82"/>
      <c r="E18" s="82"/>
      <c r="F18" s="82"/>
      <c r="G18" s="82"/>
      <c r="H18" s="83"/>
      <c r="I18" s="90"/>
      <c r="J18" s="212"/>
      <c r="K18" s="241"/>
    </row>
    <row r="19" spans="1:11" x14ac:dyDescent="0.25">
      <c r="A19" s="251"/>
      <c r="B19" s="82"/>
      <c r="C19" s="124"/>
      <c r="D19" s="82"/>
      <c r="E19" s="82"/>
      <c r="F19" s="82"/>
      <c r="G19" s="82"/>
      <c r="H19" s="83"/>
      <c r="I19" s="90"/>
      <c r="J19" s="212"/>
      <c r="K19" s="241"/>
    </row>
    <row r="20" spans="1:11" x14ac:dyDescent="0.25">
      <c r="A20" s="251"/>
      <c r="B20" s="82"/>
      <c r="C20" s="124"/>
      <c r="D20" s="82"/>
      <c r="E20" s="82"/>
      <c r="F20" s="82"/>
      <c r="G20" s="82"/>
      <c r="H20" s="83"/>
      <c r="I20" s="90"/>
      <c r="J20" s="212"/>
      <c r="K20" s="241"/>
    </row>
    <row r="21" spans="1:11" x14ac:dyDescent="0.25">
      <c r="A21" s="251"/>
      <c r="B21" s="82"/>
      <c r="C21" s="124"/>
      <c r="D21" s="82"/>
      <c r="E21" s="82"/>
      <c r="F21" s="82"/>
      <c r="G21" s="82"/>
      <c r="H21" s="83"/>
      <c r="I21" s="90"/>
      <c r="J21" s="212"/>
      <c r="K21" s="241"/>
    </row>
    <row r="22" spans="1:11" x14ac:dyDescent="0.25">
      <c r="A22" s="251"/>
      <c r="B22" s="82"/>
      <c r="C22" s="124"/>
      <c r="D22" s="82"/>
      <c r="E22" s="82"/>
      <c r="F22" s="82"/>
      <c r="G22" s="82"/>
      <c r="H22" s="83"/>
      <c r="I22" s="90"/>
      <c r="J22" s="212"/>
      <c r="K22" s="241"/>
    </row>
    <row r="23" spans="1:11" x14ac:dyDescent="0.25">
      <c r="A23" s="251"/>
      <c r="B23" s="82"/>
      <c r="C23" s="124"/>
      <c r="D23" s="82"/>
      <c r="E23" s="82"/>
      <c r="F23" s="82"/>
      <c r="G23" s="82"/>
      <c r="H23" s="83"/>
      <c r="I23" s="90"/>
      <c r="J23" s="212"/>
      <c r="K23" s="241"/>
    </row>
    <row r="24" spans="1:11" x14ac:dyDescent="0.25">
      <c r="A24" s="179">
        <v>46112</v>
      </c>
      <c r="B24" s="82" t="s">
        <v>9</v>
      </c>
      <c r="C24" s="124" t="s">
        <v>358</v>
      </c>
      <c r="D24" s="82">
        <v>1030</v>
      </c>
      <c r="E24" s="82"/>
      <c r="F24" s="270" t="s">
        <v>402</v>
      </c>
      <c r="G24" s="270" t="s">
        <v>403</v>
      </c>
      <c r="H24" s="123">
        <v>118258</v>
      </c>
      <c r="I24" s="90" t="s">
        <v>359</v>
      </c>
      <c r="J24" s="283" t="s">
        <v>371</v>
      </c>
      <c r="K24" s="241"/>
    </row>
    <row r="25" spans="1:11" x14ac:dyDescent="0.25">
      <c r="A25" s="179">
        <v>46113</v>
      </c>
      <c r="B25" s="82" t="s">
        <v>358</v>
      </c>
      <c r="C25" s="124" t="s">
        <v>9</v>
      </c>
      <c r="D25" s="82">
        <v>970</v>
      </c>
      <c r="E25" s="82"/>
      <c r="F25" s="82"/>
      <c r="G25" s="82"/>
      <c r="H25" s="83" t="s">
        <v>66</v>
      </c>
      <c r="I25" s="90"/>
      <c r="J25" s="283"/>
      <c r="K25" s="241"/>
    </row>
    <row r="26" spans="1:11" x14ac:dyDescent="0.25">
      <c r="A26" s="179">
        <v>46118</v>
      </c>
      <c r="B26" s="227" t="s">
        <v>9</v>
      </c>
      <c r="C26" s="124" t="s">
        <v>300</v>
      </c>
      <c r="D26" s="82">
        <v>420</v>
      </c>
      <c r="E26" s="82"/>
      <c r="F26" s="82">
        <v>34.96</v>
      </c>
      <c r="G26" s="82"/>
      <c r="H26" s="123">
        <v>619086</v>
      </c>
      <c r="I26" s="90" t="s">
        <v>257</v>
      </c>
      <c r="J26" s="287" t="s">
        <v>80</v>
      </c>
      <c r="K26" s="241"/>
    </row>
    <row r="27" spans="1:11" x14ac:dyDescent="0.25">
      <c r="A27" s="179">
        <v>46120</v>
      </c>
      <c r="B27" s="82" t="s">
        <v>300</v>
      </c>
      <c r="C27" s="124" t="s">
        <v>229</v>
      </c>
      <c r="D27" s="82">
        <v>150</v>
      </c>
      <c r="E27" s="82"/>
      <c r="F27" s="82"/>
      <c r="G27" s="82"/>
      <c r="H27" s="83" t="s">
        <v>66</v>
      </c>
      <c r="I27" s="90"/>
      <c r="J27" s="287"/>
      <c r="K27" s="241"/>
    </row>
    <row r="28" spans="1:11" x14ac:dyDescent="0.25">
      <c r="A28" s="179">
        <v>46120</v>
      </c>
      <c r="B28" s="82" t="s">
        <v>229</v>
      </c>
      <c r="C28" s="124" t="s">
        <v>10</v>
      </c>
      <c r="D28" s="82">
        <v>10</v>
      </c>
      <c r="E28" s="82"/>
      <c r="F28" s="82"/>
      <c r="G28" s="82"/>
      <c r="H28" s="90">
        <v>1063933</v>
      </c>
      <c r="I28" s="90" t="s">
        <v>360</v>
      </c>
      <c r="J28" s="287"/>
      <c r="K28" s="241"/>
    </row>
    <row r="29" spans="1:11" x14ac:dyDescent="0.25">
      <c r="A29" s="179">
        <v>46120</v>
      </c>
      <c r="B29" s="82" t="s">
        <v>10</v>
      </c>
      <c r="C29" s="124" t="s">
        <v>229</v>
      </c>
      <c r="D29" s="82">
        <v>10</v>
      </c>
      <c r="E29" s="82"/>
      <c r="F29" s="82"/>
      <c r="G29" s="82"/>
      <c r="H29" s="128" t="s">
        <v>66</v>
      </c>
      <c r="I29" s="90"/>
      <c r="J29" s="287"/>
      <c r="K29" s="241"/>
    </row>
    <row r="30" spans="1:11" x14ac:dyDescent="0.25">
      <c r="A30" s="179">
        <v>46120</v>
      </c>
      <c r="B30" s="82" t="s">
        <v>229</v>
      </c>
      <c r="C30" s="124" t="s">
        <v>10</v>
      </c>
      <c r="D30" s="82">
        <v>10</v>
      </c>
      <c r="E30" s="82"/>
      <c r="F30" s="82"/>
      <c r="G30" s="82"/>
      <c r="H30" s="123">
        <v>1063961</v>
      </c>
      <c r="I30" s="90" t="s">
        <v>360</v>
      </c>
      <c r="J30" s="287"/>
      <c r="K30" s="241"/>
    </row>
    <row r="31" spans="1:11" x14ac:dyDescent="0.25">
      <c r="A31" s="179">
        <v>46120</v>
      </c>
      <c r="B31" s="82" t="s">
        <v>10</v>
      </c>
      <c r="C31" s="124" t="s">
        <v>229</v>
      </c>
      <c r="D31" s="82">
        <v>10</v>
      </c>
      <c r="E31" s="82"/>
      <c r="F31" s="82"/>
      <c r="G31" s="82"/>
      <c r="H31" s="128" t="s">
        <v>66</v>
      </c>
      <c r="I31" s="90"/>
      <c r="J31" s="287"/>
      <c r="K31" s="241"/>
    </row>
    <row r="32" spans="1:11" x14ac:dyDescent="0.25">
      <c r="A32" s="179">
        <v>46121</v>
      </c>
      <c r="B32" s="82" t="s">
        <v>229</v>
      </c>
      <c r="C32" s="124" t="s">
        <v>9</v>
      </c>
      <c r="D32" s="82">
        <v>500</v>
      </c>
      <c r="E32" s="82"/>
      <c r="F32" s="82">
        <v>35.29</v>
      </c>
      <c r="G32" s="82"/>
      <c r="H32" s="90">
        <v>1064169</v>
      </c>
      <c r="I32" s="90" t="s">
        <v>368</v>
      </c>
      <c r="J32" s="287"/>
      <c r="K32" s="241"/>
    </row>
    <row r="33" spans="1:11" x14ac:dyDescent="0.25">
      <c r="A33" s="179">
        <v>46122</v>
      </c>
      <c r="B33" s="82" t="s">
        <v>9</v>
      </c>
      <c r="C33" s="124" t="s">
        <v>352</v>
      </c>
      <c r="D33" s="82">
        <v>420</v>
      </c>
      <c r="E33" s="82"/>
      <c r="F33" s="82">
        <v>35.020000000000003</v>
      </c>
      <c r="G33" s="82"/>
      <c r="H33" s="90">
        <v>293676</v>
      </c>
      <c r="I33" s="90" t="s">
        <v>344</v>
      </c>
      <c r="J33" s="287"/>
      <c r="K33" s="241">
        <v>630360</v>
      </c>
    </row>
    <row r="34" spans="1:11" x14ac:dyDescent="0.25">
      <c r="A34" s="179">
        <v>46125</v>
      </c>
      <c r="B34" s="82" t="s">
        <v>352</v>
      </c>
      <c r="C34" s="124" t="s">
        <v>220</v>
      </c>
      <c r="D34" s="82">
        <v>150</v>
      </c>
      <c r="E34" s="82"/>
      <c r="F34" s="82"/>
      <c r="G34" s="82"/>
      <c r="H34" s="83" t="s">
        <v>66</v>
      </c>
      <c r="I34" s="90"/>
      <c r="J34" s="287"/>
      <c r="K34" s="241"/>
    </row>
    <row r="35" spans="1:11" x14ac:dyDescent="0.25">
      <c r="A35" s="179">
        <v>46126</v>
      </c>
      <c r="B35" s="82" t="s">
        <v>220</v>
      </c>
      <c r="C35" s="124" t="s">
        <v>423</v>
      </c>
      <c r="D35" s="82">
        <v>140</v>
      </c>
      <c r="E35" s="82"/>
      <c r="F35" s="82"/>
      <c r="G35" s="82"/>
      <c r="H35" s="90">
        <v>896058</v>
      </c>
      <c r="I35" s="90"/>
      <c r="J35" s="287"/>
      <c r="K35" s="241"/>
    </row>
    <row r="36" spans="1:11" x14ac:dyDescent="0.25">
      <c r="A36" s="179">
        <v>46126</v>
      </c>
      <c r="B36" s="82" t="s">
        <v>423</v>
      </c>
      <c r="C36" s="124" t="s">
        <v>300</v>
      </c>
      <c r="D36" s="82">
        <v>50</v>
      </c>
      <c r="E36" s="82"/>
      <c r="F36" s="82"/>
      <c r="G36" s="82"/>
      <c r="H36" s="83" t="s">
        <v>66</v>
      </c>
      <c r="I36" s="90"/>
      <c r="J36" s="287"/>
      <c r="K36" s="241"/>
    </row>
    <row r="37" spans="1:11" x14ac:dyDescent="0.25">
      <c r="A37" s="179">
        <v>46126</v>
      </c>
      <c r="B37" s="82" t="s">
        <v>300</v>
      </c>
      <c r="C37" s="124" t="s">
        <v>356</v>
      </c>
      <c r="D37" s="82">
        <v>990</v>
      </c>
      <c r="E37" s="82"/>
      <c r="F37" s="82">
        <v>35.200000000000003</v>
      </c>
      <c r="G37" s="82"/>
      <c r="H37" s="90">
        <v>153189</v>
      </c>
      <c r="I37" s="90" t="s">
        <v>357</v>
      </c>
      <c r="J37" s="287"/>
      <c r="K37" s="241"/>
    </row>
    <row r="38" spans="1:11" x14ac:dyDescent="0.25">
      <c r="A38" s="179">
        <v>46127</v>
      </c>
      <c r="B38" s="82" t="s">
        <v>356</v>
      </c>
      <c r="C38" s="124" t="s">
        <v>432</v>
      </c>
      <c r="D38" s="82">
        <v>430</v>
      </c>
      <c r="E38" s="82"/>
      <c r="F38" s="82"/>
      <c r="G38" s="82"/>
      <c r="H38" s="90">
        <v>504029</v>
      </c>
      <c r="I38" s="90"/>
      <c r="J38" s="287"/>
      <c r="K38" s="241"/>
    </row>
    <row r="39" spans="1:11" x14ac:dyDescent="0.25">
      <c r="A39" s="179">
        <v>46127</v>
      </c>
      <c r="B39" s="82" t="s">
        <v>432</v>
      </c>
      <c r="C39" s="124" t="s">
        <v>347</v>
      </c>
      <c r="D39" s="82">
        <v>150</v>
      </c>
      <c r="E39" s="82"/>
      <c r="F39" s="82"/>
      <c r="G39" s="82"/>
      <c r="H39" s="83" t="s">
        <v>66</v>
      </c>
      <c r="I39" s="90"/>
      <c r="J39" s="287"/>
      <c r="K39" s="241"/>
    </row>
    <row r="40" spans="1:11" x14ac:dyDescent="0.25">
      <c r="A40" s="179">
        <v>46128</v>
      </c>
      <c r="B40" s="82" t="s">
        <v>347</v>
      </c>
      <c r="C40" s="124" t="s">
        <v>75</v>
      </c>
      <c r="D40" s="82">
        <v>340</v>
      </c>
      <c r="E40" s="82"/>
      <c r="F40" s="82">
        <v>35.08</v>
      </c>
      <c r="G40" s="82"/>
      <c r="H40" s="90" t="s">
        <v>434</v>
      </c>
      <c r="I40" s="90"/>
      <c r="J40" s="287"/>
      <c r="K40" s="241"/>
    </row>
    <row r="41" spans="1:11" x14ac:dyDescent="0.25">
      <c r="A41" s="179">
        <v>46129</v>
      </c>
      <c r="B41" s="82" t="s">
        <v>75</v>
      </c>
      <c r="C41" s="124" t="s">
        <v>10</v>
      </c>
      <c r="D41" s="82">
        <v>80</v>
      </c>
      <c r="E41" s="82"/>
      <c r="F41" s="82"/>
      <c r="G41" s="82"/>
      <c r="H41" s="83" t="s">
        <v>66</v>
      </c>
      <c r="I41" s="90"/>
      <c r="J41" s="287"/>
      <c r="K41" s="241"/>
    </row>
    <row r="42" spans="1:11" x14ac:dyDescent="0.25">
      <c r="A42" s="179">
        <v>46129</v>
      </c>
      <c r="B42" s="82" t="s">
        <v>10</v>
      </c>
      <c r="C42" s="82" t="s">
        <v>9</v>
      </c>
      <c r="D42" s="82">
        <v>500</v>
      </c>
      <c r="E42" s="82"/>
      <c r="F42" s="82">
        <v>35.03</v>
      </c>
      <c r="G42" s="82"/>
      <c r="H42" s="123">
        <v>1065603</v>
      </c>
      <c r="I42" s="90" t="s">
        <v>368</v>
      </c>
      <c r="J42" s="287"/>
      <c r="K42" s="241"/>
    </row>
    <row r="43" spans="1:11" x14ac:dyDescent="0.25">
      <c r="A43" s="179">
        <v>46132</v>
      </c>
      <c r="B43" s="82" t="s">
        <v>9</v>
      </c>
      <c r="C43" s="124" t="s">
        <v>104</v>
      </c>
      <c r="D43" s="82">
        <v>320</v>
      </c>
      <c r="E43" s="82"/>
      <c r="F43" s="82"/>
      <c r="G43" s="82"/>
      <c r="H43" s="90">
        <v>767198</v>
      </c>
      <c r="I43" s="90"/>
      <c r="J43" s="287"/>
      <c r="K43" s="241"/>
    </row>
    <row r="44" spans="1:11" x14ac:dyDescent="0.25">
      <c r="A44" s="179">
        <v>46133</v>
      </c>
      <c r="B44" s="82" t="s">
        <v>104</v>
      </c>
      <c r="C44" s="124" t="s">
        <v>9</v>
      </c>
      <c r="D44" s="82">
        <v>320</v>
      </c>
      <c r="E44" s="82"/>
      <c r="F44" s="82"/>
      <c r="G44" s="82"/>
      <c r="H44" s="83" t="s">
        <v>66</v>
      </c>
      <c r="I44" s="90"/>
      <c r="J44" s="287"/>
      <c r="K44" s="241"/>
    </row>
    <row r="45" spans="1:11" x14ac:dyDescent="0.25">
      <c r="A45" s="179">
        <v>46134</v>
      </c>
      <c r="B45" s="82" t="s">
        <v>9</v>
      </c>
      <c r="C45" s="124" t="s">
        <v>300</v>
      </c>
      <c r="D45" s="82">
        <v>430</v>
      </c>
      <c r="E45" s="82"/>
      <c r="F45" s="82">
        <v>34.72</v>
      </c>
      <c r="G45" s="82"/>
      <c r="H45" s="90">
        <v>294312</v>
      </c>
      <c r="I45" s="90" t="s">
        <v>15</v>
      </c>
      <c r="J45" s="287"/>
      <c r="K45" s="241"/>
    </row>
    <row r="46" spans="1:11" x14ac:dyDescent="0.25">
      <c r="A46" s="179">
        <v>46135</v>
      </c>
      <c r="B46" s="82" t="s">
        <v>300</v>
      </c>
      <c r="C46" s="124" t="s">
        <v>118</v>
      </c>
      <c r="D46" s="82">
        <v>100</v>
      </c>
      <c r="E46" s="82"/>
      <c r="F46" s="82"/>
      <c r="G46" s="82"/>
      <c r="H46" s="83" t="s">
        <v>66</v>
      </c>
      <c r="I46" s="90"/>
      <c r="J46" s="287"/>
      <c r="K46" s="241"/>
    </row>
    <row r="47" spans="1:11" x14ac:dyDescent="0.25">
      <c r="A47" s="179">
        <v>46138</v>
      </c>
      <c r="B47" s="82" t="s">
        <v>118</v>
      </c>
      <c r="C47" s="124" t="s">
        <v>469</v>
      </c>
      <c r="D47" s="82">
        <v>650</v>
      </c>
      <c r="E47" s="82"/>
      <c r="F47" s="82"/>
      <c r="G47" s="82" t="s">
        <v>490</v>
      </c>
      <c r="H47" s="83" t="s">
        <v>388</v>
      </c>
      <c r="I47" s="90"/>
      <c r="J47" s="291"/>
      <c r="K47" s="241"/>
    </row>
    <row r="48" spans="1:11" x14ac:dyDescent="0.25">
      <c r="A48" s="179">
        <v>46138</v>
      </c>
      <c r="B48" s="82" t="s">
        <v>469</v>
      </c>
      <c r="C48" s="124" t="s">
        <v>328</v>
      </c>
      <c r="D48" s="82">
        <v>180</v>
      </c>
      <c r="E48" s="82"/>
      <c r="F48" s="82"/>
      <c r="G48" s="82"/>
      <c r="H48" s="83" t="s">
        <v>388</v>
      </c>
      <c r="I48" s="90"/>
      <c r="J48" s="291"/>
      <c r="K48" s="241"/>
    </row>
    <row r="49" spans="1:11" x14ac:dyDescent="0.25">
      <c r="A49" s="179">
        <v>46140</v>
      </c>
      <c r="B49" s="82" t="s">
        <v>328</v>
      </c>
      <c r="C49" s="124" t="s">
        <v>385</v>
      </c>
      <c r="D49" s="82">
        <v>1060</v>
      </c>
      <c r="E49" s="82"/>
      <c r="F49" s="82"/>
      <c r="G49" s="82"/>
      <c r="H49" s="90" t="s">
        <v>252</v>
      </c>
      <c r="I49" s="90" t="s">
        <v>386</v>
      </c>
      <c r="J49" s="291"/>
      <c r="K49" s="241"/>
    </row>
    <row r="50" spans="1:11" x14ac:dyDescent="0.25">
      <c r="A50" s="179"/>
      <c r="B50" s="82"/>
      <c r="C50" s="124"/>
      <c r="D50" s="151" t="s">
        <v>484</v>
      </c>
      <c r="E50" s="82"/>
      <c r="F50" s="82"/>
      <c r="G50" s="82"/>
      <c r="H50" s="83"/>
      <c r="I50" s="90"/>
      <c r="J50" s="237"/>
      <c r="K50" s="241"/>
    </row>
    <row r="51" spans="1:11" x14ac:dyDescent="0.25">
      <c r="A51" s="5"/>
      <c r="B51" s="6"/>
      <c r="C51" s="6"/>
      <c r="D51" s="6"/>
      <c r="E51" s="6"/>
      <c r="F51" s="6"/>
      <c r="G51" s="6"/>
      <c r="H51" s="7"/>
      <c r="I51" s="7"/>
      <c r="J51" s="140"/>
      <c r="K51" s="242"/>
    </row>
    <row r="52" spans="1:11" x14ac:dyDescent="0.25">
      <c r="D52" s="17">
        <f>SUM(D3:D51)</f>
        <v>9420</v>
      </c>
      <c r="E52" s="13"/>
      <c r="F52" s="175">
        <f>AVERAGE(F3:F50)</f>
        <v>35.042857142857144</v>
      </c>
      <c r="G52" s="13"/>
      <c r="J52" s="139">
        <f>SUM(J3:J51)</f>
        <v>0</v>
      </c>
      <c r="K52" s="243">
        <f>SUM(K3:K50)</f>
        <v>630360</v>
      </c>
    </row>
    <row r="57" spans="1:11" x14ac:dyDescent="0.25">
      <c r="D57" s="11"/>
    </row>
    <row r="58" spans="1:11" x14ac:dyDescent="0.25">
      <c r="D58" s="11"/>
    </row>
    <row r="59" spans="1:11" x14ac:dyDescent="0.25">
      <c r="D59" s="11"/>
    </row>
    <row r="60" spans="1:11" x14ac:dyDescent="0.25">
      <c r="B60" s="230">
        <v>-2000</v>
      </c>
      <c r="C60" s="11" t="s">
        <v>93</v>
      </c>
      <c r="D60" s="11"/>
      <c r="E60" s="11"/>
      <c r="F60" s="247"/>
      <c r="G60" s="89"/>
      <c r="K60" s="4"/>
    </row>
    <row r="61" spans="1:11" x14ac:dyDescent="0.25">
      <c r="B61" s="230">
        <v>800</v>
      </c>
      <c r="C61" s="11" t="s">
        <v>138</v>
      </c>
      <c r="D61" s="11">
        <v>45175</v>
      </c>
      <c r="E61" s="11"/>
      <c r="F61" s="247"/>
      <c r="G61" s="89"/>
      <c r="K61" s="4"/>
    </row>
    <row r="62" spans="1:11" x14ac:dyDescent="0.25">
      <c r="B62" s="230">
        <v>-800</v>
      </c>
      <c r="C62" s="11" t="s">
        <v>13</v>
      </c>
      <c r="D62" s="11"/>
      <c r="E62" s="11"/>
      <c r="F62" s="247"/>
      <c r="G62" s="89"/>
      <c r="K62" s="4"/>
    </row>
    <row r="63" spans="1:11" x14ac:dyDescent="0.25">
      <c r="B63" s="230">
        <v>6100</v>
      </c>
      <c r="C63" s="11" t="s">
        <v>12</v>
      </c>
      <c r="D63" s="11">
        <v>45206</v>
      </c>
      <c r="E63" s="11" t="s">
        <v>239</v>
      </c>
      <c r="F63" s="247"/>
      <c r="G63" s="89"/>
      <c r="K63" s="4"/>
    </row>
    <row r="64" spans="1:11" x14ac:dyDescent="0.25">
      <c r="B64" s="230">
        <v>-6100</v>
      </c>
      <c r="C64" s="11" t="s">
        <v>13</v>
      </c>
      <c r="D64" s="11"/>
      <c r="E64" s="11"/>
      <c r="F64" s="247"/>
      <c r="G64" s="89"/>
      <c r="K64" s="4"/>
    </row>
    <row r="65" spans="2:11" x14ac:dyDescent="0.25">
      <c r="B65" s="230">
        <v>-1000</v>
      </c>
      <c r="C65" s="11" t="s">
        <v>190</v>
      </c>
      <c r="D65" s="11">
        <v>45769</v>
      </c>
      <c r="E65" s="11"/>
      <c r="F65" s="247"/>
      <c r="G65" s="89"/>
      <c r="K65" s="4"/>
    </row>
    <row r="66" spans="2:11" x14ac:dyDescent="0.25">
      <c r="B66" s="135">
        <f>SUM(B59:B65)</f>
        <v>-3000</v>
      </c>
      <c r="C66" s="11">
        <v>45769</v>
      </c>
      <c r="D66" s="11"/>
      <c r="E66" s="11"/>
      <c r="F66" s="247"/>
      <c r="G66" s="11"/>
      <c r="K66" s="4"/>
    </row>
    <row r="67" spans="2:11" x14ac:dyDescent="0.25">
      <c r="B67" s="11"/>
      <c r="D67" s="11"/>
      <c r="E67" s="11"/>
      <c r="F67" s="247"/>
      <c r="G67" s="11"/>
      <c r="K67" s="4"/>
    </row>
    <row r="68" spans="2:11" x14ac:dyDescent="0.25">
      <c r="B68" s="11"/>
      <c r="E68" s="11"/>
      <c r="F68" s="247"/>
      <c r="G68" s="11"/>
      <c r="K68" s="4"/>
    </row>
    <row r="69" spans="2:11" x14ac:dyDescent="0.25">
      <c r="B69" s="11"/>
      <c r="E69" s="11"/>
      <c r="F69" s="247"/>
      <c r="G69" s="11"/>
      <c r="K69" s="4"/>
    </row>
    <row r="70" spans="2:11" x14ac:dyDescent="0.25">
      <c r="B70" s="11"/>
      <c r="E70" s="11"/>
      <c r="F70" s="247"/>
      <c r="G70" s="11"/>
      <c r="K70" s="4"/>
    </row>
    <row r="71" spans="2:11" x14ac:dyDescent="0.25">
      <c r="B71" s="11"/>
      <c r="C71" s="11"/>
      <c r="E71" s="11"/>
      <c r="F71" s="247"/>
      <c r="G71" s="11"/>
      <c r="K71" s="4"/>
    </row>
    <row r="72" spans="2:11" x14ac:dyDescent="0.25">
      <c r="B72" s="11"/>
      <c r="E72" s="4"/>
      <c r="K72" s="4"/>
    </row>
    <row r="73" spans="2:11" x14ac:dyDescent="0.25">
      <c r="B73" s="11"/>
      <c r="F73" s="247"/>
      <c r="G73" s="11"/>
      <c r="I73" s="173"/>
      <c r="K73" s="4"/>
    </row>
    <row r="74" spans="2:11" x14ac:dyDescent="0.25">
      <c r="B74" s="11"/>
      <c r="E74" s="11"/>
      <c r="F74" s="247"/>
      <c r="G74" s="11"/>
      <c r="K74" s="4"/>
    </row>
    <row r="75" spans="2:11" x14ac:dyDescent="0.25">
      <c r="B75" s="11"/>
      <c r="K75" s="4"/>
    </row>
    <row r="76" spans="2:11" x14ac:dyDescent="0.25">
      <c r="B76" s="11"/>
      <c r="E76" s="11"/>
      <c r="F76" s="247"/>
      <c r="G76" s="11"/>
      <c r="K76" s="4"/>
    </row>
    <row r="77" spans="2:11" x14ac:dyDescent="0.25">
      <c r="B77" s="11"/>
      <c r="I77" s="4"/>
    </row>
    <row r="78" spans="2:11" x14ac:dyDescent="0.25">
      <c r="B78" s="11"/>
      <c r="E78" s="11"/>
      <c r="F78" s="247"/>
      <c r="G78" s="11"/>
      <c r="K78" s="4"/>
    </row>
    <row r="79" spans="2:11" x14ac:dyDescent="0.25">
      <c r="B79" s="11"/>
      <c r="E79" s="11"/>
      <c r="F79" s="247"/>
      <c r="G79" s="11"/>
      <c r="K79" s="4"/>
    </row>
    <row r="80" spans="2:11" x14ac:dyDescent="0.25">
      <c r="B80" s="11"/>
      <c r="E80" s="11"/>
      <c r="F80" s="247"/>
      <c r="G80" s="11"/>
      <c r="K80" s="4"/>
    </row>
    <row r="81" spans="2:11" x14ac:dyDescent="0.25">
      <c r="B81" s="11"/>
      <c r="E81" s="11"/>
      <c r="F81" s="247"/>
      <c r="G81" s="11"/>
      <c r="K81" s="4"/>
    </row>
    <row r="82" spans="2:11" x14ac:dyDescent="0.25">
      <c r="B82" s="11"/>
      <c r="E82" s="11"/>
      <c r="F82" s="247"/>
      <c r="G82" s="11"/>
      <c r="K82" s="4"/>
    </row>
    <row r="83" spans="2:11" x14ac:dyDescent="0.25">
      <c r="B83" s="11"/>
      <c r="D83" s="11"/>
      <c r="E83" s="11"/>
      <c r="F83" s="247"/>
      <c r="G83" s="11"/>
      <c r="K83" s="4"/>
    </row>
    <row r="84" spans="2:11" x14ac:dyDescent="0.25">
      <c r="B84" s="11"/>
      <c r="E84" s="11"/>
      <c r="F84" s="247"/>
      <c r="G84" s="11"/>
      <c r="K84" s="4"/>
    </row>
    <row r="85" spans="2:11" x14ac:dyDescent="0.25">
      <c r="B85" s="11"/>
      <c r="E85" s="11"/>
      <c r="F85" s="247"/>
      <c r="G85" s="11"/>
      <c r="K85" s="4"/>
    </row>
    <row r="86" spans="2:11" x14ac:dyDescent="0.25">
      <c r="B86" s="11"/>
      <c r="E86" s="11"/>
      <c r="F86" s="247"/>
      <c r="G86" s="11"/>
      <c r="K86" s="4"/>
    </row>
    <row r="87" spans="2:11" x14ac:dyDescent="0.25">
      <c r="B87" s="11"/>
      <c r="E87" s="11"/>
      <c r="F87" s="247"/>
      <c r="G87" s="11"/>
      <c r="K87" s="4"/>
    </row>
    <row r="88" spans="2:11" x14ac:dyDescent="0.25">
      <c r="B88" s="11"/>
      <c r="E88" s="11"/>
      <c r="F88" s="247"/>
      <c r="G88" s="11"/>
      <c r="K88" s="4"/>
    </row>
    <row r="89" spans="2:11" x14ac:dyDescent="0.25">
      <c r="B89" s="11"/>
      <c r="E89" s="11"/>
      <c r="F89" s="247"/>
      <c r="G89" s="11"/>
      <c r="K89" s="4"/>
    </row>
    <row r="90" spans="2:11" x14ac:dyDescent="0.25">
      <c r="B90" s="11"/>
      <c r="E90" s="11"/>
      <c r="F90" s="247"/>
      <c r="G90" s="11"/>
    </row>
    <row r="91" spans="2:11" x14ac:dyDescent="0.25">
      <c r="B91" s="11"/>
      <c r="E91" s="11"/>
      <c r="F91" s="247"/>
      <c r="G91" s="11"/>
    </row>
    <row r="92" spans="2:11" x14ac:dyDescent="0.25">
      <c r="B92" s="11"/>
      <c r="E92" s="11"/>
      <c r="F92" s="247"/>
      <c r="G92" s="11"/>
    </row>
    <row r="93" spans="2:11" x14ac:dyDescent="0.25">
      <c r="B93" s="11"/>
      <c r="E93" s="11"/>
      <c r="F93" s="247"/>
      <c r="G93" s="11"/>
    </row>
    <row r="94" spans="2:11" x14ac:dyDescent="0.25">
      <c r="B94" s="11"/>
      <c r="E94" s="11"/>
      <c r="F94" s="247"/>
      <c r="G94" s="11"/>
    </row>
    <row r="95" spans="2:11" x14ac:dyDescent="0.25">
      <c r="B95" s="11"/>
      <c r="E95" s="11"/>
      <c r="F95" s="247"/>
      <c r="G95" s="11"/>
    </row>
    <row r="96" spans="2:11" x14ac:dyDescent="0.25">
      <c r="B96" s="11"/>
      <c r="E96" s="11"/>
      <c r="F96" s="247"/>
      <c r="G96" s="11"/>
    </row>
    <row r="97" spans="2:7" x14ac:dyDescent="0.25">
      <c r="B97" s="11"/>
      <c r="E97" s="11"/>
      <c r="F97" s="247"/>
      <c r="G97" s="11"/>
    </row>
    <row r="98" spans="2:7" x14ac:dyDescent="0.25">
      <c r="B98" s="11"/>
      <c r="E98" s="11"/>
      <c r="F98" s="247"/>
      <c r="G98" s="11"/>
    </row>
    <row r="99" spans="2:7" x14ac:dyDescent="0.25">
      <c r="B99" s="11"/>
      <c r="E99" s="11"/>
      <c r="F99" s="247"/>
      <c r="G99" s="11"/>
    </row>
    <row r="100" spans="2:7" x14ac:dyDescent="0.25">
      <c r="B100" s="11"/>
      <c r="E100" s="11"/>
      <c r="F100" s="247"/>
      <c r="G100" s="11"/>
    </row>
    <row r="101" spans="2:7" x14ac:dyDescent="0.25">
      <c r="B101" s="11"/>
      <c r="E101" s="11"/>
      <c r="F101" s="247"/>
      <c r="G101" s="11"/>
    </row>
    <row r="102" spans="2:7" x14ac:dyDescent="0.25">
      <c r="B102" s="11"/>
      <c r="E102" s="11"/>
      <c r="F102" s="247"/>
      <c r="G102" s="11"/>
    </row>
    <row r="103" spans="2:7" x14ac:dyDescent="0.25">
      <c r="B103" s="11"/>
      <c r="E103" s="11"/>
      <c r="F103" s="247"/>
      <c r="G103" s="11"/>
    </row>
    <row r="104" spans="2:7" x14ac:dyDescent="0.25">
      <c r="B104" s="11"/>
      <c r="E104" s="11"/>
      <c r="F104" s="247"/>
      <c r="G104" s="11"/>
    </row>
    <row r="105" spans="2:7" x14ac:dyDescent="0.25">
      <c r="B105" s="11"/>
      <c r="E105" s="11"/>
      <c r="F105" s="247"/>
      <c r="G105" s="11"/>
    </row>
    <row r="106" spans="2:7" x14ac:dyDescent="0.25">
      <c r="B106" s="11"/>
      <c r="E106" s="11"/>
      <c r="F106" s="247"/>
      <c r="G106" s="11"/>
    </row>
    <row r="107" spans="2:7" x14ac:dyDescent="0.25">
      <c r="E107" s="11"/>
      <c r="F107" s="247"/>
      <c r="G107" s="11"/>
    </row>
    <row r="108" spans="2:7" x14ac:dyDescent="0.25">
      <c r="E108" s="11"/>
      <c r="F108" s="247"/>
      <c r="G108" s="11"/>
    </row>
    <row r="109" spans="2:7" x14ac:dyDescent="0.25">
      <c r="E109" s="11"/>
      <c r="F109" s="247"/>
      <c r="G109" s="11"/>
    </row>
    <row r="110" spans="2:7" x14ac:dyDescent="0.25">
      <c r="E110" s="11"/>
      <c r="F110" s="247"/>
      <c r="G110" s="11"/>
    </row>
    <row r="111" spans="2:7" x14ac:dyDescent="0.25">
      <c r="E111" s="11"/>
      <c r="F111" s="247"/>
      <c r="G111" s="11"/>
    </row>
    <row r="112" spans="2:7" x14ac:dyDescent="0.25">
      <c r="E112" s="11"/>
      <c r="F112" s="247"/>
      <c r="G112" s="11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105"/>
  <sheetViews>
    <sheetView zoomScale="110" zoomScaleNormal="110" workbookViewId="0">
      <selection activeCell="K10" sqref="K10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3.4257812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>
        <v>46112</v>
      </c>
      <c r="B3" s="227" t="s">
        <v>9</v>
      </c>
      <c r="C3" s="82" t="s">
        <v>104</v>
      </c>
      <c r="D3" s="82">
        <v>320</v>
      </c>
      <c r="E3" s="82"/>
      <c r="F3" s="82">
        <v>35.479999999999997</v>
      </c>
      <c r="G3" s="82"/>
      <c r="H3" s="123">
        <v>764442</v>
      </c>
      <c r="I3" s="90"/>
      <c r="J3" s="237"/>
      <c r="K3" s="220">
        <v>1257428.94</v>
      </c>
    </row>
    <row r="4" spans="1:11" x14ac:dyDescent="0.25">
      <c r="A4" s="179">
        <v>46113</v>
      </c>
      <c r="B4" s="227" t="s">
        <v>104</v>
      </c>
      <c r="C4" s="82" t="s">
        <v>9</v>
      </c>
      <c r="D4" s="82">
        <v>320</v>
      </c>
      <c r="E4" s="82"/>
      <c r="F4" s="82"/>
      <c r="G4" s="82"/>
      <c r="H4" s="128" t="s">
        <v>66</v>
      </c>
      <c r="I4" s="90"/>
      <c r="J4" s="237"/>
      <c r="K4" s="220"/>
    </row>
    <row r="5" spans="1:11" x14ac:dyDescent="0.25">
      <c r="A5" s="179">
        <v>46116</v>
      </c>
      <c r="B5" s="82" t="s">
        <v>9</v>
      </c>
      <c r="C5" s="124" t="s">
        <v>262</v>
      </c>
      <c r="D5" s="82">
        <v>430</v>
      </c>
      <c r="E5" s="82"/>
      <c r="F5" s="82">
        <v>35.479999999999997</v>
      </c>
      <c r="G5" s="82"/>
      <c r="H5" s="90">
        <v>764713</v>
      </c>
      <c r="I5" s="90"/>
      <c r="J5" s="237"/>
      <c r="K5" s="220">
        <v>1657729.56</v>
      </c>
    </row>
    <row r="6" spans="1:11" x14ac:dyDescent="0.25">
      <c r="A6" s="179">
        <v>46118</v>
      </c>
      <c r="B6" s="236" t="s">
        <v>272</v>
      </c>
      <c r="C6" s="124" t="s">
        <v>220</v>
      </c>
      <c r="D6" s="82">
        <v>140</v>
      </c>
      <c r="E6" s="82"/>
      <c r="F6" s="82"/>
      <c r="G6" s="82"/>
      <c r="H6" s="83" t="s">
        <v>66</v>
      </c>
      <c r="I6" s="90"/>
      <c r="J6" s="237"/>
      <c r="K6" s="220"/>
    </row>
    <row r="7" spans="1:11" x14ac:dyDescent="0.25">
      <c r="A7" s="179">
        <v>46119</v>
      </c>
      <c r="B7" s="236" t="s">
        <v>220</v>
      </c>
      <c r="C7" s="124" t="s">
        <v>10</v>
      </c>
      <c r="D7" s="82">
        <v>300</v>
      </c>
      <c r="E7" s="82"/>
      <c r="F7" s="82"/>
      <c r="G7" s="82"/>
      <c r="H7" s="90">
        <v>895125</v>
      </c>
      <c r="I7" s="90"/>
      <c r="J7" s="237"/>
      <c r="K7" s="220"/>
    </row>
    <row r="8" spans="1:11" x14ac:dyDescent="0.25">
      <c r="A8" s="179">
        <v>46120</v>
      </c>
      <c r="B8" s="236" t="s">
        <v>10</v>
      </c>
      <c r="C8" s="124" t="s">
        <v>220</v>
      </c>
      <c r="D8" s="82">
        <v>300</v>
      </c>
      <c r="E8" s="82"/>
      <c r="F8" s="82"/>
      <c r="G8" s="82"/>
      <c r="H8" s="90">
        <v>278708</v>
      </c>
      <c r="I8" s="90" t="s">
        <v>176</v>
      </c>
      <c r="J8" s="237"/>
      <c r="K8" s="220"/>
    </row>
    <row r="9" spans="1:11" x14ac:dyDescent="0.25">
      <c r="A9" s="179">
        <v>46121</v>
      </c>
      <c r="B9" s="236" t="s">
        <v>220</v>
      </c>
      <c r="C9" s="124" t="s">
        <v>290</v>
      </c>
      <c r="D9" s="82">
        <v>140</v>
      </c>
      <c r="E9" s="82"/>
      <c r="F9" s="82">
        <v>35.119999999999997</v>
      </c>
      <c r="G9" s="82"/>
      <c r="H9" s="123">
        <v>895440</v>
      </c>
      <c r="I9" s="90"/>
      <c r="J9" s="237"/>
      <c r="K9" s="220">
        <v>391358.32</v>
      </c>
    </row>
    <row r="10" spans="1:11" x14ac:dyDescent="0.25">
      <c r="A10" s="179">
        <v>46121</v>
      </c>
      <c r="B10" s="82" t="s">
        <v>290</v>
      </c>
      <c r="C10" s="124" t="s">
        <v>9</v>
      </c>
      <c r="D10" s="82">
        <v>410</v>
      </c>
      <c r="E10" s="82"/>
      <c r="F10" s="82"/>
      <c r="G10" s="82"/>
      <c r="H10" s="83" t="s">
        <v>66</v>
      </c>
      <c r="I10" s="90"/>
      <c r="J10" s="237"/>
      <c r="K10" s="220"/>
    </row>
    <row r="11" spans="1:11" x14ac:dyDescent="0.25">
      <c r="A11" s="179">
        <v>46122</v>
      </c>
      <c r="B11" s="227" t="s">
        <v>9</v>
      </c>
      <c r="C11" s="82" t="s">
        <v>104</v>
      </c>
      <c r="D11" s="82">
        <v>320</v>
      </c>
      <c r="E11" s="82"/>
      <c r="F11" s="82">
        <v>35.18</v>
      </c>
      <c r="G11" s="82"/>
      <c r="H11" s="123">
        <v>765662</v>
      </c>
      <c r="I11" s="90"/>
      <c r="J11" s="237"/>
      <c r="K11" s="220"/>
    </row>
    <row r="12" spans="1:11" x14ac:dyDescent="0.25">
      <c r="A12" s="179">
        <v>46125</v>
      </c>
      <c r="B12" s="227" t="s">
        <v>104</v>
      </c>
      <c r="C12" s="82" t="s">
        <v>9</v>
      </c>
      <c r="D12" s="82">
        <v>320</v>
      </c>
      <c r="E12" s="82"/>
      <c r="F12" s="82"/>
      <c r="G12" s="82"/>
      <c r="H12" s="128" t="s">
        <v>66</v>
      </c>
      <c r="I12" s="90"/>
      <c r="J12" s="237"/>
      <c r="K12" s="220"/>
    </row>
    <row r="13" spans="1:11" x14ac:dyDescent="0.25">
      <c r="A13" s="179">
        <v>46125</v>
      </c>
      <c r="B13" s="236" t="s">
        <v>9</v>
      </c>
      <c r="C13" s="124" t="s">
        <v>234</v>
      </c>
      <c r="D13" s="82">
        <v>40</v>
      </c>
      <c r="E13" s="82"/>
      <c r="F13" s="82">
        <v>34.78</v>
      </c>
      <c r="G13" s="82"/>
      <c r="H13" s="123">
        <v>766135</v>
      </c>
      <c r="I13" s="90"/>
      <c r="J13" s="237"/>
      <c r="K13" s="220"/>
    </row>
    <row r="14" spans="1:11" x14ac:dyDescent="0.25">
      <c r="A14" s="179">
        <v>46126</v>
      </c>
      <c r="B14" s="236" t="s">
        <v>234</v>
      </c>
      <c r="C14" s="124" t="s">
        <v>9</v>
      </c>
      <c r="D14" s="82">
        <v>40</v>
      </c>
      <c r="E14" s="82"/>
      <c r="F14" s="82"/>
      <c r="G14" s="82"/>
      <c r="H14" s="128" t="s">
        <v>66</v>
      </c>
      <c r="I14" s="90"/>
      <c r="J14" s="237"/>
      <c r="K14" s="220"/>
    </row>
    <row r="15" spans="1:11" x14ac:dyDescent="0.25">
      <c r="A15" s="179">
        <v>46126</v>
      </c>
      <c r="B15" s="236" t="s">
        <v>9</v>
      </c>
      <c r="C15" s="124" t="s">
        <v>234</v>
      </c>
      <c r="D15" s="82">
        <v>40</v>
      </c>
      <c r="E15" s="82"/>
      <c r="F15" s="82">
        <v>34.92</v>
      </c>
      <c r="G15" s="82"/>
      <c r="H15" s="123">
        <v>766290</v>
      </c>
      <c r="I15" s="90"/>
      <c r="J15" s="237"/>
      <c r="K15" s="220"/>
    </row>
    <row r="16" spans="1:11" x14ac:dyDescent="0.25">
      <c r="A16" s="179">
        <v>46127</v>
      </c>
      <c r="B16" s="236" t="s">
        <v>234</v>
      </c>
      <c r="C16" s="124" t="s">
        <v>9</v>
      </c>
      <c r="D16" s="82">
        <v>40</v>
      </c>
      <c r="E16" s="82"/>
      <c r="F16" s="82"/>
      <c r="G16" s="82"/>
      <c r="H16" s="128" t="s">
        <v>66</v>
      </c>
      <c r="I16" s="90"/>
      <c r="J16" s="237"/>
      <c r="K16" s="220"/>
    </row>
    <row r="17" spans="1:11" x14ac:dyDescent="0.25">
      <c r="A17" s="179">
        <v>46127</v>
      </c>
      <c r="B17" s="236" t="s">
        <v>9</v>
      </c>
      <c r="C17" s="124" t="s">
        <v>288</v>
      </c>
      <c r="D17" s="82">
        <v>900</v>
      </c>
      <c r="E17" s="82"/>
      <c r="F17" s="82">
        <v>35.22</v>
      </c>
      <c r="G17" s="82"/>
      <c r="H17" s="90">
        <v>766490</v>
      </c>
      <c r="I17" s="90"/>
      <c r="J17" s="237"/>
      <c r="K17" s="220"/>
    </row>
    <row r="18" spans="1:11" x14ac:dyDescent="0.25">
      <c r="A18" s="179">
        <v>46128</v>
      </c>
      <c r="B18" s="236" t="s">
        <v>288</v>
      </c>
      <c r="C18" s="124" t="s">
        <v>10</v>
      </c>
      <c r="D18" s="82">
        <v>330</v>
      </c>
      <c r="E18" s="82"/>
      <c r="F18" s="82"/>
      <c r="G18" s="82"/>
      <c r="H18" s="83" t="s">
        <v>66</v>
      </c>
      <c r="I18" s="90"/>
      <c r="J18" s="237"/>
      <c r="K18" s="220"/>
    </row>
    <row r="19" spans="1:11" x14ac:dyDescent="0.25">
      <c r="A19" s="179">
        <v>46129</v>
      </c>
      <c r="B19" s="82" t="s">
        <v>10</v>
      </c>
      <c r="C19" s="124" t="s">
        <v>220</v>
      </c>
      <c r="D19" s="82">
        <v>300</v>
      </c>
      <c r="E19" s="82"/>
      <c r="F19" s="82"/>
      <c r="G19" s="82"/>
      <c r="H19" s="90">
        <v>766490</v>
      </c>
      <c r="I19" s="90"/>
      <c r="J19" s="237"/>
      <c r="K19" s="220"/>
    </row>
    <row r="20" spans="1:11" x14ac:dyDescent="0.25">
      <c r="A20" s="179">
        <v>46130</v>
      </c>
      <c r="B20" s="82" t="s">
        <v>220</v>
      </c>
      <c r="C20" s="124" t="s">
        <v>9</v>
      </c>
      <c r="D20" s="82">
        <v>300</v>
      </c>
      <c r="E20" s="82"/>
      <c r="F20" s="82"/>
      <c r="G20" s="82"/>
      <c r="H20" s="128" t="s">
        <v>66</v>
      </c>
      <c r="I20" s="90"/>
      <c r="J20" s="237"/>
      <c r="K20" s="220"/>
    </row>
    <row r="21" spans="1:11" x14ac:dyDescent="0.25">
      <c r="A21" s="179">
        <v>46134</v>
      </c>
      <c r="B21" s="82" t="s">
        <v>9</v>
      </c>
      <c r="C21" s="124" t="s">
        <v>262</v>
      </c>
      <c r="D21" s="82">
        <v>430</v>
      </c>
      <c r="E21" s="82"/>
      <c r="F21" s="82">
        <v>35.32</v>
      </c>
      <c r="G21" s="82"/>
      <c r="H21" s="90">
        <v>767540</v>
      </c>
      <c r="I21" s="90"/>
      <c r="J21" s="237"/>
      <c r="K21" s="220"/>
    </row>
    <row r="22" spans="1:11" x14ac:dyDescent="0.25">
      <c r="A22" s="179">
        <v>46135</v>
      </c>
      <c r="B22" s="82" t="s">
        <v>272</v>
      </c>
      <c r="C22" s="124" t="s">
        <v>9</v>
      </c>
      <c r="D22" s="82">
        <v>430</v>
      </c>
      <c r="E22" s="82"/>
      <c r="F22" s="82"/>
      <c r="G22" s="82"/>
      <c r="H22" s="83" t="s">
        <v>66</v>
      </c>
      <c r="I22" s="90"/>
      <c r="J22" s="237"/>
      <c r="K22" s="220"/>
    </row>
    <row r="23" spans="1:11" x14ac:dyDescent="0.25">
      <c r="A23" s="179">
        <v>46136</v>
      </c>
      <c r="B23" s="82" t="s">
        <v>9</v>
      </c>
      <c r="C23" s="124" t="s">
        <v>346</v>
      </c>
      <c r="D23" s="82">
        <v>120</v>
      </c>
      <c r="E23" s="82"/>
      <c r="F23" s="82">
        <v>35.380000000000003</v>
      </c>
      <c r="G23" s="82"/>
      <c r="H23" s="90">
        <v>767868</v>
      </c>
      <c r="I23" s="90"/>
      <c r="J23" s="237"/>
      <c r="K23" s="220"/>
    </row>
    <row r="24" spans="1:11" x14ac:dyDescent="0.25">
      <c r="A24" s="179">
        <v>46136</v>
      </c>
      <c r="B24" s="82" t="s">
        <v>346</v>
      </c>
      <c r="C24" s="124" t="s">
        <v>234</v>
      </c>
      <c r="D24" s="82">
        <v>120</v>
      </c>
      <c r="E24" s="82"/>
      <c r="F24" s="82" t="s">
        <v>440</v>
      </c>
      <c r="G24" s="82" t="s">
        <v>441</v>
      </c>
      <c r="H24" s="83" t="s">
        <v>66</v>
      </c>
      <c r="I24" s="90"/>
      <c r="J24" s="237"/>
      <c r="K24" s="220"/>
    </row>
    <row r="25" spans="1:11" x14ac:dyDescent="0.25">
      <c r="A25" s="179">
        <v>46136</v>
      </c>
      <c r="B25" s="82" t="s">
        <v>234</v>
      </c>
      <c r="C25" s="124" t="s">
        <v>9</v>
      </c>
      <c r="D25" s="82">
        <v>20</v>
      </c>
      <c r="E25" s="82"/>
      <c r="F25" s="82"/>
      <c r="G25" s="82"/>
      <c r="H25" s="83" t="s">
        <v>66</v>
      </c>
      <c r="I25" s="90"/>
      <c r="J25" s="237"/>
      <c r="K25" s="220"/>
    </row>
    <row r="26" spans="1:11" x14ac:dyDescent="0.25">
      <c r="A26" s="179">
        <v>46139</v>
      </c>
      <c r="B26" s="82" t="s">
        <v>9</v>
      </c>
      <c r="C26" s="124" t="s">
        <v>491</v>
      </c>
      <c r="D26" s="82">
        <v>350</v>
      </c>
      <c r="E26" s="82"/>
      <c r="F26" s="82"/>
      <c r="G26" s="82"/>
      <c r="H26" s="90" t="s">
        <v>252</v>
      </c>
      <c r="I26" s="90"/>
      <c r="J26" s="237"/>
      <c r="K26" s="220"/>
    </row>
    <row r="27" spans="1:11" x14ac:dyDescent="0.25">
      <c r="A27" s="179">
        <v>46140</v>
      </c>
      <c r="B27" s="82" t="s">
        <v>491</v>
      </c>
      <c r="C27" s="124" t="s">
        <v>220</v>
      </c>
      <c r="D27" s="82">
        <v>100</v>
      </c>
      <c r="E27" s="82"/>
      <c r="F27" s="82"/>
      <c r="G27" s="82"/>
      <c r="H27" s="83" t="s">
        <v>66</v>
      </c>
      <c r="I27" s="90"/>
      <c r="J27" s="237"/>
      <c r="K27" s="220"/>
    </row>
    <row r="28" spans="1:11" x14ac:dyDescent="0.25">
      <c r="A28" s="179">
        <v>46140</v>
      </c>
      <c r="B28" s="236" t="s">
        <v>220</v>
      </c>
      <c r="C28" s="124" t="s">
        <v>10</v>
      </c>
      <c r="D28" s="82">
        <v>300</v>
      </c>
      <c r="E28" s="82"/>
      <c r="F28" s="82"/>
      <c r="G28" s="82"/>
      <c r="H28" s="90" t="s">
        <v>252</v>
      </c>
      <c r="I28" s="90"/>
      <c r="J28" s="237"/>
      <c r="K28" s="220"/>
    </row>
    <row r="29" spans="1:11" x14ac:dyDescent="0.25">
      <c r="A29" s="179">
        <v>46141</v>
      </c>
      <c r="B29" s="236" t="s">
        <v>10</v>
      </c>
      <c r="C29" s="124" t="s">
        <v>220</v>
      </c>
      <c r="D29" s="82">
        <v>300</v>
      </c>
      <c r="E29" s="82"/>
      <c r="F29" s="82"/>
      <c r="G29" s="82"/>
      <c r="H29" s="90" t="s">
        <v>349</v>
      </c>
      <c r="I29" s="90" t="s">
        <v>176</v>
      </c>
      <c r="J29" s="237"/>
      <c r="K29" s="220"/>
    </row>
    <row r="30" spans="1:11" x14ac:dyDescent="0.25">
      <c r="A30" s="179">
        <v>46141</v>
      </c>
      <c r="B30" s="82" t="s">
        <v>220</v>
      </c>
      <c r="C30" s="124" t="s">
        <v>251</v>
      </c>
      <c r="D30" s="82">
        <v>80</v>
      </c>
      <c r="E30" s="82"/>
      <c r="F30" s="82"/>
      <c r="G30" s="82"/>
      <c r="H30" s="90" t="s">
        <v>252</v>
      </c>
      <c r="I30" s="90"/>
      <c r="J30" s="237"/>
      <c r="K30" s="220"/>
    </row>
    <row r="31" spans="1:11" x14ac:dyDescent="0.25">
      <c r="A31" s="179">
        <v>46142</v>
      </c>
      <c r="B31" s="82" t="s">
        <v>251</v>
      </c>
      <c r="C31" s="124" t="s">
        <v>9</v>
      </c>
      <c r="D31" s="82">
        <v>360</v>
      </c>
      <c r="E31" s="82"/>
      <c r="F31" s="82"/>
      <c r="G31" s="82"/>
      <c r="H31" s="83" t="s">
        <v>66</v>
      </c>
      <c r="I31" s="90"/>
      <c r="J31" s="237"/>
      <c r="K31" s="220"/>
    </row>
    <row r="32" spans="1:11" x14ac:dyDescent="0.25">
      <c r="A32" s="179"/>
      <c r="B32" s="82"/>
      <c r="C32" s="124"/>
      <c r="D32" s="151" t="s">
        <v>454</v>
      </c>
      <c r="E32" s="82"/>
      <c r="F32" s="82"/>
      <c r="G32" s="82"/>
      <c r="H32" s="83"/>
      <c r="I32" s="90"/>
      <c r="J32" s="237"/>
      <c r="K32" s="220"/>
    </row>
    <row r="33" spans="1:11" x14ac:dyDescent="0.25">
      <c r="A33" s="5"/>
      <c r="B33" s="6"/>
      <c r="C33" s="6"/>
      <c r="D33" s="6"/>
      <c r="E33" s="6"/>
      <c r="F33" s="6"/>
      <c r="G33" s="6"/>
      <c r="H33" s="7"/>
      <c r="I33" s="7"/>
      <c r="J33" s="140"/>
      <c r="K33" s="221"/>
    </row>
    <row r="34" spans="1:11" x14ac:dyDescent="0.25">
      <c r="D34" s="17">
        <f>SUM(D3:D33)</f>
        <v>7600</v>
      </c>
      <c r="E34" s="13"/>
      <c r="F34" s="13">
        <f>AVERAGE(F3:F32)</f>
        <v>35.208888888888886</v>
      </c>
      <c r="G34" s="13"/>
      <c r="J34" s="139">
        <f>SUM(J3:J32)</f>
        <v>0</v>
      </c>
      <c r="K34" s="244">
        <f>SUM(K3:K33)</f>
        <v>3306516.82</v>
      </c>
    </row>
    <row r="39" spans="1:11" x14ac:dyDescent="0.25">
      <c r="D39" s="11"/>
    </row>
    <row r="40" spans="1:11" x14ac:dyDescent="0.25">
      <c r="D40" s="11"/>
    </row>
    <row r="41" spans="1:11" x14ac:dyDescent="0.25">
      <c r="D41" s="11"/>
    </row>
    <row r="42" spans="1:11" x14ac:dyDescent="0.25">
      <c r="B42" s="230">
        <v>-2000</v>
      </c>
      <c r="C42" s="11" t="s">
        <v>93</v>
      </c>
      <c r="D42" s="11"/>
      <c r="E42" s="11"/>
      <c r="F42" s="11"/>
      <c r="G42" s="89"/>
      <c r="K42" s="4"/>
    </row>
    <row r="43" spans="1:11" x14ac:dyDescent="0.25">
      <c r="B43" s="230">
        <v>800</v>
      </c>
      <c r="C43" s="11" t="s">
        <v>138</v>
      </c>
      <c r="D43" s="11">
        <v>45175</v>
      </c>
      <c r="E43" s="11"/>
      <c r="F43" s="11"/>
      <c r="G43" s="89"/>
      <c r="K43" s="4"/>
    </row>
    <row r="44" spans="1:11" x14ac:dyDescent="0.25">
      <c r="B44" s="230">
        <v>-800</v>
      </c>
      <c r="C44" s="11" t="s">
        <v>13</v>
      </c>
      <c r="D44" s="11"/>
      <c r="E44" s="11"/>
      <c r="F44" s="11"/>
      <c r="G44" s="89"/>
      <c r="K44" s="4"/>
    </row>
    <row r="45" spans="1:11" x14ac:dyDescent="0.25">
      <c r="B45" s="230">
        <v>1200</v>
      </c>
      <c r="C45" s="11" t="s">
        <v>74</v>
      </c>
      <c r="D45" s="11">
        <v>45182</v>
      </c>
      <c r="E45" s="11"/>
      <c r="F45" s="11"/>
      <c r="G45" s="89"/>
      <c r="K45" s="4"/>
    </row>
    <row r="46" spans="1:11" x14ac:dyDescent="0.25">
      <c r="B46" s="230">
        <v>2600</v>
      </c>
      <c r="C46" s="11" t="s">
        <v>12</v>
      </c>
      <c r="D46" s="11"/>
      <c r="E46" s="11"/>
      <c r="F46" s="11"/>
      <c r="G46" s="89"/>
      <c r="K46" s="4"/>
    </row>
    <row r="47" spans="1:11" x14ac:dyDescent="0.25">
      <c r="B47" s="230">
        <v>-2600</v>
      </c>
      <c r="C47" s="11" t="s">
        <v>93</v>
      </c>
      <c r="D47" s="11"/>
      <c r="E47" s="11"/>
      <c r="F47" s="11"/>
      <c r="G47" s="89"/>
      <c r="K47" s="4"/>
    </row>
    <row r="48" spans="1:11" x14ac:dyDescent="0.25">
      <c r="B48" s="230">
        <v>-100000</v>
      </c>
      <c r="C48" s="11" t="s">
        <v>93</v>
      </c>
      <c r="D48" s="11">
        <v>45530</v>
      </c>
      <c r="E48" s="11"/>
      <c r="F48" s="11"/>
      <c r="G48" s="89"/>
      <c r="K48" s="4"/>
    </row>
    <row r="49" spans="2:11" x14ac:dyDescent="0.25">
      <c r="B49" s="230">
        <v>39400</v>
      </c>
      <c r="C49" s="11" t="s">
        <v>138</v>
      </c>
      <c r="D49" s="11"/>
      <c r="E49" s="11"/>
      <c r="F49" s="11"/>
      <c r="G49" s="89"/>
      <c r="K49" s="4"/>
    </row>
    <row r="50" spans="2:11" x14ac:dyDescent="0.25">
      <c r="B50" s="230">
        <v>-39400</v>
      </c>
      <c r="C50" s="11" t="s">
        <v>13</v>
      </c>
      <c r="D50" s="11">
        <v>45538</v>
      </c>
      <c r="E50" s="11"/>
      <c r="F50" s="11"/>
      <c r="G50" s="89"/>
      <c r="K50" s="4"/>
    </row>
    <row r="51" spans="2:11" x14ac:dyDescent="0.25">
      <c r="B51" s="230">
        <v>30300</v>
      </c>
      <c r="C51" s="11" t="s">
        <v>74</v>
      </c>
      <c r="D51" s="11">
        <v>45545</v>
      </c>
      <c r="E51" s="11"/>
      <c r="F51" s="11"/>
      <c r="G51" s="89"/>
      <c r="K51" s="4"/>
    </row>
    <row r="52" spans="2:11" x14ac:dyDescent="0.25">
      <c r="B52" s="230">
        <v>-30300</v>
      </c>
      <c r="C52" s="11" t="s">
        <v>93</v>
      </c>
      <c r="D52" s="11">
        <v>45545</v>
      </c>
      <c r="E52" s="11"/>
      <c r="F52" s="11"/>
      <c r="G52" s="89"/>
      <c r="K52" s="4"/>
    </row>
    <row r="53" spans="2:11" x14ac:dyDescent="0.25">
      <c r="B53" s="230">
        <v>18000</v>
      </c>
      <c r="C53" s="11" t="s">
        <v>12</v>
      </c>
      <c r="D53" s="11">
        <v>45560</v>
      </c>
      <c r="E53" s="11"/>
      <c r="F53" s="11"/>
      <c r="G53" s="89"/>
      <c r="K53" s="4"/>
    </row>
    <row r="54" spans="2:11" x14ac:dyDescent="0.25">
      <c r="B54" s="230">
        <v>82500</v>
      </c>
      <c r="C54" s="11" t="s">
        <v>263</v>
      </c>
      <c r="D54" s="11">
        <v>45560</v>
      </c>
      <c r="E54" s="11"/>
      <c r="F54" s="11"/>
      <c r="G54" s="89"/>
      <c r="K54" s="4"/>
    </row>
    <row r="55" spans="2:11" x14ac:dyDescent="0.25">
      <c r="B55" s="230">
        <v>8000</v>
      </c>
      <c r="C55" s="11" t="s">
        <v>138</v>
      </c>
      <c r="D55" s="11">
        <v>45856</v>
      </c>
      <c r="E55" s="11"/>
      <c r="F55" s="11"/>
      <c r="G55" s="89"/>
      <c r="K55" s="4"/>
    </row>
    <row r="56" spans="2:11" x14ac:dyDescent="0.25">
      <c r="B56" s="230">
        <v>-8000</v>
      </c>
      <c r="C56" s="11" t="s">
        <v>13</v>
      </c>
      <c r="D56" s="11"/>
      <c r="E56" s="11"/>
      <c r="F56" s="11"/>
      <c r="G56" s="89"/>
      <c r="K56" s="4"/>
    </row>
    <row r="57" spans="2:11" x14ac:dyDescent="0.25">
      <c r="B57" s="230">
        <v>-1000</v>
      </c>
      <c r="C57" s="11" t="s">
        <v>190</v>
      </c>
      <c r="D57" s="11">
        <v>45934</v>
      </c>
      <c r="E57" s="11"/>
      <c r="F57" s="11"/>
      <c r="G57" s="89"/>
      <c r="K57" s="4"/>
    </row>
    <row r="58" spans="2:11" x14ac:dyDescent="0.25">
      <c r="B58" s="230"/>
      <c r="C58" s="11"/>
      <c r="D58" s="11">
        <v>45934</v>
      </c>
      <c r="E58" s="11"/>
      <c r="F58" s="11"/>
      <c r="G58" s="89"/>
      <c r="K58" s="4"/>
    </row>
    <row r="59" spans="2:11" x14ac:dyDescent="0.25">
      <c r="B59" s="135">
        <f>SUM(B42:B57)</f>
        <v>-1300</v>
      </c>
      <c r="C59" s="11">
        <v>45934</v>
      </c>
      <c r="D59" s="11"/>
      <c r="E59" s="11"/>
      <c r="F59" s="11"/>
      <c r="G59" s="11"/>
      <c r="K59" s="4"/>
    </row>
    <row r="60" spans="2:11" x14ac:dyDescent="0.25">
      <c r="B60" s="11"/>
      <c r="D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C64" s="11"/>
      <c r="E64" s="11"/>
      <c r="F64" s="11"/>
      <c r="G64" s="11"/>
      <c r="K64" s="4"/>
    </row>
    <row r="65" spans="2:11" x14ac:dyDescent="0.25">
      <c r="B65" s="11"/>
      <c r="E65" s="4"/>
      <c r="K65" s="4"/>
    </row>
    <row r="66" spans="2:11" x14ac:dyDescent="0.25">
      <c r="B66" s="11"/>
      <c r="F66" s="11"/>
      <c r="G66" s="11"/>
      <c r="I66" s="173"/>
      <c r="K66" s="4"/>
    </row>
    <row r="67" spans="2:11" x14ac:dyDescent="0.25">
      <c r="B67" s="11"/>
      <c r="E67" s="11"/>
      <c r="F67" s="11"/>
      <c r="G67" s="11"/>
      <c r="K67" s="4"/>
    </row>
    <row r="68" spans="2:11" x14ac:dyDescent="0.25">
      <c r="B68" s="11"/>
      <c r="K68" s="4"/>
    </row>
    <row r="69" spans="2:11" x14ac:dyDescent="0.25">
      <c r="B69" s="11"/>
      <c r="E69" s="11"/>
      <c r="F69" s="11"/>
      <c r="G69" s="11"/>
      <c r="K69" s="4"/>
    </row>
    <row r="70" spans="2:11" x14ac:dyDescent="0.25">
      <c r="B70" s="11"/>
      <c r="I70" s="4"/>
    </row>
    <row r="71" spans="2:11" x14ac:dyDescent="0.25">
      <c r="B71" s="11"/>
      <c r="E71" s="11"/>
      <c r="F71" s="11"/>
      <c r="G71" s="11"/>
      <c r="K71" s="4"/>
    </row>
    <row r="72" spans="2:11" x14ac:dyDescent="0.25">
      <c r="B72" s="11"/>
      <c r="E72" s="11"/>
      <c r="F72" s="11"/>
      <c r="G72" s="11"/>
      <c r="K72" s="4"/>
    </row>
    <row r="73" spans="2:11" x14ac:dyDescent="0.25">
      <c r="B73" s="11"/>
      <c r="E73" s="11"/>
      <c r="F73" s="11"/>
      <c r="G73" s="11"/>
      <c r="K73" s="4"/>
    </row>
    <row r="74" spans="2:11" x14ac:dyDescent="0.25">
      <c r="B74" s="11"/>
      <c r="E74" s="11"/>
      <c r="F74" s="11"/>
      <c r="G74" s="11"/>
      <c r="K74" s="4"/>
    </row>
    <row r="75" spans="2:11" x14ac:dyDescent="0.25">
      <c r="B75" s="11"/>
      <c r="E75" s="11"/>
      <c r="F75" s="11"/>
      <c r="G75" s="11"/>
      <c r="K75" s="4"/>
    </row>
    <row r="76" spans="2:11" x14ac:dyDescent="0.25">
      <c r="B76" s="11"/>
      <c r="D76" s="11"/>
      <c r="E76" s="11"/>
      <c r="F76" s="11"/>
      <c r="G76" s="11"/>
      <c r="K76" s="4"/>
    </row>
    <row r="77" spans="2:11" x14ac:dyDescent="0.25">
      <c r="B77" s="11"/>
      <c r="E77" s="11"/>
      <c r="F77" s="11"/>
      <c r="G77" s="11"/>
      <c r="K77" s="4"/>
    </row>
    <row r="78" spans="2:11" x14ac:dyDescent="0.25">
      <c r="B78" s="11"/>
      <c r="E78" s="11"/>
      <c r="F78" s="11"/>
      <c r="G78" s="11"/>
      <c r="K78" s="4"/>
    </row>
    <row r="79" spans="2:11" x14ac:dyDescent="0.25">
      <c r="B79" s="11"/>
      <c r="E79" s="11"/>
      <c r="F79" s="11"/>
      <c r="G79" s="11"/>
      <c r="K79" s="4"/>
    </row>
    <row r="80" spans="2:11" x14ac:dyDescent="0.25">
      <c r="B80" s="11"/>
      <c r="E80" s="11"/>
      <c r="F80" s="11"/>
      <c r="G80" s="11"/>
      <c r="K80" s="4"/>
    </row>
    <row r="81" spans="2:11" x14ac:dyDescent="0.25">
      <c r="B81" s="11"/>
      <c r="E81" s="11"/>
      <c r="F81" s="11"/>
      <c r="G81" s="11"/>
      <c r="K81" s="4"/>
    </row>
    <row r="82" spans="2:11" x14ac:dyDescent="0.25">
      <c r="B82" s="11"/>
      <c r="E82" s="11"/>
      <c r="F82" s="11"/>
      <c r="G82" s="11"/>
      <c r="K82" s="4"/>
    </row>
    <row r="83" spans="2:11" x14ac:dyDescent="0.25">
      <c r="B83" s="11"/>
      <c r="E83" s="11"/>
      <c r="F83" s="11"/>
      <c r="G83" s="11"/>
    </row>
    <row r="84" spans="2:11" x14ac:dyDescent="0.25">
      <c r="B84" s="11"/>
      <c r="E84" s="11"/>
      <c r="F84" s="11"/>
      <c r="G84" s="11"/>
    </row>
    <row r="85" spans="2:11" x14ac:dyDescent="0.25">
      <c r="B85" s="11"/>
      <c r="E85" s="11"/>
      <c r="F85" s="11"/>
      <c r="G85" s="11"/>
    </row>
    <row r="86" spans="2:11" x14ac:dyDescent="0.25">
      <c r="B86" s="11"/>
      <c r="E86" s="11"/>
      <c r="F86" s="11"/>
      <c r="G86" s="11"/>
    </row>
    <row r="87" spans="2:11" x14ac:dyDescent="0.25">
      <c r="B87" s="11"/>
      <c r="E87" s="11"/>
      <c r="F87" s="11"/>
      <c r="G87" s="11"/>
    </row>
    <row r="88" spans="2:11" x14ac:dyDescent="0.25">
      <c r="B88" s="11"/>
      <c r="E88" s="11"/>
      <c r="F88" s="11"/>
      <c r="G88" s="11"/>
    </row>
    <row r="89" spans="2:11" x14ac:dyDescent="0.25">
      <c r="B89" s="11"/>
      <c r="E89" s="11"/>
      <c r="F89" s="11"/>
      <c r="G89" s="11"/>
    </row>
    <row r="90" spans="2:11" x14ac:dyDescent="0.25">
      <c r="B90" s="11"/>
      <c r="E90" s="11"/>
      <c r="F90" s="11"/>
      <c r="G90" s="11"/>
    </row>
    <row r="91" spans="2:11" x14ac:dyDescent="0.25">
      <c r="B91" s="11"/>
      <c r="E91" s="11"/>
      <c r="F91" s="11"/>
      <c r="G91" s="11"/>
    </row>
    <row r="92" spans="2:11" x14ac:dyDescent="0.25">
      <c r="B92" s="11"/>
      <c r="E92" s="11"/>
      <c r="F92" s="11"/>
      <c r="G92" s="11"/>
    </row>
    <row r="93" spans="2:11" x14ac:dyDescent="0.25">
      <c r="B93" s="11"/>
      <c r="E93" s="11"/>
      <c r="F93" s="11"/>
      <c r="G93" s="11"/>
    </row>
    <row r="94" spans="2:11" x14ac:dyDescent="0.25">
      <c r="B94" s="11"/>
      <c r="E94" s="11"/>
      <c r="F94" s="11"/>
      <c r="G94" s="11"/>
    </row>
    <row r="95" spans="2:11" x14ac:dyDescent="0.25">
      <c r="B95" s="11"/>
      <c r="E95" s="11"/>
      <c r="F95" s="11"/>
      <c r="G95" s="11"/>
    </row>
    <row r="96" spans="2:11" x14ac:dyDescent="0.25">
      <c r="B96" s="11"/>
      <c r="E96" s="11"/>
      <c r="F96" s="11"/>
      <c r="G96" s="11"/>
    </row>
    <row r="97" spans="2:7" x14ac:dyDescent="0.25">
      <c r="B97" s="11"/>
      <c r="E97" s="11"/>
      <c r="F97" s="11"/>
      <c r="G97" s="11"/>
    </row>
    <row r="98" spans="2:7" x14ac:dyDescent="0.25">
      <c r="B98" s="11"/>
      <c r="E98" s="11"/>
      <c r="F98" s="11"/>
      <c r="G98" s="11"/>
    </row>
    <row r="99" spans="2:7" x14ac:dyDescent="0.25">
      <c r="B99" s="11"/>
      <c r="E99" s="11"/>
      <c r="F99" s="11"/>
      <c r="G99" s="11"/>
    </row>
    <row r="100" spans="2:7" x14ac:dyDescent="0.25">
      <c r="E100" s="11"/>
      <c r="F100" s="11"/>
      <c r="G100" s="11"/>
    </row>
    <row r="101" spans="2:7" x14ac:dyDescent="0.25">
      <c r="E101" s="11"/>
      <c r="F101" s="11"/>
      <c r="G101" s="11"/>
    </row>
    <row r="102" spans="2:7" x14ac:dyDescent="0.25">
      <c r="E102" s="11"/>
      <c r="F102" s="11"/>
      <c r="G102" s="11"/>
    </row>
    <row r="103" spans="2:7" x14ac:dyDescent="0.25">
      <c r="E103" s="11"/>
      <c r="F103" s="11"/>
      <c r="G103" s="11"/>
    </row>
    <row r="104" spans="2:7" x14ac:dyDescent="0.25">
      <c r="E104" s="11"/>
      <c r="F104" s="11"/>
      <c r="G104" s="11"/>
    </row>
    <row r="105" spans="2:7" x14ac:dyDescent="0.25">
      <c r="E105" s="11"/>
      <c r="F105" s="11"/>
      <c r="G105" s="11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97"/>
  <sheetViews>
    <sheetView zoomScale="110" zoomScaleNormal="110" workbookViewId="0">
      <selection activeCell="K8" sqref="K8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>
        <v>46113</v>
      </c>
      <c r="B3" s="82" t="s">
        <v>118</v>
      </c>
      <c r="C3" s="124" t="s">
        <v>358</v>
      </c>
      <c r="D3" s="82">
        <v>1450</v>
      </c>
      <c r="E3" s="82"/>
      <c r="F3" s="82"/>
      <c r="G3" s="82"/>
      <c r="H3" s="123">
        <v>812278</v>
      </c>
      <c r="I3" s="90" t="s">
        <v>359</v>
      </c>
      <c r="J3" s="237"/>
      <c r="K3" s="241"/>
    </row>
    <row r="4" spans="1:11" x14ac:dyDescent="0.25">
      <c r="A4" s="179">
        <v>46114</v>
      </c>
      <c r="B4" s="82" t="s">
        <v>358</v>
      </c>
      <c r="C4" s="124" t="s">
        <v>9</v>
      </c>
      <c r="D4" s="82">
        <v>970</v>
      </c>
      <c r="E4" s="82"/>
      <c r="F4" s="82"/>
      <c r="G4" s="82"/>
      <c r="H4" s="83" t="s">
        <v>66</v>
      </c>
      <c r="I4" s="90"/>
      <c r="J4" s="237"/>
      <c r="K4" s="241"/>
    </row>
    <row r="5" spans="1:11" x14ac:dyDescent="0.25">
      <c r="A5" s="179">
        <v>46116</v>
      </c>
      <c r="B5" s="82" t="s">
        <v>9</v>
      </c>
      <c r="C5" s="124" t="s">
        <v>391</v>
      </c>
      <c r="D5" s="82">
        <v>330</v>
      </c>
      <c r="E5" s="82"/>
      <c r="F5" s="82"/>
      <c r="G5" s="82"/>
      <c r="H5" s="90">
        <v>764738</v>
      </c>
      <c r="I5" s="90"/>
      <c r="J5" s="237"/>
      <c r="K5" s="241">
        <v>891828.5</v>
      </c>
    </row>
    <row r="6" spans="1:11" x14ac:dyDescent="0.25">
      <c r="A6" s="179">
        <v>46118</v>
      </c>
      <c r="B6" s="82" t="s">
        <v>391</v>
      </c>
      <c r="C6" s="124" t="s">
        <v>220</v>
      </c>
      <c r="D6" s="82">
        <v>25</v>
      </c>
      <c r="E6" s="82"/>
      <c r="F6" s="82"/>
      <c r="G6" s="82"/>
      <c r="H6" s="83" t="s">
        <v>66</v>
      </c>
      <c r="I6" s="90"/>
      <c r="J6" s="237"/>
      <c r="K6" s="241"/>
    </row>
    <row r="7" spans="1:11" x14ac:dyDescent="0.25">
      <c r="A7" s="179">
        <v>46118</v>
      </c>
      <c r="B7" s="82" t="s">
        <v>220</v>
      </c>
      <c r="C7" s="124" t="s">
        <v>242</v>
      </c>
      <c r="D7" s="82">
        <v>140</v>
      </c>
      <c r="E7" s="82"/>
      <c r="F7" s="82"/>
      <c r="G7" s="82"/>
      <c r="H7" s="90">
        <v>894958</v>
      </c>
      <c r="I7" s="90"/>
      <c r="J7" s="237"/>
      <c r="K7" s="241">
        <v>362310.8</v>
      </c>
    </row>
    <row r="8" spans="1:11" x14ac:dyDescent="0.25">
      <c r="A8" s="179">
        <v>46119</v>
      </c>
      <c r="B8" s="82" t="s">
        <v>242</v>
      </c>
      <c r="C8" s="124" t="s">
        <v>118</v>
      </c>
      <c r="D8" s="82">
        <v>120</v>
      </c>
      <c r="E8" s="82"/>
      <c r="F8" s="82"/>
      <c r="G8" s="82"/>
      <c r="H8" s="83" t="s">
        <v>66</v>
      </c>
      <c r="I8" s="90"/>
      <c r="J8" s="237"/>
      <c r="K8" s="241"/>
    </row>
    <row r="9" spans="1:11" x14ac:dyDescent="0.25">
      <c r="A9" s="179">
        <v>46120</v>
      </c>
      <c r="B9" s="82" t="s">
        <v>118</v>
      </c>
      <c r="C9" s="124" t="s">
        <v>385</v>
      </c>
      <c r="D9" s="82">
        <v>1560</v>
      </c>
      <c r="E9" s="82"/>
      <c r="F9" s="82"/>
      <c r="G9" s="82"/>
      <c r="H9" s="90">
        <v>119766</v>
      </c>
      <c r="I9" s="90" t="s">
        <v>386</v>
      </c>
      <c r="J9" s="237"/>
      <c r="K9" s="241"/>
    </row>
    <row r="10" spans="1:11" x14ac:dyDescent="0.25">
      <c r="A10" s="179">
        <v>46122</v>
      </c>
      <c r="B10" s="124" t="s">
        <v>385</v>
      </c>
      <c r="C10" s="124" t="s">
        <v>9</v>
      </c>
      <c r="D10" s="82">
        <v>1070</v>
      </c>
      <c r="E10" s="82"/>
      <c r="F10" s="82"/>
      <c r="G10" s="82"/>
      <c r="H10" s="83" t="s">
        <v>66</v>
      </c>
      <c r="I10" s="90"/>
      <c r="J10" s="237"/>
      <c r="K10" s="241"/>
    </row>
    <row r="11" spans="1:11" x14ac:dyDescent="0.25">
      <c r="A11" s="179">
        <v>46125</v>
      </c>
      <c r="B11" s="82" t="s">
        <v>9</v>
      </c>
      <c r="C11" s="124" t="s">
        <v>300</v>
      </c>
      <c r="D11" s="82">
        <v>430</v>
      </c>
      <c r="E11" s="82"/>
      <c r="F11" s="82"/>
      <c r="G11" s="82"/>
      <c r="H11" s="90">
        <v>293731</v>
      </c>
      <c r="I11" s="90" t="s">
        <v>15</v>
      </c>
      <c r="J11" s="237"/>
      <c r="K11" s="241"/>
    </row>
    <row r="12" spans="1:11" x14ac:dyDescent="0.25">
      <c r="A12" s="179">
        <v>46126</v>
      </c>
      <c r="B12" s="82" t="s">
        <v>300</v>
      </c>
      <c r="C12" s="124" t="s">
        <v>118</v>
      </c>
      <c r="D12" s="82">
        <v>100</v>
      </c>
      <c r="E12" s="82"/>
      <c r="F12" s="82"/>
      <c r="G12" s="82"/>
      <c r="H12" s="83" t="s">
        <v>66</v>
      </c>
      <c r="I12" s="90"/>
      <c r="J12" s="237"/>
      <c r="K12" s="241"/>
    </row>
    <row r="13" spans="1:11" x14ac:dyDescent="0.25">
      <c r="A13" s="179">
        <v>46126</v>
      </c>
      <c r="B13" s="82" t="s">
        <v>118</v>
      </c>
      <c r="C13" s="124" t="s">
        <v>385</v>
      </c>
      <c r="D13" s="82">
        <v>1560</v>
      </c>
      <c r="E13" s="82"/>
      <c r="F13" s="82"/>
      <c r="G13" s="82"/>
      <c r="H13" s="90">
        <v>121082</v>
      </c>
      <c r="I13" s="90" t="s">
        <v>386</v>
      </c>
      <c r="J13" s="237"/>
      <c r="K13" s="241"/>
    </row>
    <row r="14" spans="1:11" x14ac:dyDescent="0.25">
      <c r="A14" s="179">
        <v>46129</v>
      </c>
      <c r="B14" s="124" t="s">
        <v>385</v>
      </c>
      <c r="C14" s="124" t="s">
        <v>227</v>
      </c>
      <c r="D14" s="82">
        <v>270</v>
      </c>
      <c r="E14" s="82"/>
      <c r="F14" s="82"/>
      <c r="G14" s="82"/>
      <c r="H14" s="83" t="s">
        <v>66</v>
      </c>
      <c r="I14" s="90"/>
      <c r="J14" s="237"/>
      <c r="K14" s="241"/>
    </row>
    <row r="15" spans="1:11" x14ac:dyDescent="0.25">
      <c r="A15" s="179">
        <v>46129</v>
      </c>
      <c r="B15" s="82" t="s">
        <v>296</v>
      </c>
      <c r="C15" s="124" t="s">
        <v>9</v>
      </c>
      <c r="D15" s="82">
        <v>820</v>
      </c>
      <c r="E15" s="82"/>
      <c r="F15" s="82">
        <v>33.9</v>
      </c>
      <c r="G15" s="82"/>
      <c r="H15" s="90">
        <v>189658</v>
      </c>
      <c r="I15" s="90" t="s">
        <v>304</v>
      </c>
      <c r="J15" s="237"/>
      <c r="K15" s="241"/>
    </row>
    <row r="16" spans="1:11" x14ac:dyDescent="0.25">
      <c r="A16" s="179">
        <v>46130</v>
      </c>
      <c r="B16" s="82" t="s">
        <v>9</v>
      </c>
      <c r="C16" s="124" t="s">
        <v>352</v>
      </c>
      <c r="D16" s="82">
        <v>420</v>
      </c>
      <c r="E16" s="82"/>
      <c r="F16" s="82">
        <v>34.200000000000003</v>
      </c>
      <c r="G16" s="82"/>
      <c r="H16" s="90">
        <v>294152</v>
      </c>
      <c r="I16" s="90" t="s">
        <v>344</v>
      </c>
      <c r="J16" s="237"/>
      <c r="K16" s="241"/>
    </row>
    <row r="17" spans="1:11" x14ac:dyDescent="0.25">
      <c r="A17" s="179">
        <v>46132</v>
      </c>
      <c r="B17" s="82" t="s">
        <v>390</v>
      </c>
      <c r="C17" s="124" t="s">
        <v>118</v>
      </c>
      <c r="D17" s="82">
        <v>150</v>
      </c>
      <c r="E17" s="82"/>
      <c r="F17" s="82"/>
      <c r="G17" s="82"/>
      <c r="H17" s="83" t="s">
        <v>66</v>
      </c>
      <c r="I17" s="90"/>
      <c r="J17" s="237"/>
      <c r="K17" s="241"/>
    </row>
    <row r="18" spans="1:11" x14ac:dyDescent="0.25">
      <c r="A18" s="179">
        <v>46133</v>
      </c>
      <c r="B18" s="82" t="s">
        <v>118</v>
      </c>
      <c r="C18" s="124" t="s">
        <v>146</v>
      </c>
      <c r="D18" s="82">
        <v>1430</v>
      </c>
      <c r="E18" s="82"/>
      <c r="F18" s="82"/>
      <c r="G18" s="82"/>
      <c r="H18" s="123">
        <v>122155</v>
      </c>
      <c r="I18" s="90" t="s">
        <v>362</v>
      </c>
      <c r="J18" s="237"/>
      <c r="K18" s="241"/>
    </row>
    <row r="19" spans="1:11" x14ac:dyDescent="0.25">
      <c r="A19" s="179">
        <v>46136</v>
      </c>
      <c r="B19" s="82" t="s">
        <v>146</v>
      </c>
      <c r="C19" s="124" t="s">
        <v>9</v>
      </c>
      <c r="D19" s="82">
        <v>940</v>
      </c>
      <c r="E19" s="82"/>
      <c r="F19" s="82"/>
      <c r="G19" s="82"/>
      <c r="H19" s="83" t="s">
        <v>66</v>
      </c>
      <c r="I19" s="90"/>
      <c r="J19" s="237"/>
      <c r="K19" s="241"/>
    </row>
    <row r="20" spans="1:11" x14ac:dyDescent="0.25">
      <c r="A20" s="179">
        <v>46139</v>
      </c>
      <c r="B20" s="82" t="s">
        <v>9</v>
      </c>
      <c r="C20" s="124" t="s">
        <v>332</v>
      </c>
      <c r="D20" s="82">
        <v>310</v>
      </c>
      <c r="E20" s="82"/>
      <c r="F20" s="82"/>
      <c r="G20" s="82"/>
      <c r="H20" s="90">
        <v>768430</v>
      </c>
      <c r="I20" s="90"/>
      <c r="J20" s="237"/>
      <c r="K20" s="241"/>
    </row>
    <row r="21" spans="1:11" x14ac:dyDescent="0.25">
      <c r="A21" s="179">
        <v>46140</v>
      </c>
      <c r="B21" s="82" t="s">
        <v>332</v>
      </c>
      <c r="C21" s="124" t="s">
        <v>9</v>
      </c>
      <c r="D21" s="82">
        <v>310</v>
      </c>
      <c r="E21" s="82"/>
      <c r="F21" s="82"/>
      <c r="G21" s="82"/>
      <c r="H21" s="83" t="s">
        <v>66</v>
      </c>
      <c r="I21" s="90"/>
      <c r="J21" s="237"/>
      <c r="K21" s="241"/>
    </row>
    <row r="22" spans="1:11" x14ac:dyDescent="0.25">
      <c r="A22" s="179">
        <v>46140</v>
      </c>
      <c r="B22" s="82" t="s">
        <v>9</v>
      </c>
      <c r="C22" s="124" t="s">
        <v>470</v>
      </c>
      <c r="D22" s="82">
        <v>400</v>
      </c>
      <c r="E22" s="82"/>
      <c r="F22" s="82"/>
      <c r="G22" s="82"/>
      <c r="H22" s="289" t="s">
        <v>252</v>
      </c>
      <c r="I22" s="90"/>
      <c r="J22" s="237"/>
      <c r="K22" s="241"/>
    </row>
    <row r="23" spans="1:11" x14ac:dyDescent="0.25">
      <c r="A23" s="179">
        <v>46141</v>
      </c>
      <c r="B23" s="82" t="s">
        <v>470</v>
      </c>
      <c r="C23" s="124" t="s">
        <v>9</v>
      </c>
      <c r="D23" s="82">
        <v>400</v>
      </c>
      <c r="E23" s="82"/>
      <c r="F23" s="82"/>
      <c r="G23" s="82"/>
      <c r="H23" s="83" t="s">
        <v>66</v>
      </c>
      <c r="I23" s="90"/>
      <c r="J23" s="237"/>
      <c r="K23" s="241"/>
    </row>
    <row r="24" spans="1:11" x14ac:dyDescent="0.25">
      <c r="A24" s="179">
        <v>46141</v>
      </c>
      <c r="B24" s="82" t="s">
        <v>9</v>
      </c>
      <c r="C24" s="124" t="s">
        <v>400</v>
      </c>
      <c r="D24" s="82">
        <v>450</v>
      </c>
      <c r="E24" s="82"/>
      <c r="F24" s="82"/>
      <c r="G24" s="82"/>
      <c r="H24" s="289" t="s">
        <v>252</v>
      </c>
      <c r="I24" s="90"/>
      <c r="J24" s="237"/>
      <c r="K24" s="241"/>
    </row>
    <row r="25" spans="1:11" x14ac:dyDescent="0.25">
      <c r="A25" s="179">
        <v>46142</v>
      </c>
      <c r="B25" s="82" t="s">
        <v>400</v>
      </c>
      <c r="C25" s="124" t="s">
        <v>9</v>
      </c>
      <c r="D25" s="82">
        <v>450</v>
      </c>
      <c r="E25" s="82"/>
      <c r="F25" s="82"/>
      <c r="G25" s="82"/>
      <c r="H25" s="83" t="s">
        <v>66</v>
      </c>
      <c r="I25" s="90"/>
      <c r="J25" s="237"/>
      <c r="K25" s="241"/>
    </row>
    <row r="26" spans="1:11" x14ac:dyDescent="0.25">
      <c r="A26" s="179"/>
      <c r="B26" s="82"/>
      <c r="C26" s="124"/>
      <c r="D26" s="151" t="s">
        <v>450</v>
      </c>
      <c r="E26" s="82"/>
      <c r="F26" s="82"/>
      <c r="G26" s="82"/>
      <c r="H26" s="83"/>
      <c r="I26" s="90"/>
      <c r="J26" s="237"/>
      <c r="K26" s="241"/>
    </row>
    <row r="27" spans="1:11" x14ac:dyDescent="0.25">
      <c r="A27" s="5"/>
      <c r="B27" s="6"/>
      <c r="C27" s="6"/>
      <c r="D27" s="6"/>
      <c r="E27" s="6"/>
      <c r="F27" s="6"/>
      <c r="G27" s="6"/>
      <c r="H27" s="7"/>
      <c r="I27" s="7"/>
      <c r="J27" s="140"/>
      <c r="K27" s="242"/>
    </row>
    <row r="28" spans="1:11" x14ac:dyDescent="0.25">
      <c r="D28" s="17">
        <f>SUM(D3:D27)</f>
        <v>14105</v>
      </c>
      <c r="E28" s="13"/>
      <c r="F28" s="13">
        <f>AVERAGE(F3:F26)</f>
        <v>34.049999999999997</v>
      </c>
      <c r="G28" s="13"/>
      <c r="J28" s="139">
        <f>SUM(J3:J26)</f>
        <v>0</v>
      </c>
      <c r="K28" s="243">
        <f>SUM(K3:K26)</f>
        <v>1254139.3</v>
      </c>
    </row>
    <row r="33" spans="2:11" x14ac:dyDescent="0.25">
      <c r="D33" s="11"/>
    </row>
    <row r="34" spans="2:11" x14ac:dyDescent="0.25">
      <c r="D34" s="11"/>
    </row>
    <row r="35" spans="2:11" x14ac:dyDescent="0.25">
      <c r="D35" s="11"/>
    </row>
    <row r="36" spans="2:11" x14ac:dyDescent="0.25">
      <c r="B36" s="230">
        <v>-2000</v>
      </c>
      <c r="C36" s="11" t="s">
        <v>93</v>
      </c>
      <c r="D36" s="11"/>
      <c r="E36" s="11"/>
      <c r="F36" s="11"/>
      <c r="G36" s="89"/>
      <c r="K36" s="4"/>
    </row>
    <row r="37" spans="2:11" x14ac:dyDescent="0.25">
      <c r="B37" s="230">
        <v>800</v>
      </c>
      <c r="C37" s="11" t="s">
        <v>138</v>
      </c>
      <c r="D37" s="11"/>
      <c r="E37" s="11"/>
      <c r="F37" s="11"/>
      <c r="G37" s="89"/>
      <c r="K37" s="4"/>
    </row>
    <row r="38" spans="2:11" x14ac:dyDescent="0.25">
      <c r="B38" s="230">
        <v>-800</v>
      </c>
      <c r="C38" s="11" t="s">
        <v>13</v>
      </c>
      <c r="D38" s="11">
        <v>45260</v>
      </c>
      <c r="E38" s="11"/>
      <c r="F38" s="11"/>
      <c r="G38" s="89"/>
      <c r="K38" s="4"/>
    </row>
    <row r="39" spans="2:11" x14ac:dyDescent="0.25">
      <c r="B39" s="230">
        <v>3800</v>
      </c>
      <c r="C39" s="11" t="s">
        <v>138</v>
      </c>
      <c r="D39" s="11"/>
      <c r="E39" s="11"/>
      <c r="F39" s="11"/>
      <c r="G39" s="89"/>
      <c r="K39" s="4"/>
    </row>
    <row r="40" spans="2:11" x14ac:dyDescent="0.25">
      <c r="B40" s="230">
        <v>-3800</v>
      </c>
      <c r="C40" s="11" t="s">
        <v>13</v>
      </c>
      <c r="D40" s="11">
        <v>45506</v>
      </c>
      <c r="E40" s="11"/>
      <c r="F40" s="11"/>
      <c r="G40" s="89"/>
      <c r="K40" s="4"/>
    </row>
    <row r="41" spans="2:11" x14ac:dyDescent="0.25">
      <c r="B41" s="230">
        <v>56800</v>
      </c>
      <c r="C41" s="11" t="s">
        <v>12</v>
      </c>
      <c r="D41" s="11">
        <v>45786</v>
      </c>
      <c r="E41" s="11"/>
      <c r="F41" s="11"/>
      <c r="G41" s="89"/>
      <c r="K41" s="4"/>
    </row>
    <row r="42" spans="2:11" x14ac:dyDescent="0.25">
      <c r="B42" s="230">
        <v>-56800</v>
      </c>
      <c r="C42" s="11" t="s">
        <v>13</v>
      </c>
      <c r="D42" s="11"/>
      <c r="E42" s="11"/>
      <c r="F42" s="11"/>
      <c r="G42" s="89"/>
      <c r="K42" s="4"/>
    </row>
    <row r="43" spans="2:11" x14ac:dyDescent="0.25">
      <c r="B43" s="230">
        <v>-18000</v>
      </c>
      <c r="C43" s="11" t="s">
        <v>289</v>
      </c>
      <c r="D43" s="11"/>
      <c r="E43" s="11"/>
      <c r="F43" s="11"/>
      <c r="G43" s="89"/>
      <c r="K43" s="4"/>
    </row>
    <row r="44" spans="2:11" x14ac:dyDescent="0.25">
      <c r="B44" s="230">
        <v>10200</v>
      </c>
      <c r="C44" s="11" t="s">
        <v>12</v>
      </c>
      <c r="D44" s="11"/>
      <c r="E44" s="11"/>
      <c r="F44" s="11"/>
      <c r="G44" s="89"/>
      <c r="K44" s="4"/>
    </row>
    <row r="45" spans="2:11" x14ac:dyDescent="0.25">
      <c r="B45" s="230">
        <v>-10200</v>
      </c>
      <c r="C45" s="11" t="s">
        <v>93</v>
      </c>
      <c r="D45" s="11">
        <v>45835</v>
      </c>
      <c r="E45" s="11"/>
      <c r="F45" s="11"/>
      <c r="G45" s="89"/>
      <c r="K45" s="4"/>
    </row>
    <row r="46" spans="2:11" x14ac:dyDescent="0.25">
      <c r="B46" s="230">
        <v>-1000</v>
      </c>
      <c r="C46" s="11" t="s">
        <v>190</v>
      </c>
      <c r="D46" s="11">
        <v>45868</v>
      </c>
      <c r="E46" s="11"/>
      <c r="F46" s="11"/>
      <c r="G46" s="89"/>
      <c r="K46" s="4"/>
    </row>
    <row r="47" spans="2:11" x14ac:dyDescent="0.25">
      <c r="B47" s="230">
        <v>3600</v>
      </c>
      <c r="C47" s="11" t="s">
        <v>12</v>
      </c>
      <c r="D47" s="11"/>
      <c r="E47" s="11"/>
      <c r="F47" s="11"/>
      <c r="G47" s="89"/>
      <c r="K47" s="4"/>
    </row>
    <row r="48" spans="2:11" x14ac:dyDescent="0.25">
      <c r="B48" s="230">
        <v>-4000</v>
      </c>
      <c r="C48" s="11"/>
      <c r="D48" s="11"/>
      <c r="E48" s="11"/>
      <c r="F48" s="11"/>
      <c r="G48" s="89"/>
      <c r="K48" s="4"/>
    </row>
    <row r="49" spans="2:11" x14ac:dyDescent="0.25">
      <c r="B49" s="230">
        <v>4000</v>
      </c>
      <c r="C49" s="11" t="s">
        <v>12</v>
      </c>
      <c r="D49" s="11">
        <v>45910</v>
      </c>
      <c r="E49" s="11"/>
      <c r="F49" s="11"/>
      <c r="G49" s="89"/>
      <c r="K49" s="4"/>
    </row>
    <row r="50" spans="2:11" x14ac:dyDescent="0.25">
      <c r="B50" s="230">
        <v>-4000</v>
      </c>
      <c r="C50" s="11" t="s">
        <v>13</v>
      </c>
      <c r="D50" s="11"/>
      <c r="E50" s="11"/>
      <c r="F50" s="11"/>
      <c r="G50" s="89"/>
      <c r="K50" s="4"/>
    </row>
    <row r="51" spans="2:11" x14ac:dyDescent="0.25">
      <c r="B51" s="135">
        <f>SUM(B36:B50)</f>
        <v>-21400</v>
      </c>
      <c r="C51" s="11">
        <v>45910</v>
      </c>
      <c r="D51" s="11"/>
      <c r="E51" s="11"/>
      <c r="F51" s="11"/>
      <c r="G51" s="11"/>
      <c r="K51" s="4"/>
    </row>
    <row r="52" spans="2:11" x14ac:dyDescent="0.25">
      <c r="B52" s="11"/>
      <c r="D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C56" s="11"/>
      <c r="E56" s="11"/>
      <c r="F56" s="11"/>
      <c r="G56" s="11"/>
      <c r="K56" s="4"/>
    </row>
    <row r="57" spans="2:11" x14ac:dyDescent="0.25">
      <c r="B57" s="11"/>
      <c r="E57" s="4"/>
      <c r="K57" s="4"/>
    </row>
    <row r="58" spans="2:11" x14ac:dyDescent="0.25">
      <c r="B58" s="11"/>
      <c r="F58" s="11"/>
      <c r="G58" s="11"/>
      <c r="I58" s="173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I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11" x14ac:dyDescent="0.25">
      <c r="B65" s="11"/>
      <c r="E65" s="11"/>
      <c r="F65" s="11"/>
      <c r="G65" s="11"/>
      <c r="K65" s="4"/>
    </row>
    <row r="66" spans="2:11" x14ac:dyDescent="0.25">
      <c r="B66" s="11"/>
      <c r="E66" s="11"/>
      <c r="F66" s="11"/>
      <c r="G66" s="11"/>
      <c r="K66" s="4"/>
    </row>
    <row r="67" spans="2:11" x14ac:dyDescent="0.25">
      <c r="B67" s="11"/>
      <c r="E67" s="11"/>
      <c r="F67" s="11"/>
      <c r="G67" s="11"/>
      <c r="K67" s="4"/>
    </row>
    <row r="68" spans="2:11" x14ac:dyDescent="0.25">
      <c r="B68" s="11"/>
      <c r="D68" s="11"/>
      <c r="E68" s="11"/>
      <c r="F68" s="11"/>
      <c r="G68" s="11"/>
      <c r="K68" s="4"/>
    </row>
    <row r="69" spans="2:11" x14ac:dyDescent="0.25">
      <c r="B69" s="11"/>
      <c r="E69" s="11"/>
      <c r="F69" s="11"/>
      <c r="G69" s="11"/>
      <c r="K69" s="4"/>
    </row>
    <row r="70" spans="2:11" x14ac:dyDescent="0.25">
      <c r="B70" s="11"/>
      <c r="E70" s="11"/>
      <c r="F70" s="11"/>
      <c r="G70" s="11"/>
      <c r="K70" s="4"/>
    </row>
    <row r="71" spans="2:11" x14ac:dyDescent="0.25">
      <c r="B71" s="11"/>
      <c r="E71" s="11"/>
      <c r="F71" s="11"/>
      <c r="G71" s="11"/>
      <c r="K71" s="4"/>
    </row>
    <row r="72" spans="2:11" x14ac:dyDescent="0.25">
      <c r="B72" s="11"/>
      <c r="E72" s="11"/>
      <c r="F72" s="11"/>
      <c r="G72" s="11"/>
      <c r="K72" s="4"/>
    </row>
    <row r="73" spans="2:11" x14ac:dyDescent="0.25">
      <c r="B73" s="11"/>
      <c r="E73" s="11"/>
      <c r="F73" s="11"/>
      <c r="G73" s="11"/>
      <c r="K73" s="4"/>
    </row>
    <row r="74" spans="2:11" x14ac:dyDescent="0.25">
      <c r="B74" s="11"/>
      <c r="E74" s="11"/>
      <c r="F74" s="11"/>
      <c r="G74" s="11"/>
      <c r="K74" s="4"/>
    </row>
    <row r="75" spans="2:11" x14ac:dyDescent="0.25">
      <c r="B75" s="11"/>
      <c r="E75" s="11"/>
      <c r="F75" s="11"/>
      <c r="G75" s="11"/>
    </row>
    <row r="76" spans="2:11" x14ac:dyDescent="0.25">
      <c r="B76" s="11"/>
      <c r="E76" s="11"/>
      <c r="F76" s="11"/>
      <c r="G76" s="11"/>
    </row>
    <row r="77" spans="2:11" x14ac:dyDescent="0.25">
      <c r="B77" s="11"/>
      <c r="E77" s="11"/>
      <c r="F77" s="11"/>
      <c r="G77" s="11"/>
    </row>
    <row r="78" spans="2:11" x14ac:dyDescent="0.25">
      <c r="B78" s="11"/>
      <c r="E78" s="11"/>
      <c r="F78" s="11"/>
      <c r="G78" s="11"/>
    </row>
    <row r="79" spans="2:11" x14ac:dyDescent="0.25">
      <c r="B79" s="11"/>
      <c r="E79" s="11"/>
      <c r="F79" s="11"/>
      <c r="G79" s="11"/>
    </row>
    <row r="80" spans="2:11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B84" s="11"/>
      <c r="E84" s="11"/>
      <c r="F84" s="11"/>
      <c r="G84" s="11"/>
    </row>
    <row r="85" spans="2:7" x14ac:dyDescent="0.25">
      <c r="B85" s="11"/>
      <c r="E85" s="11"/>
      <c r="F85" s="11"/>
      <c r="G85" s="11"/>
    </row>
    <row r="86" spans="2:7" x14ac:dyDescent="0.25">
      <c r="B86" s="11"/>
      <c r="E86" s="11"/>
      <c r="F86" s="11"/>
      <c r="G86" s="11"/>
    </row>
    <row r="87" spans="2:7" x14ac:dyDescent="0.25">
      <c r="B87" s="11"/>
      <c r="E87" s="11"/>
      <c r="F87" s="11"/>
      <c r="G87" s="11"/>
    </row>
    <row r="88" spans="2:7" x14ac:dyDescent="0.25">
      <c r="B88" s="11"/>
      <c r="E88" s="11"/>
      <c r="F88" s="11"/>
      <c r="G88" s="11"/>
    </row>
    <row r="89" spans="2:7" x14ac:dyDescent="0.25">
      <c r="B89" s="11"/>
      <c r="E89" s="11"/>
      <c r="F89" s="11"/>
      <c r="G89" s="11"/>
    </row>
    <row r="90" spans="2:7" x14ac:dyDescent="0.25">
      <c r="B90" s="11"/>
      <c r="E90" s="11"/>
      <c r="F90" s="11"/>
      <c r="G90" s="11"/>
    </row>
    <row r="91" spans="2:7" x14ac:dyDescent="0.25">
      <c r="B91" s="11"/>
      <c r="E91" s="11"/>
      <c r="F91" s="11"/>
      <c r="G91" s="11"/>
    </row>
    <row r="92" spans="2:7" x14ac:dyDescent="0.25">
      <c r="E92" s="11"/>
      <c r="F92" s="11"/>
      <c r="G92" s="11"/>
    </row>
    <row r="93" spans="2:7" x14ac:dyDescent="0.25">
      <c r="E93" s="11"/>
      <c r="F93" s="11"/>
      <c r="G93" s="11"/>
    </row>
    <row r="94" spans="2:7" x14ac:dyDescent="0.25">
      <c r="E94" s="11"/>
      <c r="F94" s="11"/>
      <c r="G94" s="11"/>
    </row>
    <row r="95" spans="2:7" x14ac:dyDescent="0.25">
      <c r="E95" s="11"/>
      <c r="F95" s="11"/>
      <c r="G95" s="11"/>
    </row>
    <row r="96" spans="2:7" x14ac:dyDescent="0.25">
      <c r="E96" s="11"/>
      <c r="F96" s="11"/>
      <c r="G96" s="11"/>
    </row>
    <row r="97" spans="5:7" x14ac:dyDescent="0.25">
      <c r="E97" s="11"/>
      <c r="F97" s="11"/>
      <c r="G97" s="11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07B6-5E4B-4030-B5A3-7A8C248BF3FC}">
  <dimension ref="A1:K89"/>
  <sheetViews>
    <sheetView zoomScale="110" zoomScaleNormal="110" workbookViewId="0">
      <selection activeCell="K5" sqref="K5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51">
        <v>46113</v>
      </c>
      <c r="B3" s="82" t="s">
        <v>351</v>
      </c>
      <c r="C3" s="82" t="s">
        <v>9</v>
      </c>
      <c r="D3" s="82">
        <v>1010</v>
      </c>
      <c r="E3" s="82"/>
      <c r="F3" s="82"/>
      <c r="G3" s="82"/>
      <c r="H3" s="128" t="s">
        <v>66</v>
      </c>
      <c r="I3" s="90"/>
      <c r="J3" s="212"/>
      <c r="K3" s="241"/>
    </row>
    <row r="4" spans="1:11" x14ac:dyDescent="0.25">
      <c r="A4" s="251">
        <v>46116</v>
      </c>
      <c r="B4" s="82" t="s">
        <v>9</v>
      </c>
      <c r="C4" s="124" t="s">
        <v>342</v>
      </c>
      <c r="D4" s="82">
        <v>370</v>
      </c>
      <c r="E4" s="82"/>
      <c r="F4" s="82"/>
      <c r="G4" s="82">
        <v>37.619999999999997</v>
      </c>
      <c r="H4" s="90">
        <v>293338</v>
      </c>
      <c r="I4" s="90" t="s">
        <v>15</v>
      </c>
      <c r="J4" s="212"/>
      <c r="K4" s="241">
        <v>962813.93</v>
      </c>
    </row>
    <row r="5" spans="1:11" x14ac:dyDescent="0.25">
      <c r="A5" s="251">
        <v>46120</v>
      </c>
      <c r="B5" s="82" t="s">
        <v>342</v>
      </c>
      <c r="C5" s="124" t="s">
        <v>118</v>
      </c>
      <c r="D5" s="82">
        <v>180</v>
      </c>
      <c r="E5" s="82"/>
      <c r="F5" s="82"/>
      <c r="G5" s="82"/>
      <c r="H5" s="83" t="s">
        <v>66</v>
      </c>
      <c r="I5" s="90"/>
      <c r="J5" s="212"/>
      <c r="K5" s="241"/>
    </row>
    <row r="6" spans="1:11" x14ac:dyDescent="0.25">
      <c r="A6" s="251">
        <v>46120</v>
      </c>
      <c r="B6" s="82" t="s">
        <v>118</v>
      </c>
      <c r="C6" s="124" t="s">
        <v>385</v>
      </c>
      <c r="D6" s="82">
        <v>1560</v>
      </c>
      <c r="E6" s="82"/>
      <c r="F6" s="82"/>
      <c r="G6" s="82"/>
      <c r="H6" s="90">
        <v>120015</v>
      </c>
      <c r="I6" s="90" t="s">
        <v>386</v>
      </c>
      <c r="J6" s="212"/>
      <c r="K6" s="241"/>
    </row>
    <row r="7" spans="1:11" x14ac:dyDescent="0.25">
      <c r="A7" s="251">
        <v>46123</v>
      </c>
      <c r="B7" s="124" t="s">
        <v>385</v>
      </c>
      <c r="C7" s="124" t="s">
        <v>9</v>
      </c>
      <c r="D7" s="82">
        <v>1070</v>
      </c>
      <c r="E7" s="82"/>
      <c r="F7" s="82"/>
      <c r="G7" s="82"/>
      <c r="H7" s="83" t="s">
        <v>66</v>
      </c>
      <c r="I7" s="90"/>
      <c r="J7" s="212"/>
      <c r="K7" s="241"/>
    </row>
    <row r="8" spans="1:11" x14ac:dyDescent="0.25">
      <c r="A8" s="251">
        <v>46126</v>
      </c>
      <c r="B8" s="82" t="s">
        <v>9</v>
      </c>
      <c r="C8" s="124" t="s">
        <v>351</v>
      </c>
      <c r="D8" s="82">
        <v>1010</v>
      </c>
      <c r="E8" s="82"/>
      <c r="F8" s="82"/>
      <c r="G8" s="82">
        <v>37</v>
      </c>
      <c r="H8" s="90">
        <v>619625</v>
      </c>
      <c r="I8" s="90" t="s">
        <v>257</v>
      </c>
      <c r="J8" s="212"/>
      <c r="K8" s="241"/>
    </row>
    <row r="9" spans="1:11" x14ac:dyDescent="0.25">
      <c r="A9" s="251">
        <v>46127</v>
      </c>
      <c r="B9" s="82" t="s">
        <v>351</v>
      </c>
      <c r="C9" s="124" t="s">
        <v>227</v>
      </c>
      <c r="D9" s="82">
        <v>240</v>
      </c>
      <c r="E9" s="82"/>
      <c r="F9" s="82"/>
      <c r="G9" s="82"/>
      <c r="H9" s="83" t="s">
        <v>66</v>
      </c>
      <c r="I9" s="90"/>
      <c r="J9" s="212"/>
      <c r="K9" s="241"/>
    </row>
    <row r="10" spans="1:11" x14ac:dyDescent="0.25">
      <c r="A10" s="251">
        <v>46128</v>
      </c>
      <c r="B10" s="82" t="s">
        <v>296</v>
      </c>
      <c r="C10" s="124" t="s">
        <v>9</v>
      </c>
      <c r="D10" s="82">
        <v>820</v>
      </c>
      <c r="E10" s="82"/>
      <c r="F10" s="82"/>
      <c r="G10" s="82">
        <v>36.5</v>
      </c>
      <c r="H10" s="90">
        <v>189585</v>
      </c>
      <c r="I10" s="90" t="s">
        <v>304</v>
      </c>
      <c r="J10" s="212"/>
      <c r="K10" s="241"/>
    </row>
    <row r="11" spans="1:11" x14ac:dyDescent="0.25">
      <c r="A11" s="251">
        <v>46132</v>
      </c>
      <c r="B11" s="82" t="s">
        <v>9</v>
      </c>
      <c r="C11" s="124" t="s">
        <v>254</v>
      </c>
      <c r="D11" s="82">
        <v>750</v>
      </c>
      <c r="E11" s="82"/>
      <c r="F11" s="82"/>
      <c r="G11" s="82"/>
      <c r="H11" s="123">
        <v>767234</v>
      </c>
      <c r="I11" s="90"/>
      <c r="J11" s="212"/>
      <c r="K11" s="241"/>
    </row>
    <row r="12" spans="1:11" x14ac:dyDescent="0.25">
      <c r="A12" s="251">
        <v>46133</v>
      </c>
      <c r="B12" s="82" t="s">
        <v>254</v>
      </c>
      <c r="C12" s="124" t="s">
        <v>347</v>
      </c>
      <c r="D12" s="82">
        <v>150</v>
      </c>
      <c r="E12" s="82"/>
      <c r="F12" s="82"/>
      <c r="G12" s="82"/>
      <c r="H12" s="128" t="s">
        <v>66</v>
      </c>
      <c r="I12" s="90"/>
      <c r="J12" s="212"/>
      <c r="K12" s="241"/>
    </row>
    <row r="13" spans="1:11" x14ac:dyDescent="0.25">
      <c r="A13" s="251">
        <v>46133</v>
      </c>
      <c r="B13" s="82" t="s">
        <v>347</v>
      </c>
      <c r="C13" s="124" t="s">
        <v>75</v>
      </c>
      <c r="D13" s="82">
        <v>340</v>
      </c>
      <c r="E13" s="82"/>
      <c r="F13" s="82"/>
      <c r="G13" s="82">
        <v>36.26</v>
      </c>
      <c r="H13" s="90" t="s">
        <v>435</v>
      </c>
      <c r="I13" s="90"/>
      <c r="J13" s="212"/>
      <c r="K13" s="241"/>
    </row>
    <row r="14" spans="1:11" x14ac:dyDescent="0.25">
      <c r="A14" s="251">
        <v>46134</v>
      </c>
      <c r="B14" s="82" t="s">
        <v>75</v>
      </c>
      <c r="C14" s="82" t="s">
        <v>10</v>
      </c>
      <c r="D14" s="82">
        <v>80</v>
      </c>
      <c r="E14" s="82"/>
      <c r="F14" s="82"/>
      <c r="G14" s="82"/>
      <c r="H14" s="128" t="s">
        <v>66</v>
      </c>
      <c r="I14" s="90"/>
      <c r="J14" s="212"/>
      <c r="K14" s="241"/>
    </row>
    <row r="15" spans="1:11" x14ac:dyDescent="0.25">
      <c r="A15" s="251">
        <v>46134</v>
      </c>
      <c r="B15" s="82" t="s">
        <v>10</v>
      </c>
      <c r="C15" s="82" t="s">
        <v>9</v>
      </c>
      <c r="D15" s="82">
        <v>500</v>
      </c>
      <c r="E15" s="82"/>
      <c r="F15" s="82"/>
      <c r="G15" s="82">
        <v>37.090000000000003</v>
      </c>
      <c r="H15" s="123">
        <v>1066519</v>
      </c>
      <c r="I15" s="90" t="s">
        <v>176</v>
      </c>
      <c r="J15" s="212"/>
      <c r="K15" s="241"/>
    </row>
    <row r="16" spans="1:11" x14ac:dyDescent="0.25">
      <c r="A16" s="251">
        <v>46135</v>
      </c>
      <c r="B16" s="227" t="s">
        <v>9</v>
      </c>
      <c r="C16" s="124" t="s">
        <v>300</v>
      </c>
      <c r="D16" s="82">
        <v>430</v>
      </c>
      <c r="E16" s="82"/>
      <c r="F16" s="82"/>
      <c r="G16" s="82">
        <v>36.82</v>
      </c>
      <c r="H16" s="123">
        <v>294459</v>
      </c>
      <c r="I16" s="90" t="s">
        <v>15</v>
      </c>
      <c r="J16" s="212"/>
      <c r="K16" s="241"/>
    </row>
    <row r="17" spans="1:11" x14ac:dyDescent="0.25">
      <c r="A17" s="251">
        <v>46136</v>
      </c>
      <c r="B17" s="82" t="s">
        <v>300</v>
      </c>
      <c r="C17" s="124" t="s">
        <v>10</v>
      </c>
      <c r="D17" s="82">
        <v>150</v>
      </c>
      <c r="E17" s="82"/>
      <c r="F17" s="82"/>
      <c r="G17" s="82"/>
      <c r="H17" s="83" t="s">
        <v>66</v>
      </c>
      <c r="I17" s="90"/>
      <c r="J17" s="212"/>
      <c r="K17" s="241"/>
    </row>
    <row r="18" spans="1:11" x14ac:dyDescent="0.25">
      <c r="A18" s="251">
        <v>46137</v>
      </c>
      <c r="B18" s="82" t="s">
        <v>10</v>
      </c>
      <c r="C18" s="82" t="s">
        <v>9</v>
      </c>
      <c r="D18" s="82">
        <v>500</v>
      </c>
      <c r="E18" s="82"/>
      <c r="F18" s="82"/>
      <c r="G18" s="82">
        <v>37.11</v>
      </c>
      <c r="H18" s="123">
        <v>1067037</v>
      </c>
      <c r="I18" s="90" t="s">
        <v>176</v>
      </c>
      <c r="J18" s="212"/>
      <c r="K18" s="241"/>
    </row>
    <row r="19" spans="1:11" x14ac:dyDescent="0.25">
      <c r="A19" s="251">
        <v>46140</v>
      </c>
      <c r="B19" s="82" t="s">
        <v>9</v>
      </c>
      <c r="C19" s="82" t="s">
        <v>489</v>
      </c>
      <c r="D19" s="82">
        <v>1450</v>
      </c>
      <c r="E19" s="82"/>
      <c r="F19" s="82"/>
      <c r="G19" s="82"/>
      <c r="H19" s="123">
        <v>768546</v>
      </c>
      <c r="I19" s="90"/>
      <c r="J19" s="212"/>
      <c r="K19" s="241"/>
    </row>
    <row r="20" spans="1:11" x14ac:dyDescent="0.25">
      <c r="A20" s="251"/>
      <c r="B20" s="82"/>
      <c r="C20" s="82"/>
      <c r="D20" s="151" t="s">
        <v>483</v>
      </c>
      <c r="E20" s="82"/>
      <c r="F20" s="82"/>
      <c r="G20" s="82"/>
      <c r="H20" s="128"/>
      <c r="I20" s="90"/>
      <c r="J20" s="212"/>
      <c r="K20" s="241"/>
    </row>
    <row r="21" spans="1:11" x14ac:dyDescent="0.25">
      <c r="A21" s="5"/>
      <c r="B21" s="6"/>
      <c r="C21" s="6"/>
      <c r="D21" s="6"/>
      <c r="E21" s="6"/>
      <c r="F21" s="6"/>
      <c r="G21" s="6"/>
      <c r="H21" s="7"/>
      <c r="I21" s="7"/>
      <c r="J21" s="140"/>
      <c r="K21" s="242"/>
    </row>
    <row r="22" spans="1:11" x14ac:dyDescent="0.25">
      <c r="D22" s="17">
        <f>SUM(D3:D21)</f>
        <v>10610</v>
      </c>
      <c r="E22" s="13"/>
      <c r="F22" s="13"/>
      <c r="G22" s="13">
        <f>AVERAGE(G3:G20)</f>
        <v>36.914285714285711</v>
      </c>
      <c r="J22" s="139">
        <f>SUM(J3:J21)</f>
        <v>0</v>
      </c>
      <c r="K22" s="243">
        <f>SUM(K3:K21)</f>
        <v>962813.93</v>
      </c>
    </row>
    <row r="27" spans="1:11" x14ac:dyDescent="0.25">
      <c r="D27" s="11"/>
    </row>
    <row r="28" spans="1:11" x14ac:dyDescent="0.25">
      <c r="D28" s="11"/>
    </row>
    <row r="29" spans="1:11" x14ac:dyDescent="0.25">
      <c r="D29" s="11"/>
    </row>
    <row r="30" spans="1:11" x14ac:dyDescent="0.25">
      <c r="B30" s="230">
        <v>-20000</v>
      </c>
      <c r="C30" s="11" t="s">
        <v>93</v>
      </c>
      <c r="D30" s="11"/>
      <c r="E30" s="11"/>
      <c r="F30" s="11"/>
      <c r="G30" s="89"/>
      <c r="K30" s="4"/>
    </row>
    <row r="31" spans="1:11" x14ac:dyDescent="0.25">
      <c r="B31" s="230">
        <v>9100</v>
      </c>
      <c r="C31" s="11" t="s">
        <v>12</v>
      </c>
      <c r="D31" s="11">
        <v>45302</v>
      </c>
      <c r="E31" s="11"/>
      <c r="F31" s="11"/>
      <c r="G31" s="89"/>
      <c r="K31" s="4"/>
    </row>
    <row r="32" spans="1:11" x14ac:dyDescent="0.25">
      <c r="B32" s="230">
        <v>-9100</v>
      </c>
      <c r="C32" s="11" t="s">
        <v>13</v>
      </c>
      <c r="D32" s="11"/>
      <c r="E32" s="11"/>
      <c r="F32" s="11"/>
      <c r="G32" s="89"/>
      <c r="K32" s="4"/>
    </row>
    <row r="33" spans="2:11" x14ac:dyDescent="0.25">
      <c r="B33" s="230">
        <v>-1000</v>
      </c>
      <c r="C33" s="11" t="s">
        <v>190</v>
      </c>
      <c r="D33" s="11">
        <v>45519</v>
      </c>
      <c r="E33" s="11"/>
      <c r="F33" s="11"/>
      <c r="G33" s="89"/>
      <c r="K33" s="4"/>
    </row>
    <row r="34" spans="2:11" x14ac:dyDescent="0.25">
      <c r="B34" s="230">
        <v>60800</v>
      </c>
      <c r="C34" s="11" t="s">
        <v>12</v>
      </c>
      <c r="D34" s="11">
        <v>45835</v>
      </c>
      <c r="E34" s="11"/>
      <c r="F34" s="11"/>
      <c r="G34" s="89"/>
      <c r="K34" s="4"/>
    </row>
    <row r="35" spans="2:11" x14ac:dyDescent="0.25">
      <c r="B35" s="230">
        <v>-60800</v>
      </c>
      <c r="C35" s="11" t="s">
        <v>93</v>
      </c>
      <c r="D35" s="11">
        <v>45835</v>
      </c>
      <c r="E35" s="11"/>
      <c r="F35" s="11"/>
      <c r="G35" s="89"/>
      <c r="K35" s="4"/>
    </row>
    <row r="36" spans="2:11" x14ac:dyDescent="0.25">
      <c r="B36" s="230">
        <v>5100</v>
      </c>
      <c r="C36" s="11" t="s">
        <v>12</v>
      </c>
      <c r="D36" s="11">
        <v>45846</v>
      </c>
      <c r="E36" s="11"/>
      <c r="F36" s="11"/>
      <c r="G36" s="89"/>
      <c r="K36" s="4"/>
    </row>
    <row r="37" spans="2:11" x14ac:dyDescent="0.25">
      <c r="B37" s="230">
        <v>-5000</v>
      </c>
      <c r="C37" s="11" t="s">
        <v>13</v>
      </c>
      <c r="D37" s="11"/>
      <c r="E37" s="11"/>
      <c r="F37" s="11"/>
      <c r="G37" s="89"/>
      <c r="K37" s="4"/>
    </row>
    <row r="38" spans="2:11" x14ac:dyDescent="0.25">
      <c r="B38" s="230">
        <v>-1000</v>
      </c>
      <c r="C38" s="11" t="s">
        <v>190</v>
      </c>
      <c r="D38" s="11">
        <v>45868</v>
      </c>
      <c r="E38" s="11"/>
      <c r="F38" s="11"/>
      <c r="G38" s="89"/>
      <c r="K38" s="4"/>
    </row>
    <row r="39" spans="2:11" x14ac:dyDescent="0.25">
      <c r="B39" s="230">
        <v>1000</v>
      </c>
      <c r="C39" s="11" t="s">
        <v>12</v>
      </c>
      <c r="D39" s="11">
        <v>45905</v>
      </c>
      <c r="E39" s="11"/>
      <c r="F39" s="11"/>
      <c r="G39" s="89"/>
      <c r="K39" s="4"/>
    </row>
    <row r="40" spans="2:11" x14ac:dyDescent="0.25">
      <c r="B40" s="230">
        <v>-1000</v>
      </c>
      <c r="C40" s="11" t="s">
        <v>13</v>
      </c>
      <c r="D40" s="11"/>
      <c r="E40" s="11"/>
      <c r="F40" s="11"/>
      <c r="G40" s="89"/>
      <c r="K40" s="4"/>
    </row>
    <row r="41" spans="2:11" x14ac:dyDescent="0.25">
      <c r="B41" s="230">
        <v>4400</v>
      </c>
      <c r="C41" s="11" t="s">
        <v>12</v>
      </c>
      <c r="D41" s="11">
        <v>46091</v>
      </c>
      <c r="E41" s="11"/>
      <c r="F41" s="11"/>
      <c r="G41" s="89"/>
      <c r="K41" s="4"/>
    </row>
    <row r="42" spans="2:11" x14ac:dyDescent="0.25">
      <c r="B42" s="230">
        <v>-4000</v>
      </c>
      <c r="C42" s="11" t="s">
        <v>13</v>
      </c>
      <c r="D42" s="11"/>
      <c r="E42" s="11"/>
      <c r="F42" s="11"/>
      <c r="G42" s="89"/>
      <c r="K42" s="4"/>
    </row>
    <row r="43" spans="2:11" x14ac:dyDescent="0.25">
      <c r="B43" s="135">
        <f>SUM(B29:B42)</f>
        <v>-21500</v>
      </c>
      <c r="C43" s="11">
        <v>46091</v>
      </c>
      <c r="D43" s="11"/>
      <c r="E43" s="11"/>
      <c r="F43" s="11"/>
      <c r="G43" s="11"/>
      <c r="K43" s="4"/>
    </row>
    <row r="44" spans="2:11" x14ac:dyDescent="0.25">
      <c r="B44" s="11"/>
      <c r="D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C48" s="11"/>
      <c r="E48" s="11"/>
      <c r="F48" s="11"/>
      <c r="G48" s="11"/>
      <c r="K48" s="4"/>
    </row>
    <row r="49" spans="2:11" x14ac:dyDescent="0.25">
      <c r="B49" s="11"/>
      <c r="E49" s="4"/>
      <c r="K49" s="4"/>
    </row>
    <row r="50" spans="2:11" x14ac:dyDescent="0.25">
      <c r="B50" s="11"/>
      <c r="F50" s="11"/>
      <c r="G50" s="11"/>
      <c r="I50" s="173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I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D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11" x14ac:dyDescent="0.25">
      <c r="B65" s="11"/>
      <c r="E65" s="11"/>
      <c r="F65" s="11"/>
      <c r="G65" s="11"/>
      <c r="K65" s="4"/>
    </row>
    <row r="66" spans="2:11" x14ac:dyDescent="0.25">
      <c r="B66" s="11"/>
      <c r="E66" s="11"/>
      <c r="F66" s="11"/>
      <c r="G66" s="11"/>
      <c r="K66" s="4"/>
    </row>
    <row r="67" spans="2:11" x14ac:dyDescent="0.25">
      <c r="B67" s="11"/>
      <c r="E67" s="11"/>
      <c r="F67" s="11"/>
      <c r="G67" s="11"/>
    </row>
    <row r="68" spans="2:11" x14ac:dyDescent="0.25">
      <c r="B68" s="11"/>
      <c r="E68" s="11"/>
      <c r="F68" s="11"/>
      <c r="G68" s="11"/>
    </row>
    <row r="69" spans="2:11" x14ac:dyDescent="0.25">
      <c r="B69" s="11"/>
      <c r="E69" s="11"/>
      <c r="F69" s="11"/>
      <c r="G69" s="11"/>
    </row>
    <row r="70" spans="2:11" x14ac:dyDescent="0.25">
      <c r="B70" s="11"/>
      <c r="E70" s="11"/>
      <c r="F70" s="11"/>
      <c r="G70" s="11"/>
    </row>
    <row r="71" spans="2:11" x14ac:dyDescent="0.25">
      <c r="B71" s="11"/>
      <c r="E71" s="11"/>
      <c r="F71" s="11"/>
      <c r="G71" s="11"/>
    </row>
    <row r="72" spans="2:11" x14ac:dyDescent="0.25">
      <c r="B72" s="11"/>
      <c r="E72" s="11"/>
      <c r="F72" s="11"/>
      <c r="G72" s="11"/>
    </row>
    <row r="73" spans="2:11" x14ac:dyDescent="0.25">
      <c r="B73" s="11"/>
      <c r="E73" s="11"/>
      <c r="F73" s="11"/>
      <c r="G73" s="11"/>
    </row>
    <row r="74" spans="2:11" x14ac:dyDescent="0.25">
      <c r="B74" s="11"/>
      <c r="E74" s="11"/>
      <c r="F74" s="11"/>
      <c r="G74" s="11"/>
    </row>
    <row r="75" spans="2:11" x14ac:dyDescent="0.25">
      <c r="B75" s="11"/>
      <c r="E75" s="11"/>
      <c r="F75" s="11"/>
      <c r="G75" s="11"/>
    </row>
    <row r="76" spans="2:11" x14ac:dyDescent="0.25">
      <c r="B76" s="11"/>
      <c r="E76" s="11"/>
      <c r="F76" s="11"/>
      <c r="G76" s="11"/>
    </row>
    <row r="77" spans="2:11" x14ac:dyDescent="0.25">
      <c r="B77" s="11"/>
      <c r="E77" s="11"/>
      <c r="F77" s="11"/>
      <c r="G77" s="11"/>
    </row>
    <row r="78" spans="2:11" x14ac:dyDescent="0.25">
      <c r="B78" s="11"/>
      <c r="E78" s="11"/>
      <c r="F78" s="11"/>
      <c r="G78" s="11"/>
    </row>
    <row r="79" spans="2:11" x14ac:dyDescent="0.25">
      <c r="B79" s="11"/>
      <c r="E79" s="11"/>
      <c r="F79" s="11"/>
      <c r="G79" s="11"/>
    </row>
    <row r="80" spans="2:11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E84" s="11"/>
      <c r="F84" s="11"/>
      <c r="G84" s="11"/>
    </row>
    <row r="85" spans="2:7" x14ac:dyDescent="0.25">
      <c r="E85" s="11"/>
      <c r="F85" s="11"/>
      <c r="G85" s="11"/>
    </row>
    <row r="86" spans="2:7" x14ac:dyDescent="0.25">
      <c r="E86" s="11"/>
      <c r="F86" s="11"/>
      <c r="G86" s="11"/>
    </row>
    <row r="87" spans="2:7" x14ac:dyDescent="0.25">
      <c r="E87" s="11"/>
      <c r="F87" s="11"/>
      <c r="G87" s="11"/>
    </row>
    <row r="88" spans="2:7" x14ac:dyDescent="0.25">
      <c r="E88" s="11"/>
      <c r="F88" s="11"/>
      <c r="G88" s="11"/>
    </row>
    <row r="89" spans="2:7" x14ac:dyDescent="0.25">
      <c r="E89" s="11"/>
      <c r="F89" s="11"/>
      <c r="G89" s="11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3E6F-99E1-4B4E-B62B-4457F0F34A5E}">
  <dimension ref="A1:K87"/>
  <sheetViews>
    <sheetView zoomScale="110" zoomScaleNormal="110" workbookViewId="0">
      <selection activeCell="K16" sqref="K16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/>
      <c r="B3" s="82"/>
      <c r="C3" s="124"/>
      <c r="D3" s="151" t="s">
        <v>321</v>
      </c>
      <c r="E3" s="151" t="s">
        <v>404</v>
      </c>
      <c r="F3" s="82"/>
      <c r="G3" s="82"/>
      <c r="H3" s="128"/>
      <c r="I3" s="90"/>
      <c r="J3" s="212"/>
      <c r="K3" s="241"/>
    </row>
    <row r="4" spans="1:11" x14ac:dyDescent="0.25">
      <c r="A4" s="179">
        <v>46119</v>
      </c>
      <c r="B4" s="227" t="s">
        <v>9</v>
      </c>
      <c r="C4" s="124" t="s">
        <v>300</v>
      </c>
      <c r="D4" s="82">
        <v>420</v>
      </c>
      <c r="E4" s="82"/>
      <c r="F4" s="82">
        <v>34.68</v>
      </c>
      <c r="G4" s="82"/>
      <c r="H4" s="123">
        <v>619112</v>
      </c>
      <c r="I4" s="90" t="s">
        <v>257</v>
      </c>
      <c r="J4" s="212"/>
      <c r="K4" s="241"/>
    </row>
    <row r="5" spans="1:11" x14ac:dyDescent="0.25">
      <c r="A5" s="179">
        <v>46120</v>
      </c>
      <c r="B5" s="82" t="s">
        <v>300</v>
      </c>
      <c r="C5" s="124" t="s">
        <v>229</v>
      </c>
      <c r="D5" s="82">
        <v>150</v>
      </c>
      <c r="E5" s="82"/>
      <c r="F5" s="82"/>
      <c r="G5" s="82"/>
      <c r="H5" s="83" t="s">
        <v>66</v>
      </c>
      <c r="I5" s="90"/>
      <c r="J5" s="212"/>
      <c r="K5" s="241"/>
    </row>
    <row r="6" spans="1:11" x14ac:dyDescent="0.25">
      <c r="A6" s="179">
        <v>46120</v>
      </c>
      <c r="B6" s="82" t="s">
        <v>229</v>
      </c>
      <c r="C6" s="124" t="s">
        <v>10</v>
      </c>
      <c r="D6" s="82">
        <v>10</v>
      </c>
      <c r="E6" s="82"/>
      <c r="F6" s="82"/>
      <c r="G6" s="82"/>
      <c r="H6" s="90">
        <v>1063937</v>
      </c>
      <c r="I6" s="90" t="s">
        <v>360</v>
      </c>
      <c r="J6" s="212"/>
      <c r="K6" s="241"/>
    </row>
    <row r="7" spans="1:11" x14ac:dyDescent="0.25">
      <c r="A7" s="179">
        <v>46120</v>
      </c>
      <c r="B7" s="82" t="s">
        <v>10</v>
      </c>
      <c r="C7" s="124" t="s">
        <v>229</v>
      </c>
      <c r="D7" s="82">
        <v>10</v>
      </c>
      <c r="E7" s="82"/>
      <c r="F7" s="82"/>
      <c r="G7" s="82"/>
      <c r="H7" s="128" t="s">
        <v>66</v>
      </c>
      <c r="I7" s="90"/>
      <c r="J7" s="212"/>
      <c r="K7" s="241"/>
    </row>
    <row r="8" spans="1:11" x14ac:dyDescent="0.25">
      <c r="A8" s="179">
        <v>46120</v>
      </c>
      <c r="B8" s="82" t="s">
        <v>229</v>
      </c>
      <c r="C8" s="124" t="s">
        <v>10</v>
      </c>
      <c r="D8" s="82">
        <v>10</v>
      </c>
      <c r="E8" s="82"/>
      <c r="F8" s="82"/>
      <c r="G8" s="82"/>
      <c r="H8" s="123">
        <v>1063964</v>
      </c>
      <c r="I8" s="90" t="s">
        <v>360</v>
      </c>
      <c r="J8" s="212"/>
      <c r="K8" s="241"/>
    </row>
    <row r="9" spans="1:11" x14ac:dyDescent="0.25">
      <c r="A9" s="179">
        <v>46120</v>
      </c>
      <c r="B9" s="82" t="s">
        <v>10</v>
      </c>
      <c r="C9" s="124" t="s">
        <v>229</v>
      </c>
      <c r="D9" s="82">
        <v>10</v>
      </c>
      <c r="E9" s="82"/>
      <c r="F9" s="82"/>
      <c r="G9" s="82"/>
      <c r="H9" s="128" t="s">
        <v>66</v>
      </c>
      <c r="I9" s="90"/>
      <c r="J9" s="212"/>
      <c r="K9" s="241"/>
    </row>
    <row r="10" spans="1:11" x14ac:dyDescent="0.25">
      <c r="A10" s="179">
        <v>46121</v>
      </c>
      <c r="B10" s="82" t="s">
        <v>229</v>
      </c>
      <c r="C10" s="124" t="s">
        <v>9</v>
      </c>
      <c r="D10" s="82">
        <v>500</v>
      </c>
      <c r="E10" s="82"/>
      <c r="F10" s="82"/>
      <c r="G10" s="82"/>
      <c r="H10" s="123">
        <v>1064170</v>
      </c>
      <c r="I10" s="90" t="s">
        <v>368</v>
      </c>
      <c r="J10" s="212"/>
      <c r="K10" s="241"/>
    </row>
    <row r="11" spans="1:11" x14ac:dyDescent="0.25">
      <c r="A11" s="179">
        <v>46122</v>
      </c>
      <c r="B11" s="82" t="s">
        <v>9</v>
      </c>
      <c r="C11" s="124" t="s">
        <v>326</v>
      </c>
      <c r="D11" s="82">
        <v>380</v>
      </c>
      <c r="E11" s="82"/>
      <c r="F11" s="82"/>
      <c r="G11" s="82"/>
      <c r="H11" s="90">
        <v>619420</v>
      </c>
      <c r="I11" s="90" t="s">
        <v>327</v>
      </c>
      <c r="J11" s="212"/>
      <c r="K11" s="241">
        <v>697000</v>
      </c>
    </row>
    <row r="12" spans="1:11" x14ac:dyDescent="0.25">
      <c r="A12" s="179">
        <v>46125</v>
      </c>
      <c r="B12" s="82" t="s">
        <v>326</v>
      </c>
      <c r="C12" s="124" t="s">
        <v>220</v>
      </c>
      <c r="D12" s="82">
        <v>130</v>
      </c>
      <c r="E12" s="82"/>
      <c r="F12" s="82"/>
      <c r="G12" s="82"/>
      <c r="H12" s="83" t="s">
        <v>66</v>
      </c>
      <c r="I12" s="90"/>
      <c r="J12" s="212"/>
      <c r="K12" s="241"/>
    </row>
    <row r="13" spans="1:11" x14ac:dyDescent="0.25">
      <c r="A13" s="179">
        <v>46125</v>
      </c>
      <c r="B13" s="82" t="s">
        <v>220</v>
      </c>
      <c r="C13" s="124" t="s">
        <v>393</v>
      </c>
      <c r="D13" s="82">
        <v>120</v>
      </c>
      <c r="E13" s="82"/>
      <c r="F13" s="82"/>
      <c r="G13" s="82"/>
      <c r="H13" s="123">
        <v>895892</v>
      </c>
      <c r="I13" s="90"/>
      <c r="J13" s="212"/>
      <c r="K13" s="241"/>
    </row>
    <row r="14" spans="1:11" x14ac:dyDescent="0.25">
      <c r="A14" s="179">
        <v>46125</v>
      </c>
      <c r="B14" s="82" t="s">
        <v>393</v>
      </c>
      <c r="C14" s="124" t="s">
        <v>220</v>
      </c>
      <c r="D14" s="82">
        <v>120</v>
      </c>
      <c r="E14" s="82"/>
      <c r="F14" s="82"/>
      <c r="G14" s="82"/>
      <c r="H14" s="128" t="s">
        <v>66</v>
      </c>
      <c r="I14" s="90"/>
      <c r="J14" s="212"/>
      <c r="K14" s="241"/>
    </row>
    <row r="15" spans="1:11" x14ac:dyDescent="0.25">
      <c r="A15" s="179">
        <v>46125</v>
      </c>
      <c r="B15" s="82" t="s">
        <v>220</v>
      </c>
      <c r="C15" s="124" t="s">
        <v>351</v>
      </c>
      <c r="D15" s="82">
        <v>1300</v>
      </c>
      <c r="E15" s="82"/>
      <c r="F15" s="82"/>
      <c r="G15" s="82"/>
      <c r="H15" s="90">
        <v>5259</v>
      </c>
      <c r="I15" s="90" t="s">
        <v>102</v>
      </c>
      <c r="J15" s="212"/>
      <c r="K15" s="241">
        <v>1510866.66</v>
      </c>
    </row>
    <row r="16" spans="1:11" x14ac:dyDescent="0.25">
      <c r="A16" s="179">
        <v>46128</v>
      </c>
      <c r="B16" s="82" t="s">
        <v>351</v>
      </c>
      <c r="C16" s="124" t="s">
        <v>227</v>
      </c>
      <c r="D16" s="82">
        <v>240</v>
      </c>
      <c r="E16" s="82"/>
      <c r="F16" s="82"/>
      <c r="G16" s="82"/>
      <c r="H16" s="83" t="s">
        <v>66</v>
      </c>
      <c r="I16" s="90"/>
      <c r="J16" s="212"/>
      <c r="K16" s="241"/>
    </row>
    <row r="17" spans="1:11" x14ac:dyDescent="0.25">
      <c r="A17" s="179">
        <v>46128</v>
      </c>
      <c r="B17" s="82" t="s">
        <v>296</v>
      </c>
      <c r="C17" s="124" t="s">
        <v>9</v>
      </c>
      <c r="D17" s="82">
        <v>820</v>
      </c>
      <c r="E17" s="82"/>
      <c r="F17" s="82">
        <v>34.200000000000003</v>
      </c>
      <c r="G17" s="82"/>
      <c r="H17" s="90">
        <v>189638</v>
      </c>
      <c r="I17" s="90" t="s">
        <v>304</v>
      </c>
      <c r="J17" s="212"/>
      <c r="K17" s="241"/>
    </row>
    <row r="18" spans="1:11" x14ac:dyDescent="0.25">
      <c r="A18" s="179">
        <v>46133</v>
      </c>
      <c r="B18" s="82" t="s">
        <v>9</v>
      </c>
      <c r="C18" s="124" t="s">
        <v>351</v>
      </c>
      <c r="D18" s="82">
        <v>1010</v>
      </c>
      <c r="E18" s="82"/>
      <c r="F18" s="82">
        <v>34.299999999999997</v>
      </c>
      <c r="G18" s="82"/>
      <c r="H18" s="90">
        <v>620074</v>
      </c>
      <c r="I18" s="90" t="s">
        <v>257</v>
      </c>
      <c r="J18" s="212"/>
      <c r="K18" s="241"/>
    </row>
    <row r="19" spans="1:11" x14ac:dyDescent="0.25">
      <c r="A19" s="179">
        <v>46135</v>
      </c>
      <c r="B19" s="82" t="s">
        <v>351</v>
      </c>
      <c r="C19" s="124" t="s">
        <v>227</v>
      </c>
      <c r="D19" s="82">
        <v>240</v>
      </c>
      <c r="E19" s="82"/>
      <c r="F19" s="82"/>
      <c r="G19" s="82"/>
      <c r="H19" s="83" t="s">
        <v>66</v>
      </c>
      <c r="I19" s="90"/>
      <c r="J19" s="212"/>
      <c r="K19" s="241"/>
    </row>
    <row r="20" spans="1:11" x14ac:dyDescent="0.25">
      <c r="A20" s="179">
        <v>46135</v>
      </c>
      <c r="B20" s="82" t="s">
        <v>296</v>
      </c>
      <c r="C20" s="124" t="s">
        <v>9</v>
      </c>
      <c r="D20" s="82">
        <v>820</v>
      </c>
      <c r="E20" s="82"/>
      <c r="F20" s="82">
        <v>34</v>
      </c>
      <c r="G20" s="82"/>
      <c r="H20" s="90">
        <v>189841</v>
      </c>
      <c r="I20" s="90" t="s">
        <v>304</v>
      </c>
      <c r="J20" s="212"/>
      <c r="K20" s="241"/>
    </row>
    <row r="21" spans="1:11" x14ac:dyDescent="0.25">
      <c r="A21" s="91">
        <v>46136</v>
      </c>
      <c r="B21" s="82" t="s">
        <v>9</v>
      </c>
      <c r="C21" s="124" t="s">
        <v>276</v>
      </c>
      <c r="D21" s="82">
        <v>400</v>
      </c>
      <c r="E21" s="82"/>
      <c r="F21" s="82">
        <v>34.68</v>
      </c>
      <c r="G21" s="82"/>
      <c r="H21" s="90">
        <v>294500</v>
      </c>
      <c r="I21" s="90" t="s">
        <v>15</v>
      </c>
      <c r="J21" s="212"/>
      <c r="K21" s="241"/>
    </row>
    <row r="22" spans="1:11" x14ac:dyDescent="0.25">
      <c r="A22" s="91">
        <v>46139</v>
      </c>
      <c r="B22" s="82" t="s">
        <v>424</v>
      </c>
      <c r="C22" s="124" t="s">
        <v>118</v>
      </c>
      <c r="D22" s="82">
        <v>150</v>
      </c>
      <c r="E22" s="82"/>
      <c r="F22" s="82"/>
      <c r="G22" s="82"/>
      <c r="H22" s="128" t="s">
        <v>66</v>
      </c>
      <c r="I22" s="90"/>
      <c r="J22" s="212"/>
      <c r="K22" s="241"/>
    </row>
    <row r="23" spans="1:11" x14ac:dyDescent="0.25">
      <c r="A23" s="91">
        <v>46140</v>
      </c>
      <c r="B23" s="82" t="s">
        <v>118</v>
      </c>
      <c r="C23" s="124" t="s">
        <v>385</v>
      </c>
      <c r="D23" s="82">
        <v>1560</v>
      </c>
      <c r="E23" s="82"/>
      <c r="F23" s="82"/>
      <c r="G23" s="82"/>
      <c r="H23" s="123">
        <v>123426</v>
      </c>
      <c r="I23" s="90" t="s">
        <v>386</v>
      </c>
      <c r="J23" s="212"/>
      <c r="K23" s="241"/>
    </row>
    <row r="24" spans="1:11" x14ac:dyDescent="0.25">
      <c r="A24" s="91"/>
      <c r="B24" s="82"/>
      <c r="C24" s="124"/>
      <c r="D24" s="151" t="s">
        <v>462</v>
      </c>
      <c r="E24" s="82"/>
      <c r="F24" s="82"/>
      <c r="G24" s="82"/>
      <c r="H24" s="83" t="s">
        <v>66</v>
      </c>
      <c r="I24" s="90"/>
      <c r="J24" s="212"/>
      <c r="K24" s="241"/>
    </row>
    <row r="25" spans="1:11" x14ac:dyDescent="0.25">
      <c r="A25" s="5"/>
      <c r="B25" s="6"/>
      <c r="C25" s="6"/>
      <c r="D25" s="6"/>
      <c r="E25" s="6"/>
      <c r="F25" s="6"/>
      <c r="G25" s="6"/>
      <c r="H25" s="7"/>
      <c r="I25" s="7"/>
      <c r="J25" s="140"/>
      <c r="K25" s="242"/>
    </row>
    <row r="26" spans="1:11" x14ac:dyDescent="0.25">
      <c r="D26" s="17">
        <f>SUM(D3:D25)</f>
        <v>8400</v>
      </c>
      <c r="E26" s="13"/>
      <c r="F26" s="13">
        <f>AVERAGE(F3:F24)</f>
        <v>34.372</v>
      </c>
      <c r="G26" s="13"/>
      <c r="J26" s="139">
        <f>SUM(J3:J25)</f>
        <v>0</v>
      </c>
      <c r="K26" s="243">
        <f>SUM(K3:K25)</f>
        <v>2207866.66</v>
      </c>
    </row>
    <row r="31" spans="1:11" x14ac:dyDescent="0.25">
      <c r="D31" s="11"/>
    </row>
    <row r="32" spans="1:11" x14ac:dyDescent="0.25">
      <c r="D32" s="11"/>
    </row>
    <row r="33" spans="2:11" x14ac:dyDescent="0.25">
      <c r="D33" s="11"/>
    </row>
    <row r="34" spans="2:11" x14ac:dyDescent="0.25">
      <c r="B34" s="230">
        <v>-2000</v>
      </c>
      <c r="C34" s="11" t="s">
        <v>93</v>
      </c>
      <c r="D34" s="11"/>
      <c r="E34" s="11"/>
      <c r="F34" s="11"/>
      <c r="G34" s="89"/>
      <c r="K34" s="4"/>
    </row>
    <row r="35" spans="2:11" x14ac:dyDescent="0.25">
      <c r="B35" s="230">
        <v>-30000</v>
      </c>
      <c r="C35" s="11" t="s">
        <v>13</v>
      </c>
      <c r="D35" s="11">
        <v>45351</v>
      </c>
      <c r="E35" s="11"/>
      <c r="F35" s="11"/>
      <c r="G35" s="89"/>
      <c r="K35" s="4"/>
    </row>
    <row r="36" spans="2:11" x14ac:dyDescent="0.25">
      <c r="B36" s="230">
        <v>7300</v>
      </c>
      <c r="C36" s="11" t="s">
        <v>12</v>
      </c>
      <c r="D36" s="11">
        <v>45359</v>
      </c>
      <c r="E36" s="11"/>
      <c r="F36" s="11"/>
      <c r="G36" s="89"/>
      <c r="K36" s="4"/>
    </row>
    <row r="37" spans="2:11" x14ac:dyDescent="0.25">
      <c r="B37" s="230">
        <v>10200</v>
      </c>
      <c r="C37" s="11" t="s">
        <v>12</v>
      </c>
      <c r="D37" s="11">
        <v>45838</v>
      </c>
      <c r="E37" s="11"/>
      <c r="F37" s="11"/>
      <c r="G37" s="89"/>
      <c r="K37" s="4"/>
    </row>
    <row r="38" spans="2:11" x14ac:dyDescent="0.25">
      <c r="B38" s="230">
        <v>-10200</v>
      </c>
      <c r="C38" s="11"/>
      <c r="D38" s="11">
        <v>45838</v>
      </c>
      <c r="E38" s="11"/>
      <c r="F38" s="11"/>
      <c r="G38" s="89"/>
      <c r="K38" s="4"/>
    </row>
    <row r="39" spans="2:11" x14ac:dyDescent="0.25">
      <c r="B39" s="230"/>
      <c r="C39" s="11"/>
      <c r="D39" s="11"/>
      <c r="E39" s="11"/>
      <c r="F39" s="11"/>
      <c r="G39" s="89"/>
      <c r="K39" s="4"/>
    </row>
    <row r="40" spans="2:11" x14ac:dyDescent="0.25">
      <c r="B40" s="230"/>
      <c r="C40" s="11"/>
      <c r="D40" s="11"/>
      <c r="E40" s="11"/>
      <c r="F40" s="11"/>
      <c r="G40" s="89"/>
      <c r="K40" s="4"/>
    </row>
    <row r="41" spans="2:11" x14ac:dyDescent="0.25">
      <c r="B41" s="135">
        <f>SUM(B33:B40)</f>
        <v>-24700</v>
      </c>
      <c r="C41" s="11">
        <v>45838</v>
      </c>
      <c r="D41" s="11"/>
      <c r="E41" s="11"/>
      <c r="F41" s="11"/>
      <c r="G41" s="11"/>
      <c r="K41" s="4"/>
    </row>
    <row r="42" spans="2:11" x14ac:dyDescent="0.25">
      <c r="B42" s="11"/>
      <c r="D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C46" s="11"/>
      <c r="E46" s="11"/>
      <c r="F46" s="11"/>
      <c r="G46" s="11"/>
      <c r="K46" s="4"/>
    </row>
    <row r="47" spans="2:11" x14ac:dyDescent="0.25">
      <c r="B47" s="11"/>
      <c r="E47" s="4"/>
      <c r="K47" s="4"/>
    </row>
    <row r="48" spans="2:11" x14ac:dyDescent="0.25">
      <c r="B48" s="11"/>
      <c r="F48" s="11"/>
      <c r="G48" s="11"/>
      <c r="I48" s="173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I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D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  <row r="80" spans="2:7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E82" s="11"/>
      <c r="F82" s="11"/>
      <c r="G82" s="11"/>
    </row>
    <row r="83" spans="2:7" x14ac:dyDescent="0.25">
      <c r="E83" s="11"/>
      <c r="F83" s="11"/>
      <c r="G83" s="11"/>
    </row>
    <row r="84" spans="2:7" x14ac:dyDescent="0.25">
      <c r="E84" s="11"/>
      <c r="F84" s="11"/>
      <c r="G84" s="11"/>
    </row>
    <row r="85" spans="2:7" x14ac:dyDescent="0.25">
      <c r="E85" s="11"/>
      <c r="F85" s="11"/>
      <c r="G85" s="11"/>
    </row>
    <row r="86" spans="2:7" x14ac:dyDescent="0.25">
      <c r="E86" s="11"/>
      <c r="F86" s="11"/>
      <c r="G86" s="11"/>
    </row>
    <row r="87" spans="2:7" x14ac:dyDescent="0.25">
      <c r="E87" s="11"/>
      <c r="F87" s="11"/>
      <c r="G87" s="11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ABB8-BC62-459A-8340-35B7992A85C0}">
  <dimension ref="A1:K91"/>
  <sheetViews>
    <sheetView zoomScale="110" zoomScaleNormal="110" workbookViewId="0">
      <selection activeCell="K8" sqref="K8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9</v>
      </c>
      <c r="C3" s="82" t="s">
        <v>343</v>
      </c>
      <c r="D3" s="82">
        <v>340</v>
      </c>
      <c r="E3" s="82"/>
      <c r="F3" s="82">
        <v>34.72</v>
      </c>
      <c r="G3" s="82"/>
      <c r="H3" s="123">
        <v>293228</v>
      </c>
      <c r="I3" s="90" t="s">
        <v>344</v>
      </c>
      <c r="J3" s="212"/>
      <c r="K3" s="241">
        <v>624960</v>
      </c>
    </row>
    <row r="4" spans="1:11" x14ac:dyDescent="0.25">
      <c r="A4" s="91">
        <v>46118</v>
      </c>
      <c r="B4" s="82" t="s">
        <v>343</v>
      </c>
      <c r="C4" s="82" t="s">
        <v>118</v>
      </c>
      <c r="D4" s="82">
        <v>190</v>
      </c>
      <c r="E4" s="82"/>
      <c r="F4" s="82"/>
      <c r="G4" s="82"/>
      <c r="H4" s="128" t="s">
        <v>66</v>
      </c>
      <c r="I4" s="90"/>
      <c r="J4" s="212"/>
      <c r="K4" s="241"/>
    </row>
    <row r="5" spans="1:11" x14ac:dyDescent="0.25">
      <c r="A5" s="91">
        <v>46118</v>
      </c>
      <c r="B5" s="82" t="s">
        <v>118</v>
      </c>
      <c r="C5" s="124" t="s">
        <v>385</v>
      </c>
      <c r="D5" s="82">
        <v>1660</v>
      </c>
      <c r="E5" s="82"/>
      <c r="F5" s="82"/>
      <c r="G5" s="82"/>
      <c r="H5" s="90">
        <v>81420</v>
      </c>
      <c r="I5" s="90" t="s">
        <v>386</v>
      </c>
      <c r="J5" s="212"/>
      <c r="K5" s="241"/>
    </row>
    <row r="6" spans="1:11" x14ac:dyDescent="0.25">
      <c r="A6" s="91">
        <v>46121</v>
      </c>
      <c r="B6" s="124" t="s">
        <v>385</v>
      </c>
      <c r="C6" s="124" t="s">
        <v>9</v>
      </c>
      <c r="D6" s="82">
        <v>1070</v>
      </c>
      <c r="E6" s="82"/>
      <c r="F6" s="82"/>
      <c r="G6" s="82"/>
      <c r="H6" s="83" t="s">
        <v>66</v>
      </c>
      <c r="I6" s="90"/>
      <c r="J6" s="212"/>
      <c r="K6" s="241"/>
    </row>
    <row r="7" spans="1:11" x14ac:dyDescent="0.25">
      <c r="A7" s="91">
        <v>46123</v>
      </c>
      <c r="B7" s="82" t="s">
        <v>9</v>
      </c>
      <c r="C7" s="124" t="s">
        <v>351</v>
      </c>
      <c r="D7" s="82">
        <v>1010</v>
      </c>
      <c r="E7" s="82"/>
      <c r="F7" s="82">
        <v>34.78</v>
      </c>
      <c r="G7" s="82"/>
      <c r="H7" s="90">
        <v>619461</v>
      </c>
      <c r="I7" s="90" t="s">
        <v>257</v>
      </c>
      <c r="J7" s="212"/>
      <c r="K7" s="241">
        <v>2284208.5</v>
      </c>
    </row>
    <row r="8" spans="1:11" x14ac:dyDescent="0.25">
      <c r="A8" s="91">
        <v>46125</v>
      </c>
      <c r="B8" s="82" t="s">
        <v>351</v>
      </c>
      <c r="C8" s="124" t="s">
        <v>227</v>
      </c>
      <c r="D8" s="82">
        <v>240</v>
      </c>
      <c r="E8" s="82"/>
      <c r="F8" s="82"/>
      <c r="G8" s="82"/>
      <c r="H8" s="83" t="s">
        <v>66</v>
      </c>
      <c r="I8" s="90"/>
      <c r="J8" s="212"/>
      <c r="K8" s="241"/>
    </row>
    <row r="9" spans="1:11" x14ac:dyDescent="0.25">
      <c r="A9" s="91">
        <v>46125</v>
      </c>
      <c r="B9" s="82" t="s">
        <v>296</v>
      </c>
      <c r="C9" s="124" t="s">
        <v>9</v>
      </c>
      <c r="D9" s="82">
        <v>820</v>
      </c>
      <c r="E9" s="82"/>
      <c r="F9" s="82">
        <v>34.799999999999997</v>
      </c>
      <c r="G9" s="82"/>
      <c r="H9" s="90">
        <v>189456</v>
      </c>
      <c r="I9" s="90" t="s">
        <v>304</v>
      </c>
      <c r="J9" s="212"/>
      <c r="K9" s="241"/>
    </row>
    <row r="10" spans="1:11" x14ac:dyDescent="0.25">
      <c r="A10" s="91">
        <v>46126</v>
      </c>
      <c r="B10" s="227" t="s">
        <v>9</v>
      </c>
      <c r="C10" s="124" t="s">
        <v>300</v>
      </c>
      <c r="D10" s="82">
        <v>420</v>
      </c>
      <c r="E10" s="82"/>
      <c r="F10" s="82">
        <v>35.25</v>
      </c>
      <c r="G10" s="82"/>
      <c r="H10" s="123">
        <v>619655</v>
      </c>
      <c r="I10" s="90" t="s">
        <v>257</v>
      </c>
      <c r="J10" s="212"/>
      <c r="K10" s="241"/>
    </row>
    <row r="11" spans="1:11" x14ac:dyDescent="0.25">
      <c r="A11" s="91">
        <v>46127</v>
      </c>
      <c r="B11" s="82" t="s">
        <v>300</v>
      </c>
      <c r="C11" s="124" t="s">
        <v>229</v>
      </c>
      <c r="D11" s="82">
        <v>150</v>
      </c>
      <c r="E11" s="82"/>
      <c r="F11" s="82"/>
      <c r="G11" s="82"/>
      <c r="H11" s="83" t="s">
        <v>66</v>
      </c>
      <c r="I11" s="90"/>
      <c r="J11" s="212"/>
      <c r="K11" s="241"/>
    </row>
    <row r="12" spans="1:11" x14ac:dyDescent="0.25">
      <c r="A12" s="91">
        <v>46127</v>
      </c>
      <c r="B12" s="82" t="s">
        <v>229</v>
      </c>
      <c r="C12" s="124" t="s">
        <v>9</v>
      </c>
      <c r="D12" s="82">
        <v>500</v>
      </c>
      <c r="E12" s="82"/>
      <c r="F12" s="82">
        <v>34.909999999999997</v>
      </c>
      <c r="G12" s="82"/>
      <c r="H12" s="123">
        <v>1065174</v>
      </c>
      <c r="I12" s="90" t="s">
        <v>176</v>
      </c>
      <c r="J12" s="212"/>
      <c r="K12" s="241"/>
    </row>
    <row r="13" spans="1:11" x14ac:dyDescent="0.25">
      <c r="A13" s="91">
        <v>46128</v>
      </c>
      <c r="B13" s="82" t="s">
        <v>9</v>
      </c>
      <c r="C13" s="124" t="s">
        <v>351</v>
      </c>
      <c r="D13" s="82">
        <v>1010</v>
      </c>
      <c r="E13" s="82"/>
      <c r="F13" s="82">
        <v>34.82</v>
      </c>
      <c r="G13" s="82"/>
      <c r="H13" s="90">
        <v>619784</v>
      </c>
      <c r="I13" s="90" t="s">
        <v>257</v>
      </c>
      <c r="J13" s="212"/>
      <c r="K13" s="241"/>
    </row>
    <row r="14" spans="1:11" x14ac:dyDescent="0.25">
      <c r="A14" s="91">
        <v>46129</v>
      </c>
      <c r="B14" s="82" t="s">
        <v>351</v>
      </c>
      <c r="C14" s="124" t="s">
        <v>227</v>
      </c>
      <c r="D14" s="82">
        <v>240</v>
      </c>
      <c r="E14" s="82"/>
      <c r="F14" s="82"/>
      <c r="G14" s="82"/>
      <c r="H14" s="83" t="s">
        <v>66</v>
      </c>
      <c r="I14" s="90"/>
      <c r="J14" s="212"/>
      <c r="K14" s="241"/>
    </row>
    <row r="15" spans="1:11" x14ac:dyDescent="0.25">
      <c r="A15" s="91">
        <v>46129</v>
      </c>
      <c r="B15" s="82" t="s">
        <v>296</v>
      </c>
      <c r="C15" s="124" t="s">
        <v>9</v>
      </c>
      <c r="D15" s="82">
        <v>820</v>
      </c>
      <c r="E15" s="82"/>
      <c r="F15" s="82">
        <v>33.5</v>
      </c>
      <c r="G15" s="82"/>
      <c r="H15" s="90">
        <v>189659</v>
      </c>
      <c r="I15" s="90" t="s">
        <v>304</v>
      </c>
      <c r="J15" s="212"/>
      <c r="K15" s="241"/>
    </row>
    <row r="16" spans="1:11" x14ac:dyDescent="0.25">
      <c r="A16" s="91">
        <v>46130</v>
      </c>
      <c r="B16" s="82" t="s">
        <v>9</v>
      </c>
      <c r="C16" s="124" t="s">
        <v>352</v>
      </c>
      <c r="D16" s="82">
        <v>420</v>
      </c>
      <c r="E16" s="82"/>
      <c r="F16" s="82"/>
      <c r="G16" s="82"/>
      <c r="H16" s="90" t="s">
        <v>252</v>
      </c>
      <c r="I16" s="90" t="s">
        <v>344</v>
      </c>
      <c r="J16" s="212"/>
      <c r="K16" s="241"/>
    </row>
    <row r="17" spans="1:11" x14ac:dyDescent="0.25">
      <c r="A17" s="91">
        <v>46132</v>
      </c>
      <c r="B17" s="82" t="s">
        <v>390</v>
      </c>
      <c r="C17" s="124" t="s">
        <v>118</v>
      </c>
      <c r="D17" s="82">
        <v>150</v>
      </c>
      <c r="E17" s="82"/>
      <c r="F17" s="82"/>
      <c r="G17" s="82"/>
      <c r="H17" s="83" t="s">
        <v>66</v>
      </c>
      <c r="I17" s="90"/>
      <c r="J17" s="212"/>
      <c r="K17" s="241"/>
    </row>
    <row r="18" spans="1:11" x14ac:dyDescent="0.25">
      <c r="A18" s="91">
        <v>46133</v>
      </c>
      <c r="B18" s="82" t="s">
        <v>118</v>
      </c>
      <c r="C18" s="124" t="s">
        <v>385</v>
      </c>
      <c r="D18" s="82">
        <v>1560</v>
      </c>
      <c r="E18" s="82"/>
      <c r="F18" s="82"/>
      <c r="G18" s="82"/>
      <c r="H18" s="90">
        <v>122153</v>
      </c>
      <c r="I18" s="90" t="s">
        <v>386</v>
      </c>
      <c r="J18" s="212"/>
      <c r="K18" s="241"/>
    </row>
    <row r="19" spans="1:11" x14ac:dyDescent="0.25">
      <c r="A19" s="91">
        <v>46135</v>
      </c>
      <c r="B19" s="124" t="s">
        <v>385</v>
      </c>
      <c r="C19" s="124" t="s">
        <v>9</v>
      </c>
      <c r="D19" s="82">
        <v>1070</v>
      </c>
      <c r="E19" s="82"/>
      <c r="F19" s="82"/>
      <c r="G19" s="82"/>
      <c r="H19" s="83" t="s">
        <v>66</v>
      </c>
      <c r="I19" s="90"/>
      <c r="J19" s="212"/>
      <c r="K19" s="241"/>
    </row>
    <row r="20" spans="1:11" x14ac:dyDescent="0.25">
      <c r="A20" s="91">
        <v>46137</v>
      </c>
      <c r="B20" s="82" t="s">
        <v>9</v>
      </c>
      <c r="C20" s="124" t="s">
        <v>352</v>
      </c>
      <c r="D20" s="82">
        <v>420</v>
      </c>
      <c r="E20" s="82"/>
      <c r="F20" s="82">
        <v>35.06</v>
      </c>
      <c r="G20" s="82"/>
      <c r="H20" s="90">
        <v>294527</v>
      </c>
      <c r="I20" s="90" t="s">
        <v>344</v>
      </c>
      <c r="J20" s="212"/>
      <c r="K20" s="241"/>
    </row>
    <row r="21" spans="1:11" x14ac:dyDescent="0.25">
      <c r="A21" s="91">
        <v>46140</v>
      </c>
      <c r="B21" s="82" t="s">
        <v>390</v>
      </c>
      <c r="C21" s="124" t="s">
        <v>118</v>
      </c>
      <c r="D21" s="82">
        <v>150</v>
      </c>
      <c r="E21" s="82"/>
      <c r="F21" s="82"/>
      <c r="G21" s="82"/>
      <c r="H21" s="83" t="s">
        <v>66</v>
      </c>
      <c r="I21" s="90"/>
      <c r="J21" s="212"/>
      <c r="K21" s="241"/>
    </row>
    <row r="22" spans="1:11" x14ac:dyDescent="0.25">
      <c r="A22" s="91">
        <v>46140</v>
      </c>
      <c r="B22" s="82" t="s">
        <v>118</v>
      </c>
      <c r="C22" s="124" t="s">
        <v>385</v>
      </c>
      <c r="D22" s="82">
        <v>1560</v>
      </c>
      <c r="E22" s="82"/>
      <c r="F22" s="82"/>
      <c r="G22" s="82"/>
      <c r="H22" s="90" t="s">
        <v>252</v>
      </c>
      <c r="I22" s="90" t="s">
        <v>386</v>
      </c>
      <c r="J22" s="212"/>
      <c r="K22" s="241"/>
    </row>
    <row r="23" spans="1:11" x14ac:dyDescent="0.25">
      <c r="A23" s="91"/>
      <c r="B23" s="82"/>
      <c r="C23" s="124"/>
      <c r="D23" s="151" t="s">
        <v>492</v>
      </c>
      <c r="E23" s="82"/>
      <c r="F23" s="82"/>
      <c r="G23" s="82"/>
      <c r="H23" s="90"/>
      <c r="I23" s="90"/>
      <c r="J23" s="212"/>
      <c r="K23" s="241"/>
    </row>
    <row r="24" spans="1:11" x14ac:dyDescent="0.25">
      <c r="A24" s="5"/>
      <c r="B24" s="6"/>
      <c r="C24" s="6"/>
      <c r="D24" s="6"/>
      <c r="E24" s="6"/>
      <c r="F24" s="6"/>
      <c r="G24" s="6"/>
      <c r="H24" s="7"/>
      <c r="I24" s="7"/>
      <c r="J24" s="140"/>
      <c r="K24" s="242"/>
    </row>
    <row r="25" spans="1:11" x14ac:dyDescent="0.25">
      <c r="D25" s="17">
        <f>SUM(D3:D24)</f>
        <v>13800</v>
      </c>
      <c r="E25" s="13"/>
      <c r="F25" s="13">
        <f>AVERAGE(F3:F23)</f>
        <v>34.730000000000004</v>
      </c>
      <c r="G25" s="13"/>
      <c r="J25" s="139">
        <f>SUM(J3:J24)</f>
        <v>0</v>
      </c>
      <c r="K25" s="243">
        <f>SUM(K3:K24)</f>
        <v>2909168.5</v>
      </c>
    </row>
    <row r="30" spans="1:11" x14ac:dyDescent="0.25">
      <c r="D30" s="11"/>
    </row>
    <row r="31" spans="1:11" x14ac:dyDescent="0.25">
      <c r="D31" s="11"/>
    </row>
    <row r="32" spans="1:11" x14ac:dyDescent="0.25">
      <c r="D32" s="11"/>
    </row>
    <row r="33" spans="2:11" x14ac:dyDescent="0.25">
      <c r="B33" s="230">
        <v>-10000</v>
      </c>
      <c r="C33" s="11" t="s">
        <v>93</v>
      </c>
      <c r="D33" s="11"/>
      <c r="E33" s="11"/>
      <c r="F33" s="11"/>
      <c r="G33" s="89"/>
      <c r="K33" s="4"/>
    </row>
    <row r="34" spans="2:11" x14ac:dyDescent="0.25">
      <c r="B34" s="230">
        <v>2400</v>
      </c>
      <c r="C34" s="11" t="s">
        <v>12</v>
      </c>
      <c r="D34" s="11"/>
      <c r="E34" s="11"/>
      <c r="F34" s="11"/>
      <c r="G34" s="89"/>
      <c r="K34" s="4"/>
    </row>
    <row r="35" spans="2:11" x14ac:dyDescent="0.25">
      <c r="B35" s="230">
        <v>-2500</v>
      </c>
      <c r="C35" s="11" t="s">
        <v>13</v>
      </c>
      <c r="D35" s="11">
        <v>45408</v>
      </c>
      <c r="E35" s="11"/>
      <c r="F35" s="11"/>
      <c r="G35" s="89"/>
      <c r="K35" s="4"/>
    </row>
    <row r="36" spans="2:11" x14ac:dyDescent="0.25">
      <c r="B36" s="230">
        <v>12000</v>
      </c>
      <c r="C36" s="11" t="s">
        <v>12</v>
      </c>
      <c r="D36" s="11">
        <v>45434</v>
      </c>
      <c r="E36" s="11"/>
      <c r="F36" s="11"/>
      <c r="G36" s="89"/>
      <c r="K36" s="4"/>
    </row>
    <row r="37" spans="2:11" x14ac:dyDescent="0.25">
      <c r="B37" s="230">
        <v>-12000</v>
      </c>
      <c r="C37" s="11" t="s">
        <v>13</v>
      </c>
      <c r="D37" s="11"/>
      <c r="E37" s="11"/>
      <c r="F37" s="11"/>
      <c r="G37" s="89"/>
      <c r="K37" s="4"/>
    </row>
    <row r="38" spans="2:11" x14ac:dyDescent="0.25">
      <c r="B38" s="230">
        <v>21500</v>
      </c>
      <c r="C38" s="11" t="s">
        <v>12</v>
      </c>
      <c r="D38" s="11"/>
      <c r="E38" s="11"/>
      <c r="F38" s="11"/>
      <c r="G38" s="89"/>
      <c r="K38" s="4"/>
    </row>
    <row r="39" spans="2:11" x14ac:dyDescent="0.25">
      <c r="B39" s="230">
        <v>-21500</v>
      </c>
      <c r="C39" s="11" t="s">
        <v>13</v>
      </c>
      <c r="D39" s="11"/>
      <c r="E39" s="11"/>
      <c r="F39" s="11"/>
      <c r="G39" s="89"/>
      <c r="K39" s="4"/>
    </row>
    <row r="40" spans="2:11" x14ac:dyDescent="0.25">
      <c r="B40" s="230">
        <v>17500</v>
      </c>
      <c r="C40" s="11" t="s">
        <v>12</v>
      </c>
      <c r="D40" s="11">
        <v>45526</v>
      </c>
      <c r="E40" s="11"/>
      <c r="F40" s="11"/>
      <c r="G40" s="89"/>
      <c r="K40" s="4"/>
    </row>
    <row r="41" spans="2:11" x14ac:dyDescent="0.25">
      <c r="B41" s="230">
        <v>-17500</v>
      </c>
      <c r="C41" s="11" t="s">
        <v>93</v>
      </c>
      <c r="D41" s="11">
        <v>45526</v>
      </c>
      <c r="E41" s="11"/>
      <c r="F41" s="11"/>
      <c r="G41" s="89"/>
      <c r="K41" s="4"/>
    </row>
    <row r="42" spans="2:11" x14ac:dyDescent="0.25">
      <c r="B42" s="230">
        <v>-1000</v>
      </c>
      <c r="C42" s="11" t="s">
        <v>211</v>
      </c>
      <c r="D42" s="11">
        <v>45680</v>
      </c>
      <c r="E42" s="11"/>
      <c r="F42" s="11"/>
      <c r="G42" s="89"/>
      <c r="K42" s="4"/>
    </row>
    <row r="43" spans="2:11" x14ac:dyDescent="0.25">
      <c r="B43" s="230">
        <v>37700</v>
      </c>
      <c r="C43" s="11" t="s">
        <v>12</v>
      </c>
      <c r="D43" s="11">
        <v>45866</v>
      </c>
      <c r="E43" s="11"/>
      <c r="F43" s="11"/>
      <c r="G43" s="89"/>
      <c r="K43" s="4"/>
    </row>
    <row r="44" spans="2:11" x14ac:dyDescent="0.25">
      <c r="B44" s="230">
        <v>-38000</v>
      </c>
      <c r="C44" s="11" t="s">
        <v>93</v>
      </c>
      <c r="D44" s="11">
        <v>45866</v>
      </c>
      <c r="E44" s="11"/>
      <c r="F44" s="11"/>
      <c r="G44" s="89"/>
      <c r="K44" s="4"/>
    </row>
    <row r="45" spans="2:11" x14ac:dyDescent="0.25">
      <c r="B45" s="135">
        <f>SUM(B32:B44)</f>
        <v>-11400</v>
      </c>
      <c r="C45" s="11">
        <v>45866</v>
      </c>
      <c r="D45" s="11"/>
      <c r="E45" s="11"/>
      <c r="F45" s="11"/>
      <c r="G45" s="11"/>
      <c r="K45" s="4"/>
    </row>
    <row r="46" spans="2:11" x14ac:dyDescent="0.25">
      <c r="B46" s="11"/>
      <c r="D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C50" s="11"/>
      <c r="E50" s="11"/>
      <c r="F50" s="11"/>
      <c r="G50" s="11"/>
      <c r="K50" s="4"/>
    </row>
    <row r="51" spans="2:11" x14ac:dyDescent="0.25">
      <c r="B51" s="11"/>
      <c r="E51" s="4"/>
      <c r="K51" s="4"/>
    </row>
    <row r="52" spans="2:11" x14ac:dyDescent="0.25">
      <c r="B52" s="11"/>
      <c r="F52" s="11"/>
      <c r="G52" s="11"/>
      <c r="I52" s="173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I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D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11" x14ac:dyDescent="0.25">
      <c r="B65" s="11"/>
      <c r="E65" s="11"/>
      <c r="F65" s="11"/>
      <c r="G65" s="11"/>
      <c r="K65" s="4"/>
    </row>
    <row r="66" spans="2:11" x14ac:dyDescent="0.25">
      <c r="B66" s="11"/>
      <c r="E66" s="11"/>
      <c r="F66" s="11"/>
      <c r="G66" s="11"/>
      <c r="K66" s="4"/>
    </row>
    <row r="67" spans="2:11" x14ac:dyDescent="0.25">
      <c r="B67" s="11"/>
      <c r="E67" s="11"/>
      <c r="F67" s="11"/>
      <c r="G67" s="11"/>
      <c r="K67" s="4"/>
    </row>
    <row r="68" spans="2:11" x14ac:dyDescent="0.25">
      <c r="B68" s="11"/>
      <c r="E68" s="11"/>
      <c r="F68" s="11"/>
      <c r="G68" s="11"/>
      <c r="K68" s="4"/>
    </row>
    <row r="69" spans="2:11" x14ac:dyDescent="0.25">
      <c r="B69" s="11"/>
      <c r="E69" s="11"/>
      <c r="F69" s="11"/>
      <c r="G69" s="11"/>
    </row>
    <row r="70" spans="2:11" x14ac:dyDescent="0.25">
      <c r="B70" s="11"/>
      <c r="E70" s="11"/>
      <c r="F70" s="11"/>
      <c r="G70" s="11"/>
    </row>
    <row r="71" spans="2:11" x14ac:dyDescent="0.25">
      <c r="B71" s="11"/>
      <c r="E71" s="11"/>
      <c r="F71" s="11"/>
      <c r="G71" s="11"/>
    </row>
    <row r="72" spans="2:11" x14ac:dyDescent="0.25">
      <c r="B72" s="11"/>
      <c r="E72" s="11"/>
      <c r="F72" s="11"/>
      <c r="G72" s="11"/>
    </row>
    <row r="73" spans="2:11" x14ac:dyDescent="0.25">
      <c r="B73" s="11"/>
      <c r="E73" s="11"/>
      <c r="F73" s="11"/>
      <c r="G73" s="11"/>
    </row>
    <row r="74" spans="2:11" x14ac:dyDescent="0.25">
      <c r="B74" s="11"/>
      <c r="E74" s="11"/>
      <c r="F74" s="11"/>
      <c r="G74" s="11"/>
    </row>
    <row r="75" spans="2:11" x14ac:dyDescent="0.25">
      <c r="B75" s="11"/>
      <c r="E75" s="11"/>
      <c r="F75" s="11"/>
      <c r="G75" s="11"/>
    </row>
    <row r="76" spans="2:11" x14ac:dyDescent="0.25">
      <c r="B76" s="11"/>
      <c r="E76" s="11"/>
      <c r="F76" s="11"/>
      <c r="G76" s="11"/>
    </row>
    <row r="77" spans="2:11" x14ac:dyDescent="0.25">
      <c r="B77" s="11"/>
      <c r="E77" s="11"/>
      <c r="F77" s="11"/>
      <c r="G77" s="11"/>
    </row>
    <row r="78" spans="2:11" x14ac:dyDescent="0.25">
      <c r="B78" s="11"/>
      <c r="E78" s="11"/>
      <c r="F78" s="11"/>
      <c r="G78" s="11"/>
    </row>
    <row r="79" spans="2:11" x14ac:dyDescent="0.25">
      <c r="B79" s="11"/>
      <c r="E79" s="11"/>
      <c r="F79" s="11"/>
      <c r="G79" s="11"/>
    </row>
    <row r="80" spans="2:11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B84" s="11"/>
      <c r="E84" s="11"/>
      <c r="F84" s="11"/>
      <c r="G84" s="11"/>
    </row>
    <row r="85" spans="2:7" x14ac:dyDescent="0.25">
      <c r="B85" s="11"/>
      <c r="E85" s="11"/>
      <c r="F85" s="11"/>
      <c r="G85" s="11"/>
    </row>
    <row r="86" spans="2:7" x14ac:dyDescent="0.25">
      <c r="E86" s="11"/>
      <c r="F86" s="11"/>
      <c r="G86" s="11"/>
    </row>
    <row r="87" spans="2:7" x14ac:dyDescent="0.25">
      <c r="E87" s="11"/>
      <c r="F87" s="11"/>
      <c r="G87" s="11"/>
    </row>
    <row r="88" spans="2:7" x14ac:dyDescent="0.25">
      <c r="E88" s="11"/>
      <c r="F88" s="11"/>
      <c r="G88" s="11"/>
    </row>
    <row r="89" spans="2:7" x14ac:dyDescent="0.25">
      <c r="E89" s="11"/>
      <c r="F89" s="11"/>
      <c r="G89" s="11"/>
    </row>
    <row r="90" spans="2:7" x14ac:dyDescent="0.25">
      <c r="E90" s="11"/>
      <c r="F90" s="11"/>
      <c r="G90" s="11"/>
    </row>
    <row r="91" spans="2:7" x14ac:dyDescent="0.25">
      <c r="E91" s="11"/>
      <c r="F91" s="11"/>
      <c r="G91" s="1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56C9-3B17-4315-9BC9-A6B1841AEBC4}">
  <dimension ref="A1:K94"/>
  <sheetViews>
    <sheetView zoomScale="110" zoomScaleNormal="110" workbookViewId="0">
      <selection activeCell="A3" sqref="A3:D26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51">
        <v>46113</v>
      </c>
      <c r="B3" s="227" t="s">
        <v>9</v>
      </c>
      <c r="C3" s="82" t="s">
        <v>300</v>
      </c>
      <c r="D3" s="82">
        <v>420</v>
      </c>
      <c r="E3" s="82"/>
      <c r="F3" s="82">
        <v>34.369999999999997</v>
      </c>
      <c r="G3" s="82"/>
      <c r="H3" s="123">
        <v>618924</v>
      </c>
      <c r="I3" s="90" t="s">
        <v>301</v>
      </c>
      <c r="J3" s="212"/>
      <c r="K3" s="241"/>
    </row>
    <row r="4" spans="1:11" x14ac:dyDescent="0.25">
      <c r="A4" s="251">
        <v>46116</v>
      </c>
      <c r="B4" s="227" t="s">
        <v>300</v>
      </c>
      <c r="C4" s="82" t="s">
        <v>118</v>
      </c>
      <c r="D4" s="82">
        <v>85</v>
      </c>
      <c r="E4" s="82"/>
      <c r="F4" s="82"/>
      <c r="G4" s="82"/>
      <c r="H4" s="128" t="s">
        <v>66</v>
      </c>
      <c r="I4" s="90"/>
      <c r="J4" s="212"/>
      <c r="K4" s="241"/>
    </row>
    <row r="5" spans="1:11" x14ac:dyDescent="0.25">
      <c r="A5" s="251">
        <v>46116</v>
      </c>
      <c r="B5" s="82" t="s">
        <v>118</v>
      </c>
      <c r="C5" s="124" t="s">
        <v>385</v>
      </c>
      <c r="D5" s="82">
        <v>1460</v>
      </c>
      <c r="E5" s="82"/>
      <c r="F5" s="82"/>
      <c r="G5" s="82"/>
      <c r="H5" s="90">
        <v>81348</v>
      </c>
      <c r="I5" s="215" t="s">
        <v>399</v>
      </c>
      <c r="J5" s="212"/>
      <c r="K5" s="241"/>
    </row>
    <row r="6" spans="1:11" x14ac:dyDescent="0.25">
      <c r="A6" s="251">
        <v>46118</v>
      </c>
      <c r="B6" s="124" t="s">
        <v>385</v>
      </c>
      <c r="C6" s="124" t="s">
        <v>9</v>
      </c>
      <c r="D6" s="82">
        <v>1070</v>
      </c>
      <c r="E6" s="82"/>
      <c r="F6" s="82"/>
      <c r="G6" s="82"/>
      <c r="H6" s="83" t="s">
        <v>66</v>
      </c>
      <c r="I6" s="90"/>
      <c r="J6" s="212"/>
      <c r="K6" s="241"/>
    </row>
    <row r="7" spans="1:11" x14ac:dyDescent="0.25">
      <c r="A7" s="251">
        <v>46120</v>
      </c>
      <c r="B7" s="82" t="s">
        <v>9</v>
      </c>
      <c r="C7" s="124" t="s">
        <v>103</v>
      </c>
      <c r="D7" s="82">
        <v>180</v>
      </c>
      <c r="E7" s="82"/>
      <c r="F7" s="82"/>
      <c r="G7" s="82"/>
      <c r="H7" s="123">
        <v>765183</v>
      </c>
      <c r="I7" s="90"/>
      <c r="J7" s="212"/>
      <c r="K7" s="241"/>
    </row>
    <row r="8" spans="1:11" x14ac:dyDescent="0.25">
      <c r="A8" s="251">
        <v>46121</v>
      </c>
      <c r="B8" s="82" t="s">
        <v>103</v>
      </c>
      <c r="C8" s="124" t="s">
        <v>9</v>
      </c>
      <c r="D8" s="82">
        <v>220</v>
      </c>
      <c r="E8" s="82"/>
      <c r="F8" s="82"/>
      <c r="G8" s="82"/>
      <c r="H8" s="123">
        <v>33295</v>
      </c>
      <c r="I8" s="90" t="s">
        <v>395</v>
      </c>
      <c r="J8" s="212"/>
      <c r="K8" s="241"/>
    </row>
    <row r="9" spans="1:11" x14ac:dyDescent="0.25">
      <c r="A9" s="251">
        <v>46121</v>
      </c>
      <c r="B9" s="82" t="s">
        <v>9</v>
      </c>
      <c r="C9" s="82" t="s">
        <v>295</v>
      </c>
      <c r="D9" s="82">
        <v>390</v>
      </c>
      <c r="E9" s="82"/>
      <c r="F9" s="82"/>
      <c r="G9" s="82"/>
      <c r="H9" s="123">
        <v>293586</v>
      </c>
      <c r="I9" s="90" t="s">
        <v>15</v>
      </c>
      <c r="J9" s="212"/>
      <c r="K9" s="241"/>
    </row>
    <row r="10" spans="1:11" x14ac:dyDescent="0.25">
      <c r="A10" s="251">
        <v>46122</v>
      </c>
      <c r="B10" s="82" t="s">
        <v>295</v>
      </c>
      <c r="C10" s="82" t="s">
        <v>118</v>
      </c>
      <c r="D10" s="82">
        <v>130</v>
      </c>
      <c r="E10" s="82"/>
      <c r="F10" s="82"/>
      <c r="G10" s="82"/>
      <c r="H10" s="128" t="s">
        <v>66</v>
      </c>
      <c r="I10" s="90"/>
      <c r="J10" s="212"/>
      <c r="K10" s="241"/>
    </row>
    <row r="11" spans="1:11" x14ac:dyDescent="0.25">
      <c r="A11" s="251">
        <v>46122</v>
      </c>
      <c r="B11" s="82" t="s">
        <v>118</v>
      </c>
      <c r="C11" s="124" t="s">
        <v>146</v>
      </c>
      <c r="D11" s="82">
        <v>1430</v>
      </c>
      <c r="E11" s="82"/>
      <c r="F11" s="82"/>
      <c r="G11" s="82"/>
      <c r="H11" s="123">
        <v>120334</v>
      </c>
      <c r="I11" s="90" t="s">
        <v>147</v>
      </c>
      <c r="J11" s="212"/>
      <c r="K11" s="241"/>
    </row>
    <row r="12" spans="1:11" x14ac:dyDescent="0.25">
      <c r="A12" s="251">
        <v>46125</v>
      </c>
      <c r="B12" s="82" t="s">
        <v>146</v>
      </c>
      <c r="C12" s="124" t="s">
        <v>227</v>
      </c>
      <c r="D12" s="82">
        <v>160</v>
      </c>
      <c r="E12" s="82"/>
      <c r="F12" s="82"/>
      <c r="G12" s="82"/>
      <c r="H12" s="128" t="s">
        <v>66</v>
      </c>
      <c r="I12" s="90"/>
      <c r="J12" s="212"/>
      <c r="K12" s="241"/>
    </row>
    <row r="13" spans="1:11" x14ac:dyDescent="0.25">
      <c r="A13" s="251">
        <v>46125</v>
      </c>
      <c r="B13" s="82" t="s">
        <v>296</v>
      </c>
      <c r="C13" s="124" t="s">
        <v>9</v>
      </c>
      <c r="D13" s="82">
        <v>820</v>
      </c>
      <c r="E13" s="82"/>
      <c r="F13" s="82">
        <v>35.6</v>
      </c>
      <c r="G13" s="82"/>
      <c r="H13" s="90">
        <v>189435</v>
      </c>
      <c r="I13" s="90" t="s">
        <v>304</v>
      </c>
      <c r="J13" s="212"/>
      <c r="K13" s="241"/>
    </row>
    <row r="14" spans="1:11" x14ac:dyDescent="0.25">
      <c r="A14" s="251">
        <v>46127</v>
      </c>
      <c r="B14" s="82" t="s">
        <v>9</v>
      </c>
      <c r="C14" s="82" t="s">
        <v>104</v>
      </c>
      <c r="D14" s="82">
        <v>320</v>
      </c>
      <c r="E14" s="82"/>
      <c r="F14" s="82"/>
      <c r="G14" s="82"/>
      <c r="H14" s="123">
        <v>766334</v>
      </c>
      <c r="I14" s="90"/>
      <c r="J14" s="212"/>
      <c r="K14" s="241"/>
    </row>
    <row r="15" spans="1:11" x14ac:dyDescent="0.25">
      <c r="A15" s="251">
        <v>46128</v>
      </c>
      <c r="B15" s="82" t="s">
        <v>104</v>
      </c>
      <c r="C15" s="82" t="s">
        <v>9</v>
      </c>
      <c r="D15" s="82">
        <v>320</v>
      </c>
      <c r="E15" s="82"/>
      <c r="F15" s="82"/>
      <c r="G15" s="82"/>
      <c r="H15" s="123" t="s">
        <v>102</v>
      </c>
      <c r="I15" s="90" t="s">
        <v>306</v>
      </c>
      <c r="J15" s="212"/>
      <c r="K15" s="241"/>
    </row>
    <row r="16" spans="1:11" x14ac:dyDescent="0.25">
      <c r="A16" s="91">
        <v>46129</v>
      </c>
      <c r="B16" s="82" t="s">
        <v>9</v>
      </c>
      <c r="C16" s="124" t="s">
        <v>351</v>
      </c>
      <c r="D16" s="82">
        <v>1010</v>
      </c>
      <c r="E16" s="82"/>
      <c r="F16" s="82">
        <v>34.44</v>
      </c>
      <c r="G16" s="82"/>
      <c r="H16" s="90">
        <v>619867</v>
      </c>
      <c r="I16" s="90" t="s">
        <v>257</v>
      </c>
      <c r="J16" s="212"/>
      <c r="K16" s="241"/>
    </row>
    <row r="17" spans="1:11" x14ac:dyDescent="0.25">
      <c r="A17" s="91">
        <v>46132</v>
      </c>
      <c r="B17" s="82" t="s">
        <v>351</v>
      </c>
      <c r="C17" s="124" t="s">
        <v>227</v>
      </c>
      <c r="D17" s="82">
        <v>240</v>
      </c>
      <c r="E17" s="82"/>
      <c r="F17" s="82"/>
      <c r="G17" s="82"/>
      <c r="H17" s="83" t="s">
        <v>66</v>
      </c>
      <c r="I17" s="90"/>
      <c r="J17" s="212"/>
      <c r="K17" s="241"/>
    </row>
    <row r="18" spans="1:11" x14ac:dyDescent="0.25">
      <c r="A18" s="91">
        <v>46132</v>
      </c>
      <c r="B18" s="82" t="s">
        <v>296</v>
      </c>
      <c r="C18" s="124" t="s">
        <v>351</v>
      </c>
      <c r="D18" s="82">
        <v>240</v>
      </c>
      <c r="E18" s="82"/>
      <c r="F18" s="82">
        <v>34.1</v>
      </c>
      <c r="G18" s="82"/>
      <c r="H18" s="90">
        <v>189737</v>
      </c>
      <c r="I18" s="90" t="s">
        <v>431</v>
      </c>
      <c r="J18" s="212"/>
      <c r="K18" s="241"/>
    </row>
    <row r="19" spans="1:11" x14ac:dyDescent="0.25">
      <c r="A19" s="91">
        <v>46133</v>
      </c>
      <c r="B19" s="82" t="s">
        <v>351</v>
      </c>
      <c r="C19" s="124" t="s">
        <v>227</v>
      </c>
      <c r="D19" s="82">
        <v>240</v>
      </c>
      <c r="E19" s="82"/>
      <c r="F19" s="82"/>
      <c r="G19" s="82"/>
      <c r="H19" s="83" t="s">
        <v>66</v>
      </c>
      <c r="I19" s="90"/>
      <c r="J19" s="212"/>
      <c r="K19" s="241"/>
    </row>
    <row r="20" spans="1:11" x14ac:dyDescent="0.25">
      <c r="A20" s="91">
        <v>46133</v>
      </c>
      <c r="B20" s="82" t="s">
        <v>296</v>
      </c>
      <c r="C20" s="124" t="s">
        <v>9</v>
      </c>
      <c r="D20" s="82">
        <v>820</v>
      </c>
      <c r="E20" s="82"/>
      <c r="F20" s="82">
        <v>33.799999999999997</v>
      </c>
      <c r="G20" s="82"/>
      <c r="H20" s="90">
        <v>189789</v>
      </c>
      <c r="I20" s="90" t="s">
        <v>304</v>
      </c>
      <c r="J20" s="212"/>
      <c r="K20" s="241"/>
    </row>
    <row r="21" spans="1:11" x14ac:dyDescent="0.25">
      <c r="A21" s="251">
        <v>46135</v>
      </c>
      <c r="B21" s="82" t="s">
        <v>9</v>
      </c>
      <c r="C21" s="124" t="s">
        <v>300</v>
      </c>
      <c r="D21" s="82">
        <v>430</v>
      </c>
      <c r="E21" s="82"/>
      <c r="F21" s="82">
        <v>34.96</v>
      </c>
      <c r="G21" s="82"/>
      <c r="H21" s="90">
        <v>294382</v>
      </c>
      <c r="I21" s="90" t="s">
        <v>15</v>
      </c>
      <c r="J21" s="212"/>
      <c r="K21" s="241"/>
    </row>
    <row r="22" spans="1:11" x14ac:dyDescent="0.25">
      <c r="A22" s="251">
        <v>46136</v>
      </c>
      <c r="B22" s="82" t="s">
        <v>300</v>
      </c>
      <c r="C22" s="82" t="s">
        <v>10</v>
      </c>
      <c r="D22" s="82">
        <v>150</v>
      </c>
      <c r="E22" s="82"/>
      <c r="F22" s="82"/>
      <c r="G22" s="82"/>
      <c r="H22" s="128" t="s">
        <v>66</v>
      </c>
      <c r="I22" s="90"/>
      <c r="J22" s="212"/>
      <c r="K22" s="241"/>
    </row>
    <row r="23" spans="1:11" x14ac:dyDescent="0.25">
      <c r="A23" s="251">
        <v>46137</v>
      </c>
      <c r="B23" s="82" t="s">
        <v>10</v>
      </c>
      <c r="C23" s="82" t="s">
        <v>9</v>
      </c>
      <c r="D23" s="82">
        <v>500</v>
      </c>
      <c r="E23" s="82"/>
      <c r="F23" s="82">
        <v>35.14</v>
      </c>
      <c r="G23" s="82"/>
      <c r="H23" s="288">
        <v>1067043</v>
      </c>
      <c r="I23" s="90" t="s">
        <v>368</v>
      </c>
      <c r="J23" s="212"/>
      <c r="K23" s="241"/>
    </row>
    <row r="24" spans="1:11" x14ac:dyDescent="0.25">
      <c r="A24" s="251">
        <v>46139</v>
      </c>
      <c r="B24" s="82" t="s">
        <v>9</v>
      </c>
      <c r="C24" s="124" t="s">
        <v>300</v>
      </c>
      <c r="D24" s="82">
        <v>430</v>
      </c>
      <c r="E24" s="82"/>
      <c r="F24" s="82">
        <v>34.64</v>
      </c>
      <c r="G24" s="82"/>
      <c r="H24" s="90" t="s">
        <v>471</v>
      </c>
      <c r="I24" s="90" t="s">
        <v>15</v>
      </c>
      <c r="J24" s="212"/>
      <c r="K24" s="241"/>
    </row>
    <row r="25" spans="1:11" x14ac:dyDescent="0.25">
      <c r="A25" s="251">
        <v>46140</v>
      </c>
      <c r="B25" s="82" t="s">
        <v>300</v>
      </c>
      <c r="C25" s="82" t="s">
        <v>118</v>
      </c>
      <c r="D25" s="82">
        <v>100</v>
      </c>
      <c r="E25" s="82"/>
      <c r="F25" s="82"/>
      <c r="G25" s="82"/>
      <c r="H25" s="128" t="s">
        <v>66</v>
      </c>
      <c r="I25" s="90"/>
      <c r="J25" s="212"/>
      <c r="K25" s="241"/>
    </row>
    <row r="26" spans="1:11" x14ac:dyDescent="0.25">
      <c r="A26" s="251">
        <v>46140</v>
      </c>
      <c r="B26" s="82" t="s">
        <v>118</v>
      </c>
      <c r="C26" s="124" t="s">
        <v>385</v>
      </c>
      <c r="D26" s="82">
        <v>1560</v>
      </c>
      <c r="E26" s="82"/>
      <c r="F26" s="82"/>
      <c r="G26" s="82"/>
      <c r="H26" s="90" t="s">
        <v>252</v>
      </c>
      <c r="I26" s="90" t="s">
        <v>386</v>
      </c>
      <c r="J26" s="212"/>
      <c r="K26" s="241"/>
    </row>
    <row r="27" spans="1:11" x14ac:dyDescent="0.25">
      <c r="A27" s="251"/>
      <c r="B27" s="82"/>
      <c r="C27" s="82"/>
      <c r="D27" s="151" t="s">
        <v>472</v>
      </c>
      <c r="E27" s="82"/>
      <c r="F27" s="82"/>
      <c r="G27" s="82"/>
      <c r="H27" s="128"/>
      <c r="I27" s="90"/>
      <c r="J27" s="212"/>
      <c r="K27" s="241"/>
    </row>
    <row r="28" spans="1:11" x14ac:dyDescent="0.25">
      <c r="A28" s="5"/>
      <c r="B28" s="6"/>
      <c r="C28" s="6"/>
      <c r="D28" s="6"/>
      <c r="E28" s="6"/>
      <c r="F28" s="6"/>
      <c r="G28" s="6"/>
      <c r="H28" s="7"/>
      <c r="I28" s="7"/>
      <c r="J28" s="140"/>
      <c r="K28" s="242"/>
    </row>
    <row r="29" spans="1:11" x14ac:dyDescent="0.25">
      <c r="D29" s="17">
        <f>SUM(D3:D28)</f>
        <v>12725</v>
      </c>
      <c r="E29" s="13"/>
      <c r="F29" s="13">
        <f>AVERAGE(F3:F27)</f>
        <v>34.631250000000001</v>
      </c>
      <c r="G29" s="13"/>
      <c r="J29" s="139">
        <f>SUM(J3:J28)</f>
        <v>0</v>
      </c>
      <c r="K29" s="243">
        <f>SUM(K3:K28)</f>
        <v>0</v>
      </c>
    </row>
    <row r="34" spans="2:11" x14ac:dyDescent="0.25">
      <c r="D34" s="11"/>
    </row>
    <row r="35" spans="2:11" x14ac:dyDescent="0.25">
      <c r="D35" s="11"/>
    </row>
    <row r="36" spans="2:11" x14ac:dyDescent="0.25">
      <c r="D36" s="11"/>
    </row>
    <row r="37" spans="2:11" x14ac:dyDescent="0.25">
      <c r="B37" s="230">
        <v>-10000</v>
      </c>
      <c r="C37" s="11" t="s">
        <v>93</v>
      </c>
      <c r="D37" s="11"/>
      <c r="E37" s="11"/>
      <c r="F37" s="11"/>
      <c r="G37" s="89"/>
      <c r="K37" s="4"/>
    </row>
    <row r="38" spans="2:11" x14ac:dyDescent="0.25">
      <c r="B38" s="230">
        <v>23000</v>
      </c>
      <c r="C38" s="11" t="s">
        <v>12</v>
      </c>
      <c r="D38" s="11">
        <v>45435</v>
      </c>
      <c r="E38" s="11"/>
      <c r="F38" s="11"/>
      <c r="G38" s="89"/>
      <c r="K38" s="4"/>
    </row>
    <row r="39" spans="2:11" x14ac:dyDescent="0.25">
      <c r="B39" s="230">
        <v>-23000</v>
      </c>
      <c r="C39" s="11" t="s">
        <v>13</v>
      </c>
      <c r="D39" s="11"/>
      <c r="E39" s="11"/>
      <c r="F39" s="11"/>
      <c r="G39" s="89"/>
      <c r="K39" s="4"/>
    </row>
    <row r="40" spans="2:11" x14ac:dyDescent="0.25">
      <c r="B40" s="230">
        <v>3600</v>
      </c>
      <c r="C40" s="11" t="s">
        <v>138</v>
      </c>
      <c r="D40" s="11"/>
      <c r="E40" s="11"/>
      <c r="F40" s="11"/>
      <c r="G40" s="89"/>
      <c r="K40" s="4"/>
    </row>
    <row r="41" spans="2:11" x14ac:dyDescent="0.25">
      <c r="B41" s="230">
        <v>-3600</v>
      </c>
      <c r="C41" s="11" t="s">
        <v>13</v>
      </c>
      <c r="D41" s="11">
        <v>45447</v>
      </c>
      <c r="E41" s="11"/>
      <c r="F41" s="11"/>
      <c r="G41" s="89"/>
      <c r="K41" s="4"/>
    </row>
    <row r="42" spans="2:11" x14ac:dyDescent="0.25">
      <c r="B42" s="230">
        <v>4700</v>
      </c>
      <c r="C42" s="11" t="s">
        <v>138</v>
      </c>
      <c r="D42" s="11">
        <v>45586</v>
      </c>
      <c r="E42" s="11"/>
      <c r="F42" s="11"/>
      <c r="G42" s="89"/>
      <c r="K42" s="4"/>
    </row>
    <row r="43" spans="2:11" x14ac:dyDescent="0.25">
      <c r="B43" s="230">
        <v>-4700</v>
      </c>
      <c r="C43" s="11" t="s">
        <v>13</v>
      </c>
      <c r="D43" s="11"/>
      <c r="E43" s="11"/>
      <c r="F43" s="11"/>
      <c r="G43" s="89"/>
      <c r="K43" s="4"/>
    </row>
    <row r="44" spans="2:11" x14ac:dyDescent="0.25">
      <c r="B44" s="230">
        <v>1800</v>
      </c>
      <c r="C44" s="11" t="s">
        <v>303</v>
      </c>
      <c r="D44" s="11">
        <v>45902</v>
      </c>
      <c r="E44" s="11"/>
      <c r="F44" s="11"/>
      <c r="G44" s="89"/>
      <c r="K44" s="4"/>
    </row>
    <row r="45" spans="2:11" x14ac:dyDescent="0.25">
      <c r="B45" s="230">
        <v>-2000</v>
      </c>
      <c r="C45" s="11" t="s">
        <v>13</v>
      </c>
      <c r="D45" s="11"/>
      <c r="E45" s="11"/>
      <c r="F45" s="11"/>
      <c r="G45" s="89"/>
      <c r="K45" s="4"/>
    </row>
    <row r="46" spans="2:11" x14ac:dyDescent="0.25">
      <c r="B46" s="230">
        <v>4400</v>
      </c>
      <c r="C46" s="11" t="s">
        <v>138</v>
      </c>
      <c r="D46" s="11">
        <v>46091</v>
      </c>
      <c r="E46" s="11"/>
      <c r="F46" s="11"/>
      <c r="G46" s="89"/>
      <c r="K46" s="4"/>
    </row>
    <row r="47" spans="2:11" x14ac:dyDescent="0.25">
      <c r="B47" s="230">
        <v>-15000</v>
      </c>
      <c r="C47" s="11" t="s">
        <v>13</v>
      </c>
      <c r="D47" s="11"/>
      <c r="E47" s="11"/>
      <c r="F47" s="11"/>
      <c r="G47" s="89"/>
      <c r="K47" s="4"/>
    </row>
    <row r="48" spans="2:11" x14ac:dyDescent="0.25">
      <c r="B48" s="135">
        <f>SUM(B36:B47)</f>
        <v>-20800</v>
      </c>
      <c r="C48" s="11">
        <v>46091</v>
      </c>
      <c r="D48" s="11"/>
      <c r="E48" s="11"/>
      <c r="F48" s="11"/>
      <c r="G48" s="11"/>
      <c r="K48" s="4"/>
    </row>
    <row r="49" spans="2:11" x14ac:dyDescent="0.25">
      <c r="B49" s="11"/>
      <c r="D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C53" s="11"/>
      <c r="E53" s="11"/>
      <c r="F53" s="11"/>
      <c r="G53" s="11"/>
      <c r="K53" s="4"/>
    </row>
    <row r="54" spans="2:11" x14ac:dyDescent="0.25">
      <c r="B54" s="11"/>
      <c r="E54" s="4"/>
      <c r="K54" s="4"/>
    </row>
    <row r="55" spans="2:11" x14ac:dyDescent="0.25">
      <c r="B55" s="11"/>
      <c r="F55" s="11"/>
      <c r="G55" s="11"/>
      <c r="I55" s="173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I59" s="4"/>
    </row>
    <row r="60" spans="2:11" x14ac:dyDescent="0.25">
      <c r="B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11" x14ac:dyDescent="0.25">
      <c r="B65" s="11"/>
      <c r="D65" s="11"/>
      <c r="E65" s="11"/>
      <c r="F65" s="11"/>
      <c r="G65" s="11"/>
      <c r="K65" s="4"/>
    </row>
    <row r="66" spans="2:11" x14ac:dyDescent="0.25">
      <c r="B66" s="11"/>
      <c r="E66" s="11"/>
      <c r="F66" s="11"/>
      <c r="G66" s="11"/>
      <c r="K66" s="4"/>
    </row>
    <row r="67" spans="2:11" x14ac:dyDescent="0.25">
      <c r="B67" s="11"/>
      <c r="E67" s="11"/>
      <c r="F67" s="11"/>
      <c r="G67" s="11"/>
      <c r="K67" s="4"/>
    </row>
    <row r="68" spans="2:11" x14ac:dyDescent="0.25">
      <c r="B68" s="11"/>
      <c r="E68" s="11"/>
      <c r="F68" s="11"/>
      <c r="G68" s="11"/>
      <c r="K68" s="4"/>
    </row>
    <row r="69" spans="2:11" x14ac:dyDescent="0.25">
      <c r="B69" s="11"/>
      <c r="E69" s="11"/>
      <c r="F69" s="11"/>
      <c r="G69" s="11"/>
      <c r="K69" s="4"/>
    </row>
    <row r="70" spans="2:11" x14ac:dyDescent="0.25">
      <c r="B70" s="11"/>
      <c r="E70" s="11"/>
      <c r="F70" s="11"/>
      <c r="G70" s="11"/>
      <c r="K70" s="4"/>
    </row>
    <row r="71" spans="2:11" x14ac:dyDescent="0.25">
      <c r="B71" s="11"/>
      <c r="E71" s="11"/>
      <c r="F71" s="11"/>
      <c r="G71" s="11"/>
      <c r="K71" s="4"/>
    </row>
    <row r="72" spans="2:11" x14ac:dyDescent="0.25">
      <c r="B72" s="11"/>
      <c r="E72" s="11"/>
      <c r="F72" s="11"/>
      <c r="G72" s="11"/>
    </row>
    <row r="73" spans="2:11" x14ac:dyDescent="0.25">
      <c r="B73" s="11"/>
      <c r="E73" s="11"/>
      <c r="F73" s="11"/>
      <c r="G73" s="11"/>
    </row>
    <row r="74" spans="2:11" x14ac:dyDescent="0.25">
      <c r="B74" s="11"/>
      <c r="E74" s="11"/>
      <c r="F74" s="11"/>
      <c r="G74" s="11"/>
    </row>
    <row r="75" spans="2:11" x14ac:dyDescent="0.25">
      <c r="B75" s="11"/>
      <c r="E75" s="11"/>
      <c r="F75" s="11"/>
      <c r="G75" s="11"/>
    </row>
    <row r="76" spans="2:11" x14ac:dyDescent="0.25">
      <c r="B76" s="11"/>
      <c r="E76" s="11"/>
      <c r="F76" s="11"/>
      <c r="G76" s="11"/>
    </row>
    <row r="77" spans="2:11" x14ac:dyDescent="0.25">
      <c r="B77" s="11"/>
      <c r="E77" s="11"/>
      <c r="F77" s="11"/>
      <c r="G77" s="11"/>
    </row>
    <row r="78" spans="2:11" x14ac:dyDescent="0.25">
      <c r="B78" s="11"/>
      <c r="E78" s="11"/>
      <c r="F78" s="11"/>
      <c r="G78" s="11"/>
    </row>
    <row r="79" spans="2:11" x14ac:dyDescent="0.25">
      <c r="B79" s="11"/>
      <c r="E79" s="11"/>
      <c r="F79" s="11"/>
      <c r="G79" s="11"/>
    </row>
    <row r="80" spans="2:11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B84" s="11"/>
      <c r="E84" s="11"/>
      <c r="F84" s="11"/>
      <c r="G84" s="11"/>
    </row>
    <row r="85" spans="2:7" x14ac:dyDescent="0.25">
      <c r="B85" s="11"/>
      <c r="E85" s="11"/>
      <c r="F85" s="11"/>
      <c r="G85" s="11"/>
    </row>
    <row r="86" spans="2:7" x14ac:dyDescent="0.25">
      <c r="B86" s="11"/>
      <c r="E86" s="11"/>
      <c r="F86" s="11"/>
      <c r="G86" s="11"/>
    </row>
    <row r="87" spans="2:7" x14ac:dyDescent="0.25">
      <c r="B87" s="11"/>
      <c r="E87" s="11"/>
      <c r="F87" s="11"/>
      <c r="G87" s="11"/>
    </row>
    <row r="88" spans="2:7" x14ac:dyDescent="0.25">
      <c r="B88" s="11"/>
      <c r="E88" s="11"/>
      <c r="F88" s="11"/>
      <c r="G88" s="11"/>
    </row>
    <row r="89" spans="2:7" x14ac:dyDescent="0.25">
      <c r="E89" s="11"/>
      <c r="F89" s="11"/>
      <c r="G89" s="11"/>
    </row>
    <row r="90" spans="2:7" x14ac:dyDescent="0.25">
      <c r="E90" s="11"/>
      <c r="F90" s="11"/>
      <c r="G90" s="11"/>
    </row>
    <row r="91" spans="2:7" x14ac:dyDescent="0.25">
      <c r="E91" s="11"/>
      <c r="F91" s="11"/>
      <c r="G91" s="11"/>
    </row>
    <row r="92" spans="2:7" x14ac:dyDescent="0.25">
      <c r="E92" s="11"/>
      <c r="F92" s="11"/>
      <c r="G92" s="11"/>
    </row>
    <row r="93" spans="2:7" x14ac:dyDescent="0.25">
      <c r="E93" s="11"/>
      <c r="F93" s="11"/>
      <c r="G93" s="11"/>
    </row>
    <row r="94" spans="2:7" x14ac:dyDescent="0.25">
      <c r="E94" s="11"/>
      <c r="F94" s="11"/>
      <c r="G94" s="11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C216-E273-486D-AD87-DC0EA340F44F}">
  <dimension ref="A1:K89"/>
  <sheetViews>
    <sheetView zoomScale="110" zoomScaleNormal="110" workbookViewId="0">
      <selection activeCell="A3" sqref="A3:D17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6.140625" bestFit="1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358</v>
      </c>
      <c r="C3" s="124" t="s">
        <v>9</v>
      </c>
      <c r="D3" s="82">
        <v>1080</v>
      </c>
      <c r="E3" s="82"/>
      <c r="F3" s="82"/>
      <c r="G3" s="82"/>
      <c r="H3" s="83" t="s">
        <v>66</v>
      </c>
      <c r="I3" s="90"/>
      <c r="J3" s="212"/>
      <c r="K3" s="241"/>
    </row>
    <row r="4" spans="1:11" x14ac:dyDescent="0.25">
      <c r="A4" s="91">
        <v>46119</v>
      </c>
      <c r="B4" s="82" t="s">
        <v>9</v>
      </c>
      <c r="C4" s="124" t="s">
        <v>389</v>
      </c>
      <c r="D4" s="82">
        <v>340</v>
      </c>
      <c r="E4" s="82"/>
      <c r="F4" s="277" t="s">
        <v>405</v>
      </c>
      <c r="G4" s="277" t="s">
        <v>406</v>
      </c>
      <c r="H4" s="284"/>
      <c r="I4" s="279" t="s">
        <v>407</v>
      </c>
      <c r="J4" s="212"/>
      <c r="K4" s="241"/>
    </row>
    <row r="5" spans="1:11" x14ac:dyDescent="0.25">
      <c r="A5" s="91">
        <v>46120</v>
      </c>
      <c r="B5" s="82" t="s">
        <v>389</v>
      </c>
      <c r="C5" s="124" t="s">
        <v>9</v>
      </c>
      <c r="D5" s="82">
        <v>340</v>
      </c>
      <c r="E5" s="82"/>
      <c r="F5" s="82"/>
      <c r="G5" s="82"/>
      <c r="H5" s="128" t="s">
        <v>66</v>
      </c>
      <c r="I5" s="90"/>
      <c r="J5" s="212"/>
      <c r="K5" s="241"/>
    </row>
    <row r="6" spans="1:11" x14ac:dyDescent="0.25">
      <c r="A6" s="91">
        <v>46122</v>
      </c>
      <c r="B6" s="82" t="s">
        <v>9</v>
      </c>
      <c r="C6" s="82" t="s">
        <v>295</v>
      </c>
      <c r="D6" s="82">
        <v>390</v>
      </c>
      <c r="E6" s="82"/>
      <c r="F6" s="82"/>
      <c r="G6" s="82"/>
      <c r="H6" s="123">
        <v>293675</v>
      </c>
      <c r="I6" s="90" t="s">
        <v>15</v>
      </c>
      <c r="J6" s="212"/>
      <c r="K6" s="241"/>
    </row>
    <row r="7" spans="1:11" x14ac:dyDescent="0.25">
      <c r="A7" s="91">
        <v>46125</v>
      </c>
      <c r="B7" s="82" t="s">
        <v>295</v>
      </c>
      <c r="C7" s="82" t="s">
        <v>118</v>
      </c>
      <c r="D7" s="82">
        <v>130</v>
      </c>
      <c r="E7" s="82"/>
      <c r="F7" s="82"/>
      <c r="G7" s="82"/>
      <c r="H7" s="128" t="s">
        <v>66</v>
      </c>
      <c r="I7" s="90"/>
      <c r="J7" s="212"/>
      <c r="K7" s="241"/>
    </row>
    <row r="8" spans="1:11" x14ac:dyDescent="0.25">
      <c r="A8" s="91">
        <v>46125</v>
      </c>
      <c r="B8" s="82" t="s">
        <v>118</v>
      </c>
      <c r="C8" s="124" t="s">
        <v>385</v>
      </c>
      <c r="D8" s="82">
        <v>1560</v>
      </c>
      <c r="E8" s="82"/>
      <c r="F8" s="82"/>
      <c r="G8" s="82"/>
      <c r="H8" s="90">
        <v>120844</v>
      </c>
      <c r="I8" s="90" t="s">
        <v>386</v>
      </c>
      <c r="J8" s="212"/>
      <c r="K8" s="241"/>
    </row>
    <row r="9" spans="1:11" x14ac:dyDescent="0.25">
      <c r="A9" s="91">
        <v>46128</v>
      </c>
      <c r="B9" s="124" t="s">
        <v>385</v>
      </c>
      <c r="C9" s="124" t="s">
        <v>227</v>
      </c>
      <c r="D9" s="82">
        <v>270</v>
      </c>
      <c r="E9" s="82"/>
      <c r="F9" s="82"/>
      <c r="G9" s="82"/>
      <c r="H9" s="83" t="s">
        <v>66</v>
      </c>
      <c r="I9" s="90"/>
      <c r="J9" s="212"/>
      <c r="K9" s="241"/>
    </row>
    <row r="10" spans="1:11" x14ac:dyDescent="0.25">
      <c r="A10" s="91">
        <v>46128</v>
      </c>
      <c r="B10" s="82" t="s">
        <v>296</v>
      </c>
      <c r="C10" s="124" t="s">
        <v>9</v>
      </c>
      <c r="D10" s="82">
        <v>820</v>
      </c>
      <c r="E10" s="82"/>
      <c r="F10" s="82">
        <v>33.5</v>
      </c>
      <c r="G10" s="82"/>
      <c r="H10" s="90">
        <v>189562</v>
      </c>
      <c r="I10" s="90" t="s">
        <v>304</v>
      </c>
      <c r="J10" s="212"/>
      <c r="K10" s="241"/>
    </row>
    <row r="11" spans="1:11" x14ac:dyDescent="0.25">
      <c r="A11" s="91">
        <v>46133</v>
      </c>
      <c r="B11" s="82" t="s">
        <v>9</v>
      </c>
      <c r="C11" s="124" t="s">
        <v>351</v>
      </c>
      <c r="D11" s="82">
        <v>1010</v>
      </c>
      <c r="E11" s="82"/>
      <c r="F11" s="82">
        <v>35.51</v>
      </c>
      <c r="G11" s="82"/>
      <c r="H11" s="90">
        <v>620077</v>
      </c>
      <c r="I11" s="90" t="s">
        <v>257</v>
      </c>
      <c r="J11" s="212"/>
      <c r="K11" s="241"/>
    </row>
    <row r="12" spans="1:11" x14ac:dyDescent="0.25">
      <c r="A12" s="91">
        <v>46135</v>
      </c>
      <c r="B12" s="82" t="s">
        <v>351</v>
      </c>
      <c r="C12" s="124" t="s">
        <v>227</v>
      </c>
      <c r="D12" s="82">
        <v>240</v>
      </c>
      <c r="E12" s="82"/>
      <c r="F12" s="82"/>
      <c r="G12" s="82"/>
      <c r="H12" s="83" t="s">
        <v>66</v>
      </c>
      <c r="I12" s="90"/>
      <c r="J12" s="212"/>
      <c r="K12" s="241"/>
    </row>
    <row r="13" spans="1:11" x14ac:dyDescent="0.25">
      <c r="A13" s="91">
        <v>46136</v>
      </c>
      <c r="B13" s="82" t="s">
        <v>296</v>
      </c>
      <c r="C13" s="124" t="s">
        <v>9</v>
      </c>
      <c r="D13" s="82">
        <v>820</v>
      </c>
      <c r="E13" s="82"/>
      <c r="F13" s="82">
        <v>36</v>
      </c>
      <c r="G13" s="82"/>
      <c r="H13" s="90">
        <v>189885</v>
      </c>
      <c r="I13" s="90" t="s">
        <v>304</v>
      </c>
      <c r="J13" s="212"/>
      <c r="K13" s="241"/>
    </row>
    <row r="14" spans="1:11" x14ac:dyDescent="0.25">
      <c r="A14" s="91">
        <v>46139</v>
      </c>
      <c r="B14" s="82" t="s">
        <v>9</v>
      </c>
      <c r="C14" s="124" t="s">
        <v>104</v>
      </c>
      <c r="D14" s="82">
        <v>320</v>
      </c>
      <c r="E14" s="82"/>
      <c r="F14" s="82"/>
      <c r="G14" s="82"/>
      <c r="H14" s="288">
        <v>768379</v>
      </c>
      <c r="I14" s="90"/>
      <c r="J14" s="212"/>
      <c r="K14" s="241"/>
    </row>
    <row r="15" spans="1:11" x14ac:dyDescent="0.25">
      <c r="A15" s="91">
        <v>46140</v>
      </c>
      <c r="B15" s="82" t="s">
        <v>104</v>
      </c>
      <c r="C15" s="124" t="s">
        <v>9</v>
      </c>
      <c r="D15" s="82">
        <v>320</v>
      </c>
      <c r="E15" s="82"/>
      <c r="F15" s="82"/>
      <c r="G15" s="82"/>
      <c r="H15" s="128" t="s">
        <v>473</v>
      </c>
      <c r="I15" s="90"/>
      <c r="J15" s="212"/>
      <c r="K15" s="241"/>
    </row>
    <row r="16" spans="1:11" x14ac:dyDescent="0.25">
      <c r="A16" s="91">
        <v>46141</v>
      </c>
      <c r="B16" s="82" t="s">
        <v>9</v>
      </c>
      <c r="C16" s="124" t="s">
        <v>351</v>
      </c>
      <c r="D16" s="82">
        <v>1010</v>
      </c>
      <c r="E16" s="82"/>
      <c r="F16" s="82"/>
      <c r="G16" s="82"/>
      <c r="H16" s="90">
        <v>620513</v>
      </c>
      <c r="I16" s="90" t="s">
        <v>257</v>
      </c>
      <c r="J16" s="212"/>
      <c r="K16" s="241"/>
    </row>
    <row r="17" spans="1:11" x14ac:dyDescent="0.25">
      <c r="A17" s="91">
        <v>46142</v>
      </c>
      <c r="B17" s="82" t="s">
        <v>351</v>
      </c>
      <c r="C17" s="124" t="s">
        <v>227</v>
      </c>
      <c r="D17" s="82">
        <v>240</v>
      </c>
      <c r="E17" s="82"/>
      <c r="F17" s="82"/>
      <c r="G17" s="82"/>
      <c r="H17" s="83" t="s">
        <v>66</v>
      </c>
      <c r="I17" s="90"/>
      <c r="J17" s="212"/>
      <c r="K17" s="241"/>
    </row>
    <row r="18" spans="1:11" x14ac:dyDescent="0.25">
      <c r="A18" s="91"/>
      <c r="B18" s="82"/>
      <c r="C18" s="124"/>
      <c r="D18" s="151" t="s">
        <v>373</v>
      </c>
      <c r="E18" s="82"/>
      <c r="F18" s="82"/>
      <c r="G18" s="82"/>
      <c r="H18" s="128"/>
      <c r="I18" s="90"/>
      <c r="J18" s="212"/>
      <c r="K18" s="241"/>
    </row>
    <row r="19" spans="1:11" x14ac:dyDescent="0.25">
      <c r="A19" s="5"/>
      <c r="B19" s="6"/>
      <c r="C19" s="6"/>
      <c r="D19" s="6"/>
      <c r="E19" s="6"/>
      <c r="F19" s="6"/>
      <c r="G19" s="6"/>
      <c r="H19" s="7"/>
      <c r="I19" s="7"/>
      <c r="J19" s="140"/>
      <c r="K19" s="242"/>
    </row>
    <row r="20" spans="1:11" x14ac:dyDescent="0.25">
      <c r="D20" s="17">
        <f>SUM(D3:D19)</f>
        <v>8890</v>
      </c>
      <c r="E20" s="13"/>
      <c r="F20" s="13"/>
      <c r="G20" s="13" t="e">
        <f>AVERAGE(G3:G18)</f>
        <v>#DIV/0!</v>
      </c>
      <c r="J20" s="139">
        <f>SUM(J3:J19)</f>
        <v>0</v>
      </c>
      <c r="K20" s="243">
        <f>SUM(K3:K19)</f>
        <v>0</v>
      </c>
    </row>
    <row r="25" spans="1:11" x14ac:dyDescent="0.25">
      <c r="D25" s="11"/>
    </row>
    <row r="26" spans="1:11" x14ac:dyDescent="0.25">
      <c r="D26" s="11"/>
    </row>
    <row r="27" spans="1:11" x14ac:dyDescent="0.25">
      <c r="D27" s="11"/>
    </row>
    <row r="28" spans="1:11" x14ac:dyDescent="0.25">
      <c r="B28" s="230">
        <v>-10000</v>
      </c>
      <c r="C28" s="11" t="s">
        <v>93</v>
      </c>
      <c r="D28" s="11"/>
      <c r="E28" s="11"/>
      <c r="F28" s="11"/>
      <c r="G28" s="89"/>
      <c r="K28" s="4"/>
    </row>
    <row r="29" spans="1:11" x14ac:dyDescent="0.25">
      <c r="B29" s="230">
        <v>3600</v>
      </c>
      <c r="C29" s="11" t="s">
        <v>12</v>
      </c>
      <c r="D29" s="11"/>
      <c r="E29" s="11"/>
      <c r="F29" s="11"/>
      <c r="G29" s="89"/>
      <c r="K29" s="4"/>
    </row>
    <row r="30" spans="1:11" x14ac:dyDescent="0.25">
      <c r="B30" s="230">
        <v>-4000</v>
      </c>
      <c r="C30" s="11" t="s">
        <v>93</v>
      </c>
      <c r="D30" s="11"/>
      <c r="E30" s="11"/>
      <c r="F30" s="11"/>
      <c r="G30" s="89"/>
      <c r="K30" s="4"/>
    </row>
    <row r="31" spans="1:11" x14ac:dyDescent="0.25">
      <c r="B31" s="230">
        <v>10000</v>
      </c>
      <c r="C31" s="11" t="s">
        <v>141</v>
      </c>
      <c r="D31" s="11">
        <v>45483</v>
      </c>
      <c r="E31" s="11"/>
      <c r="F31" s="11"/>
      <c r="G31" s="89"/>
      <c r="K31" s="4"/>
    </row>
    <row r="32" spans="1:11" x14ac:dyDescent="0.25">
      <c r="B32" s="230">
        <v>-10000</v>
      </c>
      <c r="C32" s="11" t="s">
        <v>13</v>
      </c>
      <c r="D32" s="11">
        <v>45483</v>
      </c>
      <c r="E32" s="11"/>
      <c r="F32" s="11"/>
      <c r="G32" s="89"/>
      <c r="K32" s="4"/>
    </row>
    <row r="33" spans="2:11" x14ac:dyDescent="0.25">
      <c r="B33" s="230">
        <v>-2400</v>
      </c>
      <c r="C33" s="11" t="s">
        <v>175</v>
      </c>
      <c r="D33" s="11">
        <v>45488</v>
      </c>
      <c r="E33" s="11"/>
      <c r="F33" s="11"/>
      <c r="G33" s="89"/>
      <c r="K33" s="4"/>
    </row>
    <row r="34" spans="2:11" x14ac:dyDescent="0.25">
      <c r="B34" s="230">
        <v>37700</v>
      </c>
      <c r="C34" s="11" t="s">
        <v>12</v>
      </c>
      <c r="D34" s="11"/>
      <c r="E34" s="11"/>
      <c r="F34" s="11"/>
      <c r="G34" s="89"/>
      <c r="K34" s="4"/>
    </row>
    <row r="35" spans="2:11" x14ac:dyDescent="0.25">
      <c r="B35" s="230">
        <v>-37700</v>
      </c>
      <c r="C35" s="11" t="s">
        <v>13</v>
      </c>
      <c r="D35" s="11"/>
      <c r="E35" s="11"/>
      <c r="F35" s="11"/>
      <c r="G35" s="89"/>
      <c r="K35" s="4"/>
    </row>
    <row r="36" spans="2:11" x14ac:dyDescent="0.25">
      <c r="B36" s="230">
        <v>60800</v>
      </c>
      <c r="C36" s="11" t="s">
        <v>74</v>
      </c>
      <c r="D36" s="11">
        <v>45829</v>
      </c>
      <c r="E36" s="11"/>
      <c r="F36" s="11"/>
      <c r="G36" s="89"/>
      <c r="K36" s="4"/>
    </row>
    <row r="37" spans="2:11" x14ac:dyDescent="0.25">
      <c r="B37" s="230">
        <v>-60800</v>
      </c>
      <c r="C37" s="11" t="s">
        <v>74</v>
      </c>
      <c r="D37" s="11">
        <v>45829</v>
      </c>
      <c r="E37" s="11"/>
      <c r="F37" s="11"/>
      <c r="G37" s="89"/>
      <c r="K37" s="4"/>
    </row>
    <row r="38" spans="2:11" x14ac:dyDescent="0.25">
      <c r="B38" s="230">
        <v>4000</v>
      </c>
      <c r="C38" s="11" t="s">
        <v>12</v>
      </c>
      <c r="D38" s="11">
        <v>45917</v>
      </c>
      <c r="E38" s="11"/>
      <c r="F38" s="11"/>
      <c r="G38" s="89"/>
      <c r="K38" s="4"/>
    </row>
    <row r="39" spans="2:11" x14ac:dyDescent="0.25">
      <c r="B39" s="230">
        <v>-4000</v>
      </c>
      <c r="C39" s="11" t="s">
        <v>71</v>
      </c>
      <c r="D39" s="11"/>
      <c r="E39" s="11"/>
      <c r="F39" s="11"/>
      <c r="G39" s="89"/>
      <c r="K39" s="4"/>
    </row>
    <row r="40" spans="2:11" x14ac:dyDescent="0.25">
      <c r="B40" s="230">
        <v>25000</v>
      </c>
      <c r="C40" s="11" t="s">
        <v>141</v>
      </c>
      <c r="D40" s="11">
        <v>46091</v>
      </c>
      <c r="E40" s="11"/>
      <c r="F40" s="11"/>
      <c r="G40" s="89"/>
      <c r="K40" s="4"/>
    </row>
    <row r="41" spans="2:11" x14ac:dyDescent="0.25">
      <c r="B41" s="230">
        <v>2200</v>
      </c>
      <c r="C41" s="11" t="s">
        <v>12</v>
      </c>
      <c r="D41" s="11"/>
      <c r="E41" s="11"/>
      <c r="F41" s="11"/>
      <c r="G41" s="89"/>
      <c r="K41" s="4"/>
    </row>
    <row r="42" spans="2:11" x14ac:dyDescent="0.25">
      <c r="B42" s="230">
        <v>-35000</v>
      </c>
      <c r="C42" s="11" t="s">
        <v>71</v>
      </c>
      <c r="D42" s="11"/>
      <c r="E42" s="11"/>
      <c r="F42" s="11"/>
      <c r="G42" s="89"/>
      <c r="K42" s="4"/>
    </row>
    <row r="43" spans="2:11" x14ac:dyDescent="0.25">
      <c r="B43" s="135">
        <f>SUM(B27:B42)</f>
        <v>-20600</v>
      </c>
      <c r="C43" s="11">
        <v>46091</v>
      </c>
      <c r="D43" s="11"/>
      <c r="E43" s="11"/>
      <c r="F43" s="11"/>
      <c r="G43" s="11"/>
      <c r="K43" s="4"/>
    </row>
    <row r="44" spans="2:11" x14ac:dyDescent="0.25">
      <c r="B44" s="11"/>
      <c r="D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C48" s="11"/>
      <c r="E48" s="11"/>
      <c r="F48" s="11"/>
      <c r="G48" s="11"/>
      <c r="K48" s="4"/>
    </row>
    <row r="49" spans="2:11" x14ac:dyDescent="0.25">
      <c r="B49" s="11"/>
      <c r="E49" s="4"/>
      <c r="K49" s="4"/>
    </row>
    <row r="50" spans="2:11" x14ac:dyDescent="0.25">
      <c r="B50" s="11"/>
      <c r="F50" s="11"/>
      <c r="G50" s="11"/>
      <c r="I50" s="173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I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D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11" x14ac:dyDescent="0.25">
      <c r="B65" s="11"/>
      <c r="E65" s="11"/>
      <c r="F65" s="11"/>
      <c r="G65" s="11"/>
      <c r="K65" s="4"/>
    </row>
    <row r="66" spans="2:11" x14ac:dyDescent="0.25">
      <c r="B66" s="11"/>
      <c r="E66" s="11"/>
      <c r="F66" s="11"/>
      <c r="G66" s="11"/>
      <c r="K66" s="4"/>
    </row>
    <row r="67" spans="2:11" x14ac:dyDescent="0.25">
      <c r="B67" s="11"/>
      <c r="E67" s="11"/>
      <c r="F67" s="11"/>
      <c r="G67" s="11"/>
    </row>
    <row r="68" spans="2:11" x14ac:dyDescent="0.25">
      <c r="B68" s="11"/>
      <c r="E68" s="11"/>
      <c r="F68" s="11"/>
      <c r="G68" s="11"/>
    </row>
    <row r="69" spans="2:11" x14ac:dyDescent="0.25">
      <c r="B69" s="11"/>
      <c r="E69" s="11"/>
      <c r="F69" s="11"/>
      <c r="G69" s="11"/>
    </row>
    <row r="70" spans="2:11" x14ac:dyDescent="0.25">
      <c r="B70" s="11"/>
      <c r="E70" s="11"/>
      <c r="F70" s="11"/>
      <c r="G70" s="11"/>
    </row>
    <row r="71" spans="2:11" x14ac:dyDescent="0.25">
      <c r="B71" s="11"/>
      <c r="E71" s="11"/>
      <c r="F71" s="11"/>
      <c r="G71" s="11"/>
    </row>
    <row r="72" spans="2:11" x14ac:dyDescent="0.25">
      <c r="B72" s="11"/>
      <c r="E72" s="11"/>
      <c r="F72" s="11"/>
      <c r="G72" s="11"/>
    </row>
    <row r="73" spans="2:11" x14ac:dyDescent="0.25">
      <c r="B73" s="11"/>
      <c r="E73" s="11"/>
      <c r="F73" s="11"/>
      <c r="G73" s="11"/>
    </row>
    <row r="74" spans="2:11" x14ac:dyDescent="0.25">
      <c r="B74" s="11"/>
      <c r="E74" s="11"/>
      <c r="F74" s="11"/>
      <c r="G74" s="11"/>
    </row>
    <row r="75" spans="2:11" x14ac:dyDescent="0.25">
      <c r="B75" s="11"/>
      <c r="E75" s="11"/>
      <c r="F75" s="11"/>
      <c r="G75" s="11"/>
    </row>
    <row r="76" spans="2:11" x14ac:dyDescent="0.25">
      <c r="B76" s="11"/>
      <c r="E76" s="11"/>
      <c r="F76" s="11"/>
      <c r="G76" s="11"/>
    </row>
    <row r="77" spans="2:11" x14ac:dyDescent="0.25">
      <c r="B77" s="11"/>
      <c r="E77" s="11"/>
      <c r="F77" s="11"/>
      <c r="G77" s="11"/>
    </row>
    <row r="78" spans="2:11" x14ac:dyDescent="0.25">
      <c r="B78" s="11"/>
      <c r="E78" s="11"/>
      <c r="F78" s="11"/>
      <c r="G78" s="11"/>
    </row>
    <row r="79" spans="2:11" x14ac:dyDescent="0.25">
      <c r="B79" s="11"/>
      <c r="E79" s="11"/>
      <c r="F79" s="11"/>
      <c r="G79" s="11"/>
    </row>
    <row r="80" spans="2:11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E84" s="11"/>
      <c r="F84" s="11"/>
      <c r="G84" s="11"/>
    </row>
    <row r="85" spans="2:7" x14ac:dyDescent="0.25">
      <c r="E85" s="11"/>
      <c r="F85" s="11"/>
      <c r="G85" s="11"/>
    </row>
    <row r="86" spans="2:7" x14ac:dyDescent="0.25">
      <c r="E86" s="11"/>
      <c r="F86" s="11"/>
      <c r="G86" s="11"/>
    </row>
    <row r="87" spans="2:7" x14ac:dyDescent="0.25">
      <c r="E87" s="11"/>
      <c r="F87" s="11"/>
      <c r="G87" s="11"/>
    </row>
    <row r="88" spans="2:7" x14ac:dyDescent="0.25">
      <c r="E88" s="11"/>
      <c r="F88" s="11"/>
      <c r="G88" s="11"/>
    </row>
    <row r="89" spans="2:7" x14ac:dyDescent="0.25">
      <c r="E89" s="11"/>
      <c r="F89" s="11"/>
      <c r="G89" s="11"/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D292-7065-49C0-867D-EBA0068E507D}">
  <dimension ref="A1:K96"/>
  <sheetViews>
    <sheetView zoomScale="110" zoomScaleNormal="110" workbookViewId="0">
      <selection activeCell="K13" sqref="K13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146</v>
      </c>
      <c r="C3" s="124" t="s">
        <v>9</v>
      </c>
      <c r="D3" s="82">
        <v>940</v>
      </c>
      <c r="E3" s="82"/>
      <c r="F3" s="82"/>
      <c r="G3" s="82"/>
      <c r="H3" s="128" t="s">
        <v>66</v>
      </c>
      <c r="I3" s="90"/>
      <c r="J3" s="212"/>
      <c r="K3" s="241"/>
    </row>
    <row r="4" spans="1:11" x14ac:dyDescent="0.25">
      <c r="A4" s="179">
        <v>46119</v>
      </c>
      <c r="B4" s="227" t="s">
        <v>9</v>
      </c>
      <c r="C4" s="124" t="s">
        <v>300</v>
      </c>
      <c r="D4" s="82">
        <v>420</v>
      </c>
      <c r="E4" s="82"/>
      <c r="F4" s="82">
        <v>35.36</v>
      </c>
      <c r="G4" s="82"/>
      <c r="H4" s="123">
        <v>619111</v>
      </c>
      <c r="I4" s="90" t="s">
        <v>257</v>
      </c>
      <c r="J4" s="212"/>
      <c r="K4" s="241"/>
    </row>
    <row r="5" spans="1:11" x14ac:dyDescent="0.25">
      <c r="A5" s="179">
        <v>46119</v>
      </c>
      <c r="B5" s="82" t="s">
        <v>300</v>
      </c>
      <c r="C5" s="124" t="s">
        <v>229</v>
      </c>
      <c r="D5" s="82">
        <v>150</v>
      </c>
      <c r="E5" s="82"/>
      <c r="F5" s="82"/>
      <c r="G5" s="82"/>
      <c r="H5" s="83" t="s">
        <v>66</v>
      </c>
      <c r="I5" s="90"/>
      <c r="J5" s="212"/>
      <c r="K5" s="241"/>
    </row>
    <row r="6" spans="1:11" x14ac:dyDescent="0.25">
      <c r="A6" s="179">
        <v>46119</v>
      </c>
      <c r="B6" s="82" t="s">
        <v>229</v>
      </c>
      <c r="C6" s="124" t="s">
        <v>10</v>
      </c>
      <c r="D6" s="82">
        <v>10</v>
      </c>
      <c r="E6" s="82"/>
      <c r="F6" s="82"/>
      <c r="G6" s="82"/>
      <c r="H6" s="90">
        <v>1063808</v>
      </c>
      <c r="I6" s="90" t="s">
        <v>360</v>
      </c>
      <c r="J6" s="212"/>
      <c r="K6" s="241"/>
    </row>
    <row r="7" spans="1:11" x14ac:dyDescent="0.25">
      <c r="A7" s="179">
        <v>46119</v>
      </c>
      <c r="B7" s="82" t="s">
        <v>10</v>
      </c>
      <c r="C7" s="124" t="s">
        <v>229</v>
      </c>
      <c r="D7" s="82">
        <v>10</v>
      </c>
      <c r="E7" s="82"/>
      <c r="F7" s="82"/>
      <c r="G7" s="82"/>
      <c r="H7" s="128" t="s">
        <v>66</v>
      </c>
      <c r="I7" s="90"/>
      <c r="J7" s="212"/>
      <c r="K7" s="241"/>
    </row>
    <row r="8" spans="1:11" x14ac:dyDescent="0.25">
      <c r="A8" s="179">
        <v>46119</v>
      </c>
      <c r="B8" s="82" t="s">
        <v>229</v>
      </c>
      <c r="C8" s="124" t="s">
        <v>10</v>
      </c>
      <c r="D8" s="82">
        <v>10</v>
      </c>
      <c r="E8" s="82"/>
      <c r="F8" s="82"/>
      <c r="G8" s="82"/>
      <c r="H8" s="123">
        <v>1063834</v>
      </c>
      <c r="I8" s="90" t="s">
        <v>360</v>
      </c>
      <c r="J8" s="212"/>
      <c r="K8" s="241"/>
    </row>
    <row r="9" spans="1:11" x14ac:dyDescent="0.25">
      <c r="A9" s="179">
        <v>46120</v>
      </c>
      <c r="B9" s="82" t="s">
        <v>10</v>
      </c>
      <c r="C9" s="124" t="s">
        <v>229</v>
      </c>
      <c r="D9" s="82">
        <v>10</v>
      </c>
      <c r="E9" s="82"/>
      <c r="F9" s="82"/>
      <c r="G9" s="82"/>
      <c r="H9" s="128" t="s">
        <v>66</v>
      </c>
      <c r="I9" s="90"/>
      <c r="J9" s="212"/>
      <c r="K9" s="241"/>
    </row>
    <row r="10" spans="1:11" x14ac:dyDescent="0.25">
      <c r="A10" s="91">
        <v>46120</v>
      </c>
      <c r="B10" s="82" t="s">
        <v>229</v>
      </c>
      <c r="C10" s="124" t="s">
        <v>10</v>
      </c>
      <c r="D10" s="82">
        <v>10</v>
      </c>
      <c r="E10" s="82"/>
      <c r="F10" s="82"/>
      <c r="G10" s="82"/>
      <c r="H10" s="123">
        <v>1063900</v>
      </c>
      <c r="I10" s="90" t="s">
        <v>360</v>
      </c>
      <c r="J10" s="212"/>
      <c r="K10" s="241"/>
    </row>
    <row r="11" spans="1:11" x14ac:dyDescent="0.25">
      <c r="A11" s="91">
        <v>46120</v>
      </c>
      <c r="B11" s="82" t="s">
        <v>10</v>
      </c>
      <c r="C11" s="124" t="s">
        <v>408</v>
      </c>
      <c r="D11" s="82">
        <v>40</v>
      </c>
      <c r="E11" s="82"/>
      <c r="F11" s="82"/>
      <c r="G11" s="82"/>
      <c r="H11" s="128" t="s">
        <v>66</v>
      </c>
      <c r="I11" s="90"/>
      <c r="J11" s="212"/>
      <c r="K11" s="241"/>
    </row>
    <row r="12" spans="1:11" x14ac:dyDescent="0.25">
      <c r="A12" s="91">
        <v>46120</v>
      </c>
      <c r="B12" s="82" t="s">
        <v>408</v>
      </c>
      <c r="C12" s="124" t="s">
        <v>356</v>
      </c>
      <c r="D12" s="82">
        <v>830</v>
      </c>
      <c r="E12" s="82"/>
      <c r="F12" s="82">
        <v>35.82</v>
      </c>
      <c r="G12" s="82"/>
      <c r="H12" s="123">
        <v>924028</v>
      </c>
      <c r="I12" s="90" t="s">
        <v>409</v>
      </c>
      <c r="J12" s="212"/>
      <c r="K12" s="241">
        <v>1568022.29</v>
      </c>
    </row>
    <row r="13" spans="1:11" x14ac:dyDescent="0.25">
      <c r="A13" s="91">
        <v>46121</v>
      </c>
      <c r="B13" s="82" t="s">
        <v>356</v>
      </c>
      <c r="C13" s="124" t="s">
        <v>340</v>
      </c>
      <c r="D13" s="82">
        <v>380</v>
      </c>
      <c r="E13" s="82"/>
      <c r="F13" s="82"/>
      <c r="G13" s="82"/>
      <c r="H13" s="90">
        <v>503516</v>
      </c>
      <c r="I13" s="90"/>
      <c r="J13" s="212"/>
      <c r="K13" s="241">
        <v>1057200.08</v>
      </c>
    </row>
    <row r="14" spans="1:11" x14ac:dyDescent="0.25">
      <c r="A14" s="91">
        <v>46122</v>
      </c>
      <c r="B14" s="227" t="s">
        <v>340</v>
      </c>
      <c r="C14" s="82" t="s">
        <v>337</v>
      </c>
      <c r="D14" s="82">
        <v>50</v>
      </c>
      <c r="E14" s="82"/>
      <c r="F14" s="82"/>
      <c r="G14" s="82"/>
      <c r="H14" s="128" t="s">
        <v>66</v>
      </c>
      <c r="I14" s="90"/>
      <c r="J14" s="212"/>
      <c r="K14" s="241"/>
    </row>
    <row r="15" spans="1:11" x14ac:dyDescent="0.25">
      <c r="A15" s="91">
        <v>46122</v>
      </c>
      <c r="B15" s="227" t="s">
        <v>337</v>
      </c>
      <c r="C15" s="82" t="s">
        <v>75</v>
      </c>
      <c r="D15" s="82">
        <v>430</v>
      </c>
      <c r="E15" s="82"/>
      <c r="F15" s="82">
        <v>34.82</v>
      </c>
      <c r="G15" s="82"/>
      <c r="H15" s="123">
        <v>303302</v>
      </c>
      <c r="I15" s="90" t="s">
        <v>15</v>
      </c>
      <c r="J15" s="212"/>
      <c r="K15" s="241"/>
    </row>
    <row r="16" spans="1:11" x14ac:dyDescent="0.25">
      <c r="A16" s="91">
        <v>46123</v>
      </c>
      <c r="B16" s="82" t="s">
        <v>75</v>
      </c>
      <c r="C16" s="124" t="s">
        <v>10</v>
      </c>
      <c r="D16" s="82">
        <v>80</v>
      </c>
      <c r="E16" s="82"/>
      <c r="F16" s="82"/>
      <c r="G16" s="82"/>
      <c r="H16" s="83" t="s">
        <v>66</v>
      </c>
      <c r="I16" s="90"/>
      <c r="J16" s="212"/>
      <c r="K16" s="241"/>
    </row>
    <row r="17" spans="1:11" x14ac:dyDescent="0.25">
      <c r="A17" s="91">
        <v>46123</v>
      </c>
      <c r="B17" s="82" t="s">
        <v>10</v>
      </c>
      <c r="C17" s="82" t="s">
        <v>9</v>
      </c>
      <c r="D17" s="82">
        <v>500</v>
      </c>
      <c r="E17" s="82"/>
      <c r="F17" s="82">
        <v>35.04</v>
      </c>
      <c r="G17" s="82"/>
      <c r="H17" s="123">
        <v>1064651</v>
      </c>
      <c r="I17" s="90" t="s">
        <v>368</v>
      </c>
      <c r="J17" s="212"/>
      <c r="K17" s="241"/>
    </row>
    <row r="18" spans="1:11" x14ac:dyDescent="0.25">
      <c r="A18" s="91">
        <v>46125</v>
      </c>
      <c r="B18" s="227" t="s">
        <v>9</v>
      </c>
      <c r="C18" s="124" t="s">
        <v>300</v>
      </c>
      <c r="D18" s="82">
        <v>420</v>
      </c>
      <c r="E18" s="82"/>
      <c r="F18" s="82">
        <v>35.11</v>
      </c>
      <c r="G18" s="82"/>
      <c r="H18" s="123">
        <v>619580</v>
      </c>
      <c r="I18" s="90" t="s">
        <v>257</v>
      </c>
      <c r="J18" s="212"/>
      <c r="K18" s="241"/>
    </row>
    <row r="19" spans="1:11" x14ac:dyDescent="0.25">
      <c r="A19" s="91">
        <v>46126</v>
      </c>
      <c r="B19" s="82" t="s">
        <v>300</v>
      </c>
      <c r="C19" s="124" t="s">
        <v>229</v>
      </c>
      <c r="D19" s="82">
        <v>150</v>
      </c>
      <c r="E19" s="82"/>
      <c r="F19" s="82"/>
      <c r="G19" s="82"/>
      <c r="H19" s="83" t="s">
        <v>66</v>
      </c>
      <c r="I19" s="90"/>
      <c r="J19" s="212"/>
      <c r="K19" s="241"/>
    </row>
    <row r="20" spans="1:11" x14ac:dyDescent="0.25">
      <c r="A20" s="91">
        <v>46126</v>
      </c>
      <c r="B20" s="82" t="s">
        <v>229</v>
      </c>
      <c r="C20" s="124" t="s">
        <v>9</v>
      </c>
      <c r="D20" s="82">
        <v>500</v>
      </c>
      <c r="E20" s="82"/>
      <c r="F20" s="82">
        <v>35.65</v>
      </c>
      <c r="G20" s="82"/>
      <c r="H20" s="123">
        <v>1064946</v>
      </c>
      <c r="I20" s="90" t="s">
        <v>368</v>
      </c>
      <c r="J20" s="212"/>
      <c r="K20" s="241"/>
    </row>
    <row r="21" spans="1:11" x14ac:dyDescent="0.25">
      <c r="A21" s="91">
        <v>46127</v>
      </c>
      <c r="B21" s="82" t="s">
        <v>9</v>
      </c>
      <c r="C21" s="124" t="s">
        <v>351</v>
      </c>
      <c r="D21" s="82">
        <v>1010</v>
      </c>
      <c r="E21" s="82"/>
      <c r="F21" s="82">
        <v>34.96</v>
      </c>
      <c r="G21" s="82"/>
      <c r="H21" s="90">
        <v>619694</v>
      </c>
      <c r="I21" s="90" t="s">
        <v>257</v>
      </c>
      <c r="J21" s="212"/>
      <c r="K21" s="241"/>
    </row>
    <row r="22" spans="1:11" x14ac:dyDescent="0.25">
      <c r="A22" s="91">
        <v>46128</v>
      </c>
      <c r="B22" s="82" t="s">
        <v>351</v>
      </c>
      <c r="C22" s="124" t="s">
        <v>227</v>
      </c>
      <c r="D22" s="82">
        <v>240</v>
      </c>
      <c r="E22" s="82"/>
      <c r="F22" s="82"/>
      <c r="G22" s="82"/>
      <c r="H22" s="83" t="s">
        <v>66</v>
      </c>
      <c r="I22" s="90"/>
      <c r="J22" s="212"/>
      <c r="K22" s="241"/>
    </row>
    <row r="23" spans="1:11" x14ac:dyDescent="0.25">
      <c r="A23" s="91">
        <v>46128</v>
      </c>
      <c r="B23" s="82" t="s">
        <v>296</v>
      </c>
      <c r="C23" s="124" t="s">
        <v>9</v>
      </c>
      <c r="D23" s="82">
        <v>820</v>
      </c>
      <c r="E23" s="82"/>
      <c r="F23" s="82">
        <v>34.700000000000003</v>
      </c>
      <c r="G23" s="82"/>
      <c r="H23" s="90">
        <v>189642</v>
      </c>
      <c r="I23" s="90" t="s">
        <v>304</v>
      </c>
      <c r="J23" s="212"/>
      <c r="K23" s="241"/>
    </row>
    <row r="24" spans="1:11" x14ac:dyDescent="0.25">
      <c r="A24" s="91">
        <v>46129</v>
      </c>
      <c r="B24" s="82" t="s">
        <v>9</v>
      </c>
      <c r="C24" s="82" t="s">
        <v>382</v>
      </c>
      <c r="D24" s="82">
        <v>420</v>
      </c>
      <c r="E24" s="82"/>
      <c r="F24" s="82">
        <v>34.979999999999997</v>
      </c>
      <c r="G24" s="82"/>
      <c r="H24" s="123">
        <v>294162</v>
      </c>
      <c r="I24" s="90" t="s">
        <v>344</v>
      </c>
      <c r="J24" s="212"/>
      <c r="K24" s="241"/>
    </row>
    <row r="25" spans="1:11" x14ac:dyDescent="0.25">
      <c r="A25" s="91">
        <v>46132</v>
      </c>
      <c r="B25" s="82" t="s">
        <v>352</v>
      </c>
      <c r="C25" s="82" t="s">
        <v>118</v>
      </c>
      <c r="D25" s="82">
        <v>150</v>
      </c>
      <c r="E25" s="82"/>
      <c r="F25" s="82"/>
      <c r="G25" s="82"/>
      <c r="H25" s="128" t="s">
        <v>66</v>
      </c>
      <c r="I25" s="90"/>
      <c r="J25" s="212"/>
      <c r="K25" s="241"/>
    </row>
    <row r="26" spans="1:11" x14ac:dyDescent="0.25">
      <c r="A26" s="91">
        <v>46133</v>
      </c>
      <c r="B26" s="82" t="s">
        <v>118</v>
      </c>
      <c r="C26" s="124" t="s">
        <v>146</v>
      </c>
      <c r="D26" s="82">
        <v>1430</v>
      </c>
      <c r="E26" s="82"/>
      <c r="F26" s="82"/>
      <c r="G26" s="82"/>
      <c r="H26" s="90">
        <v>122152</v>
      </c>
      <c r="I26" s="90" t="s">
        <v>147</v>
      </c>
      <c r="J26" s="212"/>
      <c r="K26" s="241"/>
    </row>
    <row r="27" spans="1:11" x14ac:dyDescent="0.25">
      <c r="A27" s="91">
        <v>46135</v>
      </c>
      <c r="B27" s="124" t="s">
        <v>146</v>
      </c>
      <c r="C27" s="124" t="s">
        <v>9</v>
      </c>
      <c r="D27" s="82">
        <v>940</v>
      </c>
      <c r="E27" s="82"/>
      <c r="F27" s="82"/>
      <c r="G27" s="82"/>
      <c r="H27" s="83" t="s">
        <v>66</v>
      </c>
      <c r="I27" s="90"/>
      <c r="J27" s="212"/>
      <c r="K27" s="241"/>
    </row>
    <row r="28" spans="1:11" x14ac:dyDescent="0.25">
      <c r="A28" s="91">
        <v>46137</v>
      </c>
      <c r="B28" s="82" t="s">
        <v>9</v>
      </c>
      <c r="C28" s="124" t="s">
        <v>351</v>
      </c>
      <c r="D28" s="82">
        <v>1010</v>
      </c>
      <c r="E28" s="82"/>
      <c r="F28" s="82">
        <v>36.21</v>
      </c>
      <c r="G28" s="82"/>
      <c r="H28" s="90">
        <v>620320</v>
      </c>
      <c r="I28" s="90" t="s">
        <v>257</v>
      </c>
      <c r="J28" s="212"/>
      <c r="K28" s="241"/>
    </row>
    <row r="29" spans="1:11" x14ac:dyDescent="0.25">
      <c r="A29" s="91">
        <v>46139</v>
      </c>
      <c r="B29" s="82" t="s">
        <v>351</v>
      </c>
      <c r="C29" s="124" t="s">
        <v>227</v>
      </c>
      <c r="D29" s="82">
        <v>240</v>
      </c>
      <c r="E29" s="82"/>
      <c r="F29" s="82"/>
      <c r="G29" s="82"/>
      <c r="H29" s="83" t="s">
        <v>66</v>
      </c>
      <c r="I29" s="90"/>
      <c r="J29" s="212"/>
      <c r="K29" s="241"/>
    </row>
    <row r="30" spans="1:11" x14ac:dyDescent="0.25">
      <c r="A30" s="91">
        <v>46140</v>
      </c>
      <c r="B30" s="82" t="s">
        <v>296</v>
      </c>
      <c r="C30" s="124" t="s">
        <v>9</v>
      </c>
      <c r="D30" s="82">
        <v>820</v>
      </c>
      <c r="E30" s="82"/>
      <c r="F30" s="82">
        <v>35.200000000000003</v>
      </c>
      <c r="G30" s="82"/>
      <c r="H30" s="90">
        <v>189986</v>
      </c>
      <c r="I30" s="90" t="s">
        <v>304</v>
      </c>
      <c r="J30" s="212"/>
      <c r="K30" s="241"/>
    </row>
    <row r="31" spans="1:11" x14ac:dyDescent="0.25">
      <c r="A31" s="91">
        <v>46141</v>
      </c>
      <c r="B31" s="82" t="s">
        <v>9</v>
      </c>
      <c r="C31" s="124" t="s">
        <v>351</v>
      </c>
      <c r="D31" s="82">
        <v>1010</v>
      </c>
      <c r="E31" s="82"/>
      <c r="F31" s="82">
        <v>35.39</v>
      </c>
      <c r="G31" s="82"/>
      <c r="H31" s="90">
        <v>620535</v>
      </c>
      <c r="I31" s="90" t="s">
        <v>257</v>
      </c>
      <c r="J31" s="212"/>
      <c r="K31" s="241"/>
    </row>
    <row r="32" spans="1:11" x14ac:dyDescent="0.25">
      <c r="A32" s="91">
        <v>46142</v>
      </c>
      <c r="B32" s="82" t="s">
        <v>351</v>
      </c>
      <c r="C32" s="124" t="s">
        <v>227</v>
      </c>
      <c r="D32" s="82">
        <v>240</v>
      </c>
      <c r="E32" s="82"/>
      <c r="F32" s="82"/>
      <c r="G32" s="82"/>
      <c r="H32" s="83" t="s">
        <v>66</v>
      </c>
      <c r="I32" s="90"/>
      <c r="J32" s="212"/>
      <c r="K32" s="241"/>
    </row>
    <row r="33" spans="1:11" x14ac:dyDescent="0.25">
      <c r="A33" s="91"/>
      <c r="B33" s="82"/>
      <c r="C33" s="124"/>
      <c r="D33" s="151" t="s">
        <v>453</v>
      </c>
      <c r="E33" s="82"/>
      <c r="F33" s="82"/>
      <c r="G33" s="82"/>
      <c r="H33" s="123"/>
      <c r="I33" s="90"/>
      <c r="J33" s="212"/>
      <c r="K33" s="241"/>
    </row>
    <row r="34" spans="1:11" x14ac:dyDescent="0.25">
      <c r="A34" s="5"/>
      <c r="B34" s="6"/>
      <c r="C34" s="6"/>
      <c r="D34" s="6"/>
      <c r="E34" s="6"/>
      <c r="F34" s="6"/>
      <c r="G34" s="6"/>
      <c r="H34" s="7"/>
      <c r="I34" s="7"/>
      <c r="J34" s="140"/>
      <c r="K34" s="242"/>
    </row>
    <row r="35" spans="1:11" x14ac:dyDescent="0.25">
      <c r="D35" s="17">
        <f>SUM(D3:D34)</f>
        <v>13270</v>
      </c>
      <c r="E35" s="13"/>
      <c r="F35" s="13">
        <f>AVERAGE(F3:F33)</f>
        <v>35.269999999999996</v>
      </c>
      <c r="G35" s="13"/>
      <c r="J35" s="139">
        <f>SUM(J3:J34)</f>
        <v>0</v>
      </c>
      <c r="K35" s="243">
        <f>SUM(K3:K34)</f>
        <v>2625222.37</v>
      </c>
    </row>
    <row r="40" spans="1:11" x14ac:dyDescent="0.25">
      <c r="D40" s="11"/>
    </row>
    <row r="41" spans="1:11" x14ac:dyDescent="0.25">
      <c r="D41" s="11"/>
    </row>
    <row r="42" spans="1:11" x14ac:dyDescent="0.25">
      <c r="D42" s="11"/>
    </row>
    <row r="43" spans="1:11" x14ac:dyDescent="0.25">
      <c r="B43" s="230">
        <v>-10000</v>
      </c>
      <c r="C43" s="11" t="s">
        <v>93</v>
      </c>
      <c r="D43" s="11"/>
      <c r="E43" s="11"/>
      <c r="F43" s="11"/>
      <c r="G43" s="89"/>
      <c r="K43" s="4"/>
    </row>
    <row r="44" spans="1:11" x14ac:dyDescent="0.25">
      <c r="B44" s="230">
        <v>8100</v>
      </c>
      <c r="C44" s="11" t="s">
        <v>12</v>
      </c>
      <c r="D44" s="11"/>
      <c r="E44" s="11"/>
      <c r="F44" s="11"/>
      <c r="G44" s="89"/>
      <c r="K44" s="4"/>
    </row>
    <row r="45" spans="1:11" x14ac:dyDescent="0.25">
      <c r="B45" s="230">
        <v>-8100</v>
      </c>
      <c r="C45" s="11" t="s">
        <v>13</v>
      </c>
      <c r="D45" s="11"/>
      <c r="E45" s="11"/>
      <c r="F45" s="11"/>
      <c r="G45" s="89"/>
      <c r="K45" s="4"/>
    </row>
    <row r="46" spans="1:11" x14ac:dyDescent="0.25">
      <c r="B46" s="230">
        <v>-1000</v>
      </c>
      <c r="C46" s="11" t="s">
        <v>190</v>
      </c>
      <c r="D46" s="11">
        <v>45558</v>
      </c>
      <c r="E46" s="11"/>
      <c r="F46" s="11"/>
      <c r="G46" s="89"/>
      <c r="K46" s="4"/>
    </row>
    <row r="47" spans="1:11" x14ac:dyDescent="0.25">
      <c r="B47" s="230">
        <v>24500</v>
      </c>
      <c r="C47" s="11" t="s">
        <v>12</v>
      </c>
      <c r="D47" s="11">
        <v>45562</v>
      </c>
      <c r="E47" s="11"/>
      <c r="F47" s="11"/>
      <c r="G47" s="89"/>
      <c r="K47" s="4"/>
    </row>
    <row r="48" spans="1:11" x14ac:dyDescent="0.25">
      <c r="B48" s="230">
        <v>-24500</v>
      </c>
      <c r="C48" s="11" t="s">
        <v>93</v>
      </c>
      <c r="D48" s="11">
        <v>45562</v>
      </c>
      <c r="E48" s="11"/>
      <c r="F48" s="11"/>
      <c r="G48" s="89"/>
      <c r="K48" s="4"/>
    </row>
    <row r="49" spans="2:11" x14ac:dyDescent="0.25">
      <c r="B49" s="230">
        <v>5000</v>
      </c>
      <c r="C49" s="11" t="s">
        <v>12</v>
      </c>
      <c r="D49" s="11"/>
      <c r="E49" s="11"/>
      <c r="F49" s="11"/>
      <c r="G49" s="89"/>
      <c r="K49" s="4"/>
    </row>
    <row r="50" spans="2:11" x14ac:dyDescent="0.25">
      <c r="B50" s="135">
        <f>SUM(B42:B49)</f>
        <v>-6000</v>
      </c>
      <c r="C50" s="11">
        <v>45836</v>
      </c>
      <c r="D50" s="11"/>
      <c r="E50" s="11"/>
      <c r="F50" s="11"/>
      <c r="G50" s="11"/>
      <c r="K50" s="4"/>
    </row>
    <row r="51" spans="2:11" x14ac:dyDescent="0.25">
      <c r="B51" s="11"/>
      <c r="D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C55" s="11"/>
      <c r="E55" s="11"/>
      <c r="F55" s="11"/>
      <c r="G55" s="11"/>
      <c r="K55" s="4"/>
    </row>
    <row r="56" spans="2:11" x14ac:dyDescent="0.25">
      <c r="B56" s="11"/>
      <c r="E56" s="4"/>
      <c r="K56" s="4"/>
    </row>
    <row r="57" spans="2:11" x14ac:dyDescent="0.25">
      <c r="B57" s="11"/>
      <c r="F57" s="11"/>
      <c r="G57" s="11"/>
      <c r="I57" s="173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K59" s="4"/>
    </row>
    <row r="60" spans="2:11" x14ac:dyDescent="0.25">
      <c r="B60" s="11"/>
      <c r="E60" s="11"/>
      <c r="F60" s="11"/>
      <c r="G60" s="11"/>
      <c r="K60" s="4"/>
    </row>
    <row r="61" spans="2:11" x14ac:dyDescent="0.25">
      <c r="B61" s="11"/>
      <c r="I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11" x14ac:dyDescent="0.25">
      <c r="B65" s="11"/>
      <c r="E65" s="11"/>
      <c r="F65" s="11"/>
      <c r="G65" s="11"/>
      <c r="K65" s="4"/>
    </row>
    <row r="66" spans="2:11" x14ac:dyDescent="0.25">
      <c r="B66" s="11"/>
      <c r="E66" s="11"/>
      <c r="F66" s="11"/>
      <c r="G66" s="11"/>
      <c r="K66" s="4"/>
    </row>
    <row r="67" spans="2:11" x14ac:dyDescent="0.25">
      <c r="B67" s="11"/>
      <c r="D67" s="11"/>
      <c r="E67" s="11"/>
      <c r="F67" s="11"/>
      <c r="G67" s="11"/>
      <c r="K67" s="4"/>
    </row>
    <row r="68" spans="2:11" x14ac:dyDescent="0.25">
      <c r="B68" s="11"/>
      <c r="E68" s="11"/>
      <c r="F68" s="11"/>
      <c r="G68" s="11"/>
      <c r="K68" s="4"/>
    </row>
    <row r="69" spans="2:11" x14ac:dyDescent="0.25">
      <c r="B69" s="11"/>
      <c r="E69" s="11"/>
      <c r="F69" s="11"/>
      <c r="G69" s="11"/>
      <c r="K69" s="4"/>
    </row>
    <row r="70" spans="2:11" x14ac:dyDescent="0.25">
      <c r="B70" s="11"/>
      <c r="E70" s="11"/>
      <c r="F70" s="11"/>
      <c r="G70" s="11"/>
      <c r="K70" s="4"/>
    </row>
    <row r="71" spans="2:11" x14ac:dyDescent="0.25">
      <c r="B71" s="11"/>
      <c r="E71" s="11"/>
      <c r="F71" s="11"/>
      <c r="G71" s="11"/>
      <c r="K71" s="4"/>
    </row>
    <row r="72" spans="2:11" x14ac:dyDescent="0.25">
      <c r="B72" s="11"/>
      <c r="E72" s="11"/>
      <c r="F72" s="11"/>
      <c r="G72" s="11"/>
      <c r="K72" s="4"/>
    </row>
    <row r="73" spans="2:11" x14ac:dyDescent="0.25">
      <c r="B73" s="11"/>
      <c r="E73" s="11"/>
      <c r="F73" s="11"/>
      <c r="G73" s="11"/>
      <c r="K73" s="4"/>
    </row>
    <row r="74" spans="2:11" x14ac:dyDescent="0.25">
      <c r="B74" s="11"/>
      <c r="E74" s="11"/>
      <c r="F74" s="11"/>
      <c r="G74" s="11"/>
    </row>
    <row r="75" spans="2:11" x14ac:dyDescent="0.25">
      <c r="B75" s="11"/>
      <c r="E75" s="11"/>
      <c r="F75" s="11"/>
      <c r="G75" s="11"/>
    </row>
    <row r="76" spans="2:11" x14ac:dyDescent="0.25">
      <c r="B76" s="11"/>
      <c r="E76" s="11"/>
      <c r="F76" s="11"/>
      <c r="G76" s="11"/>
    </row>
    <row r="77" spans="2:11" x14ac:dyDescent="0.25">
      <c r="B77" s="11"/>
      <c r="E77" s="11"/>
      <c r="F77" s="11"/>
      <c r="G77" s="11"/>
    </row>
    <row r="78" spans="2:11" x14ac:dyDescent="0.25">
      <c r="B78" s="11"/>
      <c r="E78" s="11"/>
      <c r="F78" s="11"/>
      <c r="G78" s="11"/>
    </row>
    <row r="79" spans="2:11" x14ac:dyDescent="0.25">
      <c r="B79" s="11"/>
      <c r="E79" s="11"/>
      <c r="F79" s="11"/>
      <c r="G79" s="11"/>
    </row>
    <row r="80" spans="2:11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B84" s="11"/>
      <c r="E84" s="11"/>
      <c r="F84" s="11"/>
      <c r="G84" s="11"/>
    </row>
    <row r="85" spans="2:7" x14ac:dyDescent="0.25">
      <c r="B85" s="11"/>
      <c r="E85" s="11"/>
      <c r="F85" s="11"/>
      <c r="G85" s="11"/>
    </row>
    <row r="86" spans="2:7" x14ac:dyDescent="0.25">
      <c r="B86" s="11"/>
      <c r="E86" s="11"/>
      <c r="F86" s="11"/>
      <c r="G86" s="11"/>
    </row>
    <row r="87" spans="2:7" x14ac:dyDescent="0.25">
      <c r="B87" s="11"/>
      <c r="E87" s="11"/>
      <c r="F87" s="11"/>
      <c r="G87" s="11"/>
    </row>
    <row r="88" spans="2:7" x14ac:dyDescent="0.25">
      <c r="B88" s="11"/>
      <c r="E88" s="11"/>
      <c r="F88" s="11"/>
      <c r="G88" s="11"/>
    </row>
    <row r="89" spans="2:7" x14ac:dyDescent="0.25">
      <c r="B89" s="11"/>
      <c r="E89" s="11"/>
      <c r="F89" s="11"/>
      <c r="G89" s="11"/>
    </row>
    <row r="90" spans="2:7" x14ac:dyDescent="0.25">
      <c r="B90" s="11"/>
      <c r="E90" s="11"/>
      <c r="F90" s="11"/>
      <c r="G90" s="11"/>
    </row>
    <row r="91" spans="2:7" x14ac:dyDescent="0.25">
      <c r="E91" s="11"/>
      <c r="F91" s="11"/>
      <c r="G91" s="11"/>
    </row>
    <row r="92" spans="2:7" x14ac:dyDescent="0.25">
      <c r="E92" s="11"/>
      <c r="F92" s="11"/>
      <c r="G92" s="11"/>
    </row>
    <row r="93" spans="2:7" x14ac:dyDescent="0.25">
      <c r="E93" s="11"/>
      <c r="F93" s="11"/>
      <c r="G93" s="11"/>
    </row>
    <row r="94" spans="2:7" x14ac:dyDescent="0.25">
      <c r="E94" s="11"/>
      <c r="F94" s="11"/>
      <c r="G94" s="11"/>
    </row>
    <row r="95" spans="2:7" x14ac:dyDescent="0.25">
      <c r="E95" s="11"/>
      <c r="F95" s="11"/>
      <c r="G95" s="11"/>
    </row>
    <row r="96" spans="2:7" x14ac:dyDescent="0.25">
      <c r="E96" s="11"/>
      <c r="F96" s="11"/>
      <c r="G96" s="11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D171-6FD9-458A-8FD7-B96CD3CE26BD}">
  <dimension ref="A1:K77"/>
  <sheetViews>
    <sheetView zoomScale="110" zoomScaleNormal="110" workbookViewId="0">
      <selection activeCell="A3" sqref="A3:D12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74">
        <v>46111</v>
      </c>
      <c r="B3" s="82" t="s">
        <v>118</v>
      </c>
      <c r="C3" s="124" t="s">
        <v>358</v>
      </c>
      <c r="D3" s="82">
        <v>1490</v>
      </c>
      <c r="E3" s="82"/>
      <c r="F3" s="82"/>
      <c r="G3" s="82"/>
      <c r="H3" s="123">
        <v>118243</v>
      </c>
      <c r="I3" s="90" t="s">
        <v>359</v>
      </c>
      <c r="J3" s="292" t="s">
        <v>419</v>
      </c>
      <c r="K3" s="241"/>
    </row>
    <row r="4" spans="1:11" x14ac:dyDescent="0.25">
      <c r="A4" s="274">
        <v>46114</v>
      </c>
      <c r="B4" s="82" t="s">
        <v>358</v>
      </c>
      <c r="C4" s="124" t="s">
        <v>9</v>
      </c>
      <c r="D4" s="82">
        <v>970</v>
      </c>
      <c r="E4" s="82"/>
      <c r="F4" s="82"/>
      <c r="G4" s="82"/>
      <c r="H4" s="83" t="s">
        <v>66</v>
      </c>
      <c r="I4" s="90"/>
      <c r="J4" s="292"/>
      <c r="K4" s="241"/>
    </row>
    <row r="5" spans="1:11" x14ac:dyDescent="0.25">
      <c r="A5" s="274">
        <v>46126</v>
      </c>
      <c r="B5" s="82" t="s">
        <v>9</v>
      </c>
      <c r="C5" s="124" t="s">
        <v>351</v>
      </c>
      <c r="D5" s="82">
        <v>1030</v>
      </c>
      <c r="E5" s="82"/>
      <c r="F5" s="82">
        <v>33.15</v>
      </c>
      <c r="G5" s="82"/>
      <c r="H5" s="90">
        <v>619652</v>
      </c>
      <c r="I5" s="90" t="s">
        <v>257</v>
      </c>
      <c r="J5" s="291" t="s">
        <v>493</v>
      </c>
      <c r="K5" s="241"/>
    </row>
    <row r="6" spans="1:11" x14ac:dyDescent="0.25">
      <c r="A6" s="274">
        <v>46128</v>
      </c>
      <c r="B6" s="82" t="s">
        <v>351</v>
      </c>
      <c r="C6" s="124" t="s">
        <v>227</v>
      </c>
      <c r="D6" s="82">
        <v>240</v>
      </c>
      <c r="E6" s="82"/>
      <c r="F6" s="82"/>
      <c r="G6" s="82"/>
      <c r="H6" s="83" t="s">
        <v>66</v>
      </c>
      <c r="I6" s="90"/>
      <c r="J6" s="291"/>
      <c r="K6" s="241"/>
    </row>
    <row r="7" spans="1:11" x14ac:dyDescent="0.25">
      <c r="A7" s="274">
        <v>46128</v>
      </c>
      <c r="B7" s="82" t="s">
        <v>296</v>
      </c>
      <c r="C7" s="124" t="s">
        <v>9</v>
      </c>
      <c r="D7" s="82">
        <v>820</v>
      </c>
      <c r="E7" s="82"/>
      <c r="F7" s="82">
        <v>33.700000000000003</v>
      </c>
      <c r="G7" s="82"/>
      <c r="H7" s="90">
        <v>189639</v>
      </c>
      <c r="I7" s="90" t="s">
        <v>304</v>
      </c>
      <c r="J7" s="291"/>
      <c r="K7" s="241"/>
    </row>
    <row r="8" spans="1:11" x14ac:dyDescent="0.25">
      <c r="A8" s="274">
        <v>46133</v>
      </c>
      <c r="B8" s="82" t="s">
        <v>9</v>
      </c>
      <c r="C8" s="124" t="s">
        <v>351</v>
      </c>
      <c r="D8" s="82">
        <v>1030</v>
      </c>
      <c r="E8" s="82"/>
      <c r="F8" s="82">
        <v>32.21</v>
      </c>
      <c r="G8" s="82"/>
      <c r="H8" s="90">
        <v>620075</v>
      </c>
      <c r="I8" s="90" t="s">
        <v>257</v>
      </c>
      <c r="J8" s="291"/>
      <c r="K8" s="241"/>
    </row>
    <row r="9" spans="1:11" x14ac:dyDescent="0.25">
      <c r="A9" s="274">
        <v>46135</v>
      </c>
      <c r="B9" s="82" t="s">
        <v>351</v>
      </c>
      <c r="C9" s="124" t="s">
        <v>227</v>
      </c>
      <c r="D9" s="82">
        <v>240</v>
      </c>
      <c r="E9" s="82"/>
      <c r="F9" s="82"/>
      <c r="G9" s="82"/>
      <c r="H9" s="83" t="s">
        <v>66</v>
      </c>
      <c r="I9" s="90"/>
      <c r="J9" s="291"/>
      <c r="K9" s="241"/>
    </row>
    <row r="10" spans="1:11" x14ac:dyDescent="0.25">
      <c r="A10" s="274">
        <v>46135</v>
      </c>
      <c r="B10" s="82" t="s">
        <v>296</v>
      </c>
      <c r="C10" s="124" t="s">
        <v>9</v>
      </c>
      <c r="D10" s="82">
        <v>820</v>
      </c>
      <c r="E10" s="82"/>
      <c r="F10" s="82">
        <v>34.5</v>
      </c>
      <c r="G10" s="82"/>
      <c r="H10" s="90">
        <v>189845</v>
      </c>
      <c r="I10" s="90" t="s">
        <v>304</v>
      </c>
      <c r="J10" s="291"/>
      <c r="K10" s="241"/>
    </row>
    <row r="11" spans="1:11" x14ac:dyDescent="0.25">
      <c r="A11" s="274">
        <v>46139</v>
      </c>
      <c r="B11" s="82" t="s">
        <v>9</v>
      </c>
      <c r="C11" s="124" t="s">
        <v>385</v>
      </c>
      <c r="D11" s="82">
        <v>1070</v>
      </c>
      <c r="E11" s="82"/>
      <c r="F11" s="82"/>
      <c r="G11" s="82" t="s">
        <v>494</v>
      </c>
      <c r="H11" s="90" t="s">
        <v>252</v>
      </c>
      <c r="I11" s="90" t="s">
        <v>495</v>
      </c>
      <c r="J11" s="292" t="s">
        <v>419</v>
      </c>
      <c r="K11" s="241"/>
    </row>
    <row r="12" spans="1:11" x14ac:dyDescent="0.25">
      <c r="A12" s="274">
        <v>46141</v>
      </c>
      <c r="B12" s="124" t="s">
        <v>385</v>
      </c>
      <c r="C12" s="124" t="s">
        <v>9</v>
      </c>
      <c r="D12" s="82">
        <v>1070</v>
      </c>
      <c r="E12" s="82"/>
      <c r="F12" s="82"/>
      <c r="G12" s="82"/>
      <c r="H12" s="83" t="s">
        <v>66</v>
      </c>
      <c r="I12" s="90"/>
      <c r="J12" s="292"/>
      <c r="K12" s="241"/>
    </row>
    <row r="13" spans="1:11" x14ac:dyDescent="0.25">
      <c r="A13" s="274"/>
      <c r="B13" s="82"/>
      <c r="C13" s="124"/>
      <c r="D13" s="151" t="s">
        <v>372</v>
      </c>
      <c r="E13" s="82"/>
      <c r="F13" s="82"/>
      <c r="G13" s="82"/>
      <c r="H13" s="83"/>
      <c r="I13" s="90"/>
      <c r="J13" s="212"/>
      <c r="K13" s="241"/>
    </row>
    <row r="14" spans="1:11" x14ac:dyDescent="0.25">
      <c r="A14" s="5"/>
      <c r="B14" s="6"/>
      <c r="C14" s="6"/>
      <c r="D14" s="6"/>
      <c r="E14" s="6"/>
      <c r="F14" s="6"/>
      <c r="G14" s="6"/>
      <c r="H14" s="7"/>
      <c r="I14" s="7"/>
      <c r="J14" s="140"/>
      <c r="K14" s="242"/>
    </row>
    <row r="15" spans="1:11" x14ac:dyDescent="0.25">
      <c r="D15" s="17">
        <f>SUM(D3:D14)</f>
        <v>8780</v>
      </c>
      <c r="E15" s="13"/>
      <c r="F15" s="13">
        <f>AVERAGE(F3:F13)</f>
        <v>33.39</v>
      </c>
      <c r="G15" s="13"/>
      <c r="J15" s="139">
        <f>SUM(J3:J14)</f>
        <v>0</v>
      </c>
      <c r="K15" s="243">
        <f>SUM(K3:K14)</f>
        <v>0</v>
      </c>
    </row>
    <row r="20" spans="2:11" x14ac:dyDescent="0.25">
      <c r="D20" s="11"/>
    </row>
    <row r="21" spans="2:11" x14ac:dyDescent="0.25">
      <c r="D21" s="11"/>
    </row>
    <row r="22" spans="2:11" x14ac:dyDescent="0.25">
      <c r="D22" s="11"/>
    </row>
    <row r="23" spans="2:11" x14ac:dyDescent="0.25">
      <c r="B23" s="230">
        <v>-10000</v>
      </c>
      <c r="C23" s="11" t="s">
        <v>93</v>
      </c>
      <c r="D23" s="11"/>
      <c r="E23" s="11"/>
      <c r="F23" s="11"/>
      <c r="G23" s="89"/>
      <c r="K23" s="4"/>
    </row>
    <row r="24" spans="2:11" x14ac:dyDescent="0.25">
      <c r="B24" s="230">
        <v>8750</v>
      </c>
      <c r="C24" s="11" t="s">
        <v>74</v>
      </c>
      <c r="D24" s="11"/>
      <c r="E24" s="11"/>
      <c r="F24" s="11"/>
      <c r="G24" s="89"/>
      <c r="K24" s="4"/>
    </row>
    <row r="25" spans="2:11" x14ac:dyDescent="0.25">
      <c r="B25" s="230">
        <v>-8750</v>
      </c>
      <c r="C25" s="11" t="s">
        <v>93</v>
      </c>
      <c r="D25" s="11">
        <v>45478</v>
      </c>
      <c r="E25" s="11"/>
      <c r="F25" s="11"/>
      <c r="G25" s="89"/>
      <c r="K25" s="4"/>
    </row>
    <row r="26" spans="2:11" x14ac:dyDescent="0.25">
      <c r="B26" s="230">
        <v>5600</v>
      </c>
      <c r="C26" s="11" t="s">
        <v>74</v>
      </c>
      <c r="D26" s="11"/>
      <c r="E26" s="11"/>
      <c r="F26" s="11"/>
      <c r="G26" s="89"/>
      <c r="K26" s="4"/>
    </row>
    <row r="27" spans="2:11" x14ac:dyDescent="0.25">
      <c r="B27" s="230">
        <v>-5600</v>
      </c>
      <c r="C27" s="11" t="s">
        <v>93</v>
      </c>
      <c r="D27" s="11">
        <v>45831</v>
      </c>
      <c r="E27" s="11"/>
      <c r="F27" s="11"/>
      <c r="G27" s="89"/>
      <c r="K27" s="4"/>
    </row>
    <row r="28" spans="2:11" x14ac:dyDescent="0.25">
      <c r="B28" s="230">
        <v>15300</v>
      </c>
      <c r="C28" s="11" t="s">
        <v>74</v>
      </c>
      <c r="D28" s="11"/>
      <c r="E28" s="11"/>
      <c r="F28" s="11"/>
      <c r="G28" s="89"/>
      <c r="K28" s="4"/>
    </row>
    <row r="29" spans="2:11" x14ac:dyDescent="0.25">
      <c r="B29" s="230">
        <v>-26000</v>
      </c>
      <c r="C29" s="11" t="s">
        <v>93</v>
      </c>
      <c r="D29" s="11">
        <v>45835</v>
      </c>
      <c r="E29" s="11"/>
      <c r="F29" s="11"/>
      <c r="G29" s="89"/>
      <c r="K29" s="4"/>
    </row>
    <row r="30" spans="2:11" x14ac:dyDescent="0.25">
      <c r="B30" s="230">
        <v>-1000</v>
      </c>
      <c r="C30" s="11" t="s">
        <v>175</v>
      </c>
      <c r="D30" s="11">
        <v>45835</v>
      </c>
      <c r="E30" s="11"/>
      <c r="F30" s="11"/>
      <c r="G30" s="89"/>
      <c r="K30" s="4"/>
    </row>
    <row r="31" spans="2:11" x14ac:dyDescent="0.25">
      <c r="B31" s="135">
        <f>SUM(B22:B30)</f>
        <v>-21700</v>
      </c>
      <c r="C31" s="11">
        <v>45835</v>
      </c>
      <c r="D31" s="11"/>
      <c r="E31" s="11"/>
      <c r="F31" s="11"/>
      <c r="G31" s="11"/>
      <c r="K31" s="4"/>
    </row>
    <row r="32" spans="2:11" x14ac:dyDescent="0.25">
      <c r="B32" s="11"/>
      <c r="C32" s="11"/>
      <c r="D32" s="11"/>
      <c r="E32" s="11"/>
      <c r="F32" s="11"/>
      <c r="G32" s="11"/>
      <c r="K32" s="4"/>
    </row>
    <row r="33" spans="2:11" x14ac:dyDescent="0.25">
      <c r="B33" s="11"/>
      <c r="E33" s="11"/>
      <c r="F33" s="11"/>
      <c r="G33" s="11"/>
      <c r="K33" s="4"/>
    </row>
    <row r="34" spans="2:11" x14ac:dyDescent="0.25">
      <c r="B34" s="11"/>
      <c r="E34" s="11"/>
      <c r="F34" s="11"/>
      <c r="G34" s="11"/>
      <c r="K34" s="4"/>
    </row>
    <row r="35" spans="2:11" x14ac:dyDescent="0.25">
      <c r="B35" s="11"/>
      <c r="E35" s="11"/>
      <c r="F35" s="11"/>
      <c r="G35" s="11"/>
      <c r="K35" s="4"/>
    </row>
    <row r="36" spans="2:11" x14ac:dyDescent="0.25">
      <c r="B36" s="11"/>
      <c r="C36" s="11"/>
      <c r="E36" s="11"/>
      <c r="F36" s="11"/>
      <c r="G36" s="11"/>
      <c r="K36" s="4"/>
    </row>
    <row r="37" spans="2:11" x14ac:dyDescent="0.25">
      <c r="B37" s="11"/>
      <c r="E37" s="4"/>
      <c r="K37" s="4"/>
    </row>
    <row r="38" spans="2:11" x14ac:dyDescent="0.25">
      <c r="B38" s="11"/>
      <c r="F38" s="11"/>
      <c r="G38" s="11"/>
      <c r="I38" s="173"/>
      <c r="K38" s="4"/>
    </row>
    <row r="39" spans="2:11" x14ac:dyDescent="0.25">
      <c r="B39" s="11"/>
      <c r="E39" s="11"/>
      <c r="F39" s="11"/>
      <c r="G39" s="11"/>
      <c r="K39" s="4"/>
    </row>
    <row r="40" spans="2:11" x14ac:dyDescent="0.25">
      <c r="B40" s="11"/>
      <c r="K40" s="4"/>
    </row>
    <row r="41" spans="2:11" x14ac:dyDescent="0.25">
      <c r="B41" s="11"/>
      <c r="E41" s="11"/>
      <c r="F41" s="11"/>
      <c r="G41" s="11"/>
      <c r="K41" s="4"/>
    </row>
    <row r="42" spans="2:11" x14ac:dyDescent="0.25">
      <c r="B42" s="11"/>
      <c r="I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D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E72" s="11"/>
      <c r="F72" s="11"/>
      <c r="G72" s="11"/>
    </row>
    <row r="73" spans="2:7" x14ac:dyDescent="0.25">
      <c r="E73" s="11"/>
      <c r="F73" s="11"/>
      <c r="G73" s="11"/>
    </row>
    <row r="74" spans="2:7" x14ac:dyDescent="0.25">
      <c r="E74" s="11"/>
      <c r="F74" s="11"/>
      <c r="G74" s="11"/>
    </row>
    <row r="75" spans="2:7" x14ac:dyDescent="0.25">
      <c r="E75" s="11"/>
      <c r="F75" s="11"/>
      <c r="G75" s="11"/>
    </row>
    <row r="76" spans="2:7" x14ac:dyDescent="0.25">
      <c r="E76" s="11"/>
      <c r="F76" s="11"/>
      <c r="G76" s="11"/>
    </row>
    <row r="77" spans="2:7" x14ac:dyDescent="0.25">
      <c r="E77" s="11"/>
      <c r="F77" s="11"/>
      <c r="G77" s="11"/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0520-6DA3-40BA-8061-AA4421BC4B0A}">
  <dimension ref="A1:K82"/>
  <sheetViews>
    <sheetView zoomScale="110" zoomScaleNormal="110" workbookViewId="0">
      <selection activeCell="A3" sqref="A3:D18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6.140625" bestFit="1" customWidth="1"/>
    <col min="11" max="11" width="14.7109375" bestFit="1" customWidth="1"/>
  </cols>
  <sheetData>
    <row r="1" spans="1:11" x14ac:dyDescent="0.25">
      <c r="D1" s="172"/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51">
        <v>46116</v>
      </c>
      <c r="B3" s="227" t="s">
        <v>9</v>
      </c>
      <c r="C3" s="82" t="s">
        <v>300</v>
      </c>
      <c r="D3" s="82">
        <v>420</v>
      </c>
      <c r="E3" s="82"/>
      <c r="F3" s="82">
        <v>35.42</v>
      </c>
      <c r="G3" s="82"/>
      <c r="H3" s="123">
        <v>618989</v>
      </c>
      <c r="I3" s="90" t="s">
        <v>301</v>
      </c>
      <c r="J3" s="212"/>
      <c r="K3" s="241"/>
    </row>
    <row r="4" spans="1:11" x14ac:dyDescent="0.25">
      <c r="A4" s="251">
        <v>46118</v>
      </c>
      <c r="B4" s="227" t="s">
        <v>300</v>
      </c>
      <c r="C4" s="82" t="s">
        <v>118</v>
      </c>
      <c r="D4" s="82">
        <v>85</v>
      </c>
      <c r="E4" s="82"/>
      <c r="F4" s="82"/>
      <c r="G4" s="82"/>
      <c r="H4" s="128" t="s">
        <v>66</v>
      </c>
      <c r="I4" s="90"/>
      <c r="J4" s="212"/>
      <c r="K4" s="241"/>
    </row>
    <row r="5" spans="1:11" x14ac:dyDescent="0.25">
      <c r="A5" s="251">
        <v>46119</v>
      </c>
      <c r="B5" s="82" t="s">
        <v>118</v>
      </c>
      <c r="C5" s="124" t="s">
        <v>385</v>
      </c>
      <c r="D5" s="82">
        <v>1460</v>
      </c>
      <c r="E5" s="82"/>
      <c r="F5" s="82"/>
      <c r="G5" s="82"/>
      <c r="H5" s="90">
        <v>119644</v>
      </c>
      <c r="I5" s="215" t="s">
        <v>399</v>
      </c>
      <c r="J5" s="212"/>
      <c r="K5" s="241"/>
    </row>
    <row r="6" spans="1:11" x14ac:dyDescent="0.25">
      <c r="A6" s="251">
        <v>46121</v>
      </c>
      <c r="B6" s="124" t="s">
        <v>385</v>
      </c>
      <c r="C6" s="124" t="s">
        <v>9</v>
      </c>
      <c r="D6" s="82">
        <v>1070</v>
      </c>
      <c r="E6" s="82"/>
      <c r="F6" s="82"/>
      <c r="G6" s="82"/>
      <c r="H6" s="83" t="s">
        <v>66</v>
      </c>
      <c r="I6" s="90"/>
      <c r="J6" s="212"/>
      <c r="K6" s="241"/>
    </row>
    <row r="7" spans="1:11" x14ac:dyDescent="0.25">
      <c r="A7" s="251">
        <v>46123</v>
      </c>
      <c r="B7" s="82" t="s">
        <v>9</v>
      </c>
      <c r="C7" s="124" t="s">
        <v>351</v>
      </c>
      <c r="D7" s="82">
        <v>1010</v>
      </c>
      <c r="E7" s="82"/>
      <c r="F7" s="82">
        <v>34.85</v>
      </c>
      <c r="G7" s="82"/>
      <c r="H7" s="90">
        <v>619512</v>
      </c>
      <c r="I7" s="90" t="s">
        <v>257</v>
      </c>
      <c r="J7" s="212"/>
      <c r="K7" s="241"/>
    </row>
    <row r="8" spans="1:11" x14ac:dyDescent="0.25">
      <c r="A8" s="251">
        <v>46126</v>
      </c>
      <c r="B8" s="82" t="s">
        <v>351</v>
      </c>
      <c r="C8" s="124" t="s">
        <v>227</v>
      </c>
      <c r="D8" s="82">
        <v>230</v>
      </c>
      <c r="E8" s="82"/>
      <c r="F8" s="82"/>
      <c r="G8" s="82"/>
      <c r="H8" s="83" t="s">
        <v>66</v>
      </c>
      <c r="I8" s="90"/>
      <c r="J8" s="212"/>
      <c r="K8" s="241"/>
    </row>
    <row r="9" spans="1:11" x14ac:dyDescent="0.25">
      <c r="A9" s="251">
        <v>46126</v>
      </c>
      <c r="B9" s="82" t="s">
        <v>296</v>
      </c>
      <c r="C9" s="124" t="s">
        <v>9</v>
      </c>
      <c r="D9" s="82">
        <v>820</v>
      </c>
      <c r="E9" s="82"/>
      <c r="F9" s="82">
        <v>35.5</v>
      </c>
      <c r="G9" s="82"/>
      <c r="H9" s="90">
        <v>189471</v>
      </c>
      <c r="I9" s="90" t="s">
        <v>304</v>
      </c>
      <c r="J9" s="212"/>
      <c r="K9" s="241"/>
    </row>
    <row r="10" spans="1:11" x14ac:dyDescent="0.25">
      <c r="A10" s="251">
        <v>46127</v>
      </c>
      <c r="B10" s="82" t="s">
        <v>9</v>
      </c>
      <c r="C10" s="124" t="s">
        <v>300</v>
      </c>
      <c r="D10" s="82">
        <v>430</v>
      </c>
      <c r="E10" s="82"/>
      <c r="F10" s="82"/>
      <c r="G10" s="82"/>
      <c r="H10" s="90">
        <v>293897</v>
      </c>
      <c r="I10" s="90" t="s">
        <v>15</v>
      </c>
      <c r="J10" s="212"/>
      <c r="K10" s="241"/>
    </row>
    <row r="11" spans="1:11" x14ac:dyDescent="0.25">
      <c r="A11" s="251">
        <v>46129</v>
      </c>
      <c r="B11" s="82" t="s">
        <v>300</v>
      </c>
      <c r="C11" s="124" t="s">
        <v>229</v>
      </c>
      <c r="D11" s="82">
        <v>150</v>
      </c>
      <c r="E11" s="82"/>
      <c r="F11" s="82"/>
      <c r="G11" s="82"/>
      <c r="H11" s="83" t="s">
        <v>66</v>
      </c>
      <c r="I11" s="90"/>
      <c r="J11" s="212"/>
      <c r="K11" s="241"/>
    </row>
    <row r="12" spans="1:11" x14ac:dyDescent="0.25">
      <c r="A12" s="251">
        <v>46129</v>
      </c>
      <c r="B12" s="82" t="s">
        <v>229</v>
      </c>
      <c r="C12" s="124" t="s">
        <v>9</v>
      </c>
      <c r="D12" s="82">
        <v>500</v>
      </c>
      <c r="E12" s="82"/>
      <c r="F12" s="82">
        <v>34.409999999999997</v>
      </c>
      <c r="G12" s="82"/>
      <c r="H12" s="90">
        <v>1065645</v>
      </c>
      <c r="I12" s="90" t="s">
        <v>176</v>
      </c>
      <c r="J12" s="212"/>
      <c r="K12" s="241"/>
    </row>
    <row r="13" spans="1:11" x14ac:dyDescent="0.25">
      <c r="A13" s="251">
        <v>46132</v>
      </c>
      <c r="B13" s="82" t="s">
        <v>9</v>
      </c>
      <c r="C13" s="124" t="s">
        <v>352</v>
      </c>
      <c r="D13" s="82">
        <v>420</v>
      </c>
      <c r="E13" s="82"/>
      <c r="F13" s="82"/>
      <c r="G13" s="82"/>
      <c r="H13" s="90" t="s">
        <v>252</v>
      </c>
      <c r="I13" s="90" t="s">
        <v>344</v>
      </c>
      <c r="J13" s="212"/>
      <c r="K13" s="241"/>
    </row>
    <row r="14" spans="1:11" x14ac:dyDescent="0.25">
      <c r="A14" s="251">
        <v>46133</v>
      </c>
      <c r="B14" s="82" t="s">
        <v>390</v>
      </c>
      <c r="C14" s="124" t="s">
        <v>118</v>
      </c>
      <c r="D14" s="82">
        <v>150</v>
      </c>
      <c r="E14" s="82"/>
      <c r="F14" s="82"/>
      <c r="G14" s="82"/>
      <c r="H14" s="83" t="s">
        <v>66</v>
      </c>
      <c r="I14" s="90"/>
      <c r="J14" s="212"/>
      <c r="K14" s="241"/>
    </row>
    <row r="15" spans="1:11" x14ac:dyDescent="0.25">
      <c r="A15" s="251">
        <v>46134</v>
      </c>
      <c r="B15" s="82" t="s">
        <v>118</v>
      </c>
      <c r="C15" s="124" t="s">
        <v>385</v>
      </c>
      <c r="D15" s="82">
        <v>1560</v>
      </c>
      <c r="E15" s="82"/>
      <c r="F15" s="82"/>
      <c r="G15" s="82"/>
      <c r="H15" s="90">
        <v>122285</v>
      </c>
      <c r="I15" s="90" t="s">
        <v>386</v>
      </c>
      <c r="J15" s="212"/>
      <c r="K15" s="241"/>
    </row>
    <row r="16" spans="1:11" x14ac:dyDescent="0.25">
      <c r="A16" s="251">
        <v>46137</v>
      </c>
      <c r="B16" s="124" t="s">
        <v>385</v>
      </c>
      <c r="C16" s="124" t="s">
        <v>9</v>
      </c>
      <c r="D16" s="82">
        <v>1070</v>
      </c>
      <c r="E16" s="82"/>
      <c r="F16" s="82"/>
      <c r="G16" s="82"/>
      <c r="H16" s="83" t="s">
        <v>66</v>
      </c>
      <c r="I16" s="90"/>
      <c r="J16" s="212"/>
      <c r="K16" s="241"/>
    </row>
    <row r="17" spans="1:11" x14ac:dyDescent="0.25">
      <c r="A17" s="251">
        <v>46139</v>
      </c>
      <c r="B17" s="82" t="s">
        <v>9</v>
      </c>
      <c r="C17" s="124" t="s">
        <v>300</v>
      </c>
      <c r="D17" s="82">
        <v>430</v>
      </c>
      <c r="E17" s="82"/>
      <c r="F17" s="82"/>
      <c r="G17" s="82"/>
      <c r="H17" s="90" t="s">
        <v>471</v>
      </c>
      <c r="I17" s="90" t="s">
        <v>15</v>
      </c>
      <c r="J17" s="212"/>
      <c r="K17" s="241"/>
    </row>
    <row r="18" spans="1:11" x14ac:dyDescent="0.25">
      <c r="A18" s="251">
        <v>46140</v>
      </c>
      <c r="B18" s="82" t="s">
        <v>300</v>
      </c>
      <c r="C18" s="82" t="s">
        <v>118</v>
      </c>
      <c r="D18" s="82">
        <v>100</v>
      </c>
      <c r="E18" s="82"/>
      <c r="F18" s="82"/>
      <c r="G18" s="82"/>
      <c r="H18" s="128" t="s">
        <v>66</v>
      </c>
      <c r="I18" s="90"/>
      <c r="J18" s="212"/>
      <c r="K18" s="241"/>
    </row>
    <row r="19" spans="1:11" x14ac:dyDescent="0.25">
      <c r="A19" s="251"/>
      <c r="B19" s="82"/>
      <c r="C19" s="82"/>
      <c r="D19" s="151" t="s">
        <v>474</v>
      </c>
      <c r="E19" s="82"/>
      <c r="F19" s="82"/>
      <c r="G19" s="82"/>
      <c r="H19" s="128"/>
      <c r="I19" s="90"/>
      <c r="J19" s="212"/>
      <c r="K19" s="241"/>
    </row>
    <row r="20" spans="1:11" x14ac:dyDescent="0.25">
      <c r="A20" s="5"/>
      <c r="B20" s="6"/>
      <c r="C20" s="6"/>
      <c r="D20" s="6"/>
      <c r="E20" s="6"/>
      <c r="F20" s="6"/>
      <c r="G20" s="6"/>
      <c r="H20" s="7"/>
      <c r="I20" s="7"/>
      <c r="J20" s="140"/>
      <c r="K20" s="242"/>
    </row>
    <row r="21" spans="1:11" x14ac:dyDescent="0.25">
      <c r="D21" s="17">
        <f>SUM(D3:D20)</f>
        <v>9905</v>
      </c>
      <c r="E21" s="13"/>
      <c r="F21" s="13" t="e">
        <f>AVERAGE(#REF!)</f>
        <v>#REF!</v>
      </c>
      <c r="G21" s="13"/>
      <c r="J21" s="139">
        <f>SUM(J3:J20)</f>
        <v>0</v>
      </c>
      <c r="K21" s="243">
        <f>SUM(K3:K20)</f>
        <v>0</v>
      </c>
    </row>
    <row r="26" spans="1:11" x14ac:dyDescent="0.25">
      <c r="D26" s="11"/>
    </row>
    <row r="27" spans="1:11" x14ac:dyDescent="0.25">
      <c r="D27" s="11"/>
    </row>
    <row r="28" spans="1:11" x14ac:dyDescent="0.25">
      <c r="D28" s="11"/>
    </row>
    <row r="29" spans="1:11" x14ac:dyDescent="0.25">
      <c r="B29" s="230">
        <v>-10000</v>
      </c>
      <c r="C29" s="11" t="s">
        <v>93</v>
      </c>
      <c r="D29" s="11"/>
      <c r="E29" s="11"/>
      <c r="F29" s="11"/>
      <c r="G29" s="89"/>
      <c r="K29" s="4"/>
    </row>
    <row r="30" spans="1:11" x14ac:dyDescent="0.25">
      <c r="B30" s="230">
        <v>8750</v>
      </c>
      <c r="C30" s="11" t="s">
        <v>74</v>
      </c>
      <c r="D30" s="11"/>
      <c r="E30" s="11"/>
      <c r="F30" s="11"/>
      <c r="G30" s="89"/>
      <c r="K30" s="4"/>
    </row>
    <row r="31" spans="1:11" x14ac:dyDescent="0.25">
      <c r="B31" s="230">
        <v>-8750</v>
      </c>
      <c r="C31" s="11" t="s">
        <v>93</v>
      </c>
      <c r="D31" s="11">
        <v>45478</v>
      </c>
      <c r="E31" s="11"/>
      <c r="F31" s="11"/>
      <c r="G31" s="89"/>
      <c r="K31" s="4"/>
    </row>
    <row r="32" spans="1:11" x14ac:dyDescent="0.25">
      <c r="B32" s="230">
        <v>-1000</v>
      </c>
      <c r="C32" s="11" t="s">
        <v>175</v>
      </c>
      <c r="D32" s="11">
        <v>45666</v>
      </c>
      <c r="E32" s="11"/>
      <c r="F32" s="11"/>
      <c r="G32" s="89"/>
      <c r="K32" s="4"/>
    </row>
    <row r="33" spans="2:11" x14ac:dyDescent="0.25">
      <c r="B33" s="230"/>
      <c r="C33" s="11"/>
      <c r="D33" s="11"/>
      <c r="E33" s="11"/>
      <c r="F33" s="11"/>
      <c r="G33" s="89"/>
      <c r="K33" s="4"/>
    </row>
    <row r="34" spans="2:11" x14ac:dyDescent="0.25">
      <c r="B34" s="230"/>
      <c r="C34" s="11"/>
      <c r="D34" s="11"/>
      <c r="E34" s="11"/>
      <c r="F34" s="11"/>
      <c r="G34" s="89"/>
      <c r="K34" s="4"/>
    </row>
    <row r="35" spans="2:11" x14ac:dyDescent="0.25">
      <c r="B35" s="230"/>
      <c r="C35" s="11"/>
      <c r="D35" s="11"/>
      <c r="E35" s="11"/>
      <c r="F35" s="11"/>
      <c r="G35" s="89"/>
      <c r="K35" s="4"/>
    </row>
    <row r="36" spans="2:11" x14ac:dyDescent="0.25">
      <c r="B36" s="135">
        <f>SUM(B28:B35)</f>
        <v>-11000</v>
      </c>
      <c r="C36" s="11">
        <v>45478</v>
      </c>
      <c r="D36" s="11"/>
      <c r="E36" s="11"/>
      <c r="F36" s="11"/>
      <c r="G36" s="11"/>
      <c r="K36" s="4"/>
    </row>
    <row r="37" spans="2:11" x14ac:dyDescent="0.25">
      <c r="B37" s="11"/>
      <c r="C37" s="11"/>
      <c r="D37" s="11"/>
      <c r="E37" s="11"/>
      <c r="F37" s="11"/>
      <c r="G37" s="11"/>
      <c r="K37" s="4"/>
    </row>
    <row r="38" spans="2:11" x14ac:dyDescent="0.25">
      <c r="B38" s="11"/>
      <c r="E38" s="11"/>
      <c r="F38" s="11"/>
      <c r="G38" s="11"/>
      <c r="K38" s="4"/>
    </row>
    <row r="39" spans="2:11" x14ac:dyDescent="0.25">
      <c r="B39" s="11"/>
      <c r="E39" s="11"/>
      <c r="F39" s="11"/>
      <c r="G39" s="11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C41" s="11"/>
      <c r="E41" s="11"/>
      <c r="F41" s="11"/>
      <c r="G41" s="11"/>
      <c r="K41" s="4"/>
    </row>
    <row r="42" spans="2:11" x14ac:dyDescent="0.25">
      <c r="B42" s="11"/>
      <c r="E42" s="4"/>
      <c r="K42" s="4"/>
    </row>
    <row r="43" spans="2:11" x14ac:dyDescent="0.25">
      <c r="B43" s="11"/>
      <c r="F43" s="11"/>
      <c r="G43" s="11"/>
      <c r="I43" s="173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I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D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E77" s="11"/>
      <c r="F77" s="11"/>
      <c r="G77" s="11"/>
    </row>
    <row r="78" spans="2:7" x14ac:dyDescent="0.25">
      <c r="E78" s="11"/>
      <c r="F78" s="11"/>
      <c r="G78" s="11"/>
    </row>
    <row r="79" spans="2:7" x14ac:dyDescent="0.25">
      <c r="E79" s="11"/>
      <c r="F79" s="11"/>
      <c r="G79" s="11"/>
    </row>
    <row r="80" spans="2:7" x14ac:dyDescent="0.25">
      <c r="E80" s="11"/>
      <c r="F80" s="11"/>
      <c r="G80" s="11"/>
    </row>
    <row r="81" spans="5:7" x14ac:dyDescent="0.25">
      <c r="E81" s="11"/>
      <c r="F81" s="11"/>
      <c r="G81" s="11"/>
    </row>
    <row r="82" spans="5:7" x14ac:dyDescent="0.25">
      <c r="E82" s="11"/>
      <c r="F82" s="11"/>
      <c r="G82" s="11"/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32E4-48D4-4D85-90E3-311BEF1D643F}">
  <dimension ref="A1:K87"/>
  <sheetViews>
    <sheetView zoomScale="110" zoomScaleNormal="110" workbookViewId="0">
      <selection activeCell="A3" sqref="A3:D18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ht="15.75" customHeight="1" x14ac:dyDescent="0.25">
      <c r="A3" s="179">
        <v>46113</v>
      </c>
      <c r="B3" s="227" t="s">
        <v>9</v>
      </c>
      <c r="C3" s="82" t="s">
        <v>300</v>
      </c>
      <c r="D3" s="82">
        <v>420</v>
      </c>
      <c r="E3" s="82"/>
      <c r="F3" s="82">
        <v>35.5</v>
      </c>
      <c r="G3" s="82"/>
      <c r="H3" s="123">
        <v>618927</v>
      </c>
      <c r="I3" s="90" t="s">
        <v>301</v>
      </c>
      <c r="J3" s="212"/>
      <c r="K3" s="241"/>
    </row>
    <row r="4" spans="1:11" ht="15.75" customHeight="1" x14ac:dyDescent="0.25">
      <c r="A4" s="179">
        <v>46116</v>
      </c>
      <c r="B4" s="227" t="s">
        <v>300</v>
      </c>
      <c r="C4" s="82" t="s">
        <v>118</v>
      </c>
      <c r="D4" s="82">
        <v>85</v>
      </c>
      <c r="E4" s="82"/>
      <c r="F4" s="82"/>
      <c r="G4" s="82"/>
      <c r="H4" s="128" t="s">
        <v>66</v>
      </c>
      <c r="I4" s="90"/>
      <c r="J4" s="212"/>
      <c r="K4" s="241"/>
    </row>
    <row r="5" spans="1:11" ht="15.75" customHeight="1" x14ac:dyDescent="0.25">
      <c r="A5" s="179">
        <v>46116</v>
      </c>
      <c r="B5" s="82" t="s">
        <v>118</v>
      </c>
      <c r="C5" s="124" t="s">
        <v>385</v>
      </c>
      <c r="D5" s="82">
        <v>1560</v>
      </c>
      <c r="E5" s="82"/>
      <c r="F5" s="82"/>
      <c r="G5" s="82"/>
      <c r="H5" s="90">
        <v>81352</v>
      </c>
      <c r="I5" s="90" t="s">
        <v>386</v>
      </c>
      <c r="J5" s="212"/>
      <c r="K5" s="241"/>
    </row>
    <row r="6" spans="1:11" ht="15.75" customHeight="1" x14ac:dyDescent="0.25">
      <c r="A6" s="179">
        <v>46119</v>
      </c>
      <c r="B6" s="124" t="s">
        <v>385</v>
      </c>
      <c r="C6" s="124" t="s">
        <v>9</v>
      </c>
      <c r="D6" s="82">
        <v>1070</v>
      </c>
      <c r="E6" s="82"/>
      <c r="F6" s="82"/>
      <c r="G6" s="82"/>
      <c r="H6" s="83" t="s">
        <v>66</v>
      </c>
      <c r="I6" s="90"/>
      <c r="J6" s="212"/>
      <c r="K6" s="241"/>
    </row>
    <row r="7" spans="1:11" ht="15.75" customHeight="1" x14ac:dyDescent="0.25">
      <c r="A7" s="179">
        <v>46120</v>
      </c>
      <c r="B7" s="227" t="s">
        <v>9</v>
      </c>
      <c r="C7" s="82" t="s">
        <v>300</v>
      </c>
      <c r="D7" s="82">
        <v>420</v>
      </c>
      <c r="E7" s="82"/>
      <c r="F7" s="82">
        <v>35.619999999999997</v>
      </c>
      <c r="G7" s="82"/>
      <c r="H7" s="123">
        <v>619310</v>
      </c>
      <c r="I7" s="90" t="s">
        <v>301</v>
      </c>
      <c r="J7" s="212"/>
      <c r="K7" s="241"/>
    </row>
    <row r="8" spans="1:11" ht="15.75" customHeight="1" x14ac:dyDescent="0.25">
      <c r="A8" s="179">
        <v>46122</v>
      </c>
      <c r="B8" s="227" t="s">
        <v>300</v>
      </c>
      <c r="C8" s="82" t="s">
        <v>118</v>
      </c>
      <c r="D8" s="82">
        <v>85</v>
      </c>
      <c r="E8" s="82"/>
      <c r="F8" s="82"/>
      <c r="G8" s="82"/>
      <c r="H8" s="128" t="s">
        <v>66</v>
      </c>
      <c r="I8" s="90"/>
      <c r="J8" s="212"/>
      <c r="K8" s="241"/>
    </row>
    <row r="9" spans="1:11" ht="15.75" customHeight="1" x14ac:dyDescent="0.25">
      <c r="A9" s="179">
        <v>46123</v>
      </c>
      <c r="B9" s="82" t="s">
        <v>118</v>
      </c>
      <c r="C9" s="124" t="s">
        <v>385</v>
      </c>
      <c r="D9" s="82">
        <v>1560</v>
      </c>
      <c r="E9" s="82"/>
      <c r="F9" s="82"/>
      <c r="G9" s="82"/>
      <c r="H9" s="90" t="s">
        <v>309</v>
      </c>
      <c r="I9" s="90" t="s">
        <v>386</v>
      </c>
      <c r="J9" s="212"/>
      <c r="K9" s="241"/>
    </row>
    <row r="10" spans="1:11" ht="15.75" customHeight="1" x14ac:dyDescent="0.25">
      <c r="A10" s="179">
        <v>46125</v>
      </c>
      <c r="B10" s="124" t="s">
        <v>385</v>
      </c>
      <c r="C10" s="124" t="s">
        <v>9</v>
      </c>
      <c r="D10" s="82">
        <v>1070</v>
      </c>
      <c r="E10" s="82"/>
      <c r="F10" s="82"/>
      <c r="G10" s="82"/>
      <c r="H10" s="83" t="s">
        <v>66</v>
      </c>
      <c r="I10" s="90"/>
      <c r="J10" s="212"/>
      <c r="K10" s="241"/>
    </row>
    <row r="11" spans="1:11" ht="15.75" customHeight="1" x14ac:dyDescent="0.25">
      <c r="A11" s="179">
        <v>46129</v>
      </c>
      <c r="B11" s="82" t="s">
        <v>9</v>
      </c>
      <c r="C11" s="124" t="s">
        <v>326</v>
      </c>
      <c r="D11" s="82">
        <v>380</v>
      </c>
      <c r="E11" s="82"/>
      <c r="F11" s="82"/>
      <c r="G11" s="82"/>
      <c r="H11" s="90" t="s">
        <v>252</v>
      </c>
      <c r="I11" s="90" t="s">
        <v>327</v>
      </c>
      <c r="J11" s="212"/>
      <c r="K11" s="241"/>
    </row>
    <row r="12" spans="1:11" ht="15.75" customHeight="1" x14ac:dyDescent="0.25">
      <c r="A12" s="179">
        <v>46132</v>
      </c>
      <c r="B12" s="82" t="s">
        <v>326</v>
      </c>
      <c r="C12" s="124" t="s">
        <v>118</v>
      </c>
      <c r="D12" s="82">
        <v>180</v>
      </c>
      <c r="E12" s="82"/>
      <c r="F12" s="82"/>
      <c r="G12" s="82"/>
      <c r="H12" s="83" t="s">
        <v>66</v>
      </c>
      <c r="I12" s="90"/>
      <c r="J12" s="212"/>
      <c r="K12" s="241"/>
    </row>
    <row r="13" spans="1:11" ht="15.75" customHeight="1" x14ac:dyDescent="0.25">
      <c r="A13" s="179">
        <v>46132</v>
      </c>
      <c r="B13" s="82" t="s">
        <v>118</v>
      </c>
      <c r="C13" s="124" t="s">
        <v>385</v>
      </c>
      <c r="D13" s="82">
        <v>1560</v>
      </c>
      <c r="E13" s="82"/>
      <c r="F13" s="82"/>
      <c r="G13" s="82"/>
      <c r="H13" s="90">
        <v>121972</v>
      </c>
      <c r="I13" s="90" t="s">
        <v>386</v>
      </c>
      <c r="J13" s="212"/>
      <c r="K13" s="241"/>
    </row>
    <row r="14" spans="1:11" ht="15.75" customHeight="1" x14ac:dyDescent="0.25">
      <c r="A14" s="179">
        <v>46135</v>
      </c>
      <c r="B14" s="124" t="s">
        <v>385</v>
      </c>
      <c r="C14" s="124" t="s">
        <v>227</v>
      </c>
      <c r="D14" s="82">
        <v>270</v>
      </c>
      <c r="E14" s="82"/>
      <c r="F14" s="82"/>
      <c r="G14" s="82"/>
      <c r="H14" s="83" t="s">
        <v>66</v>
      </c>
      <c r="I14" s="90"/>
      <c r="J14" s="212"/>
      <c r="K14" s="241"/>
    </row>
    <row r="15" spans="1:11" ht="15.75" customHeight="1" x14ac:dyDescent="0.25">
      <c r="A15" s="179">
        <v>46135</v>
      </c>
      <c r="B15" s="82" t="s">
        <v>296</v>
      </c>
      <c r="C15" s="124" t="s">
        <v>9</v>
      </c>
      <c r="D15" s="82">
        <v>820</v>
      </c>
      <c r="E15" s="82"/>
      <c r="F15" s="82">
        <v>34.6</v>
      </c>
      <c r="G15" s="82"/>
      <c r="H15" s="90">
        <v>189838</v>
      </c>
      <c r="I15" s="90" t="s">
        <v>304</v>
      </c>
      <c r="J15" s="212"/>
      <c r="K15" s="241"/>
    </row>
    <row r="16" spans="1:11" ht="15.75" customHeight="1" x14ac:dyDescent="0.25">
      <c r="A16" s="179">
        <v>46136</v>
      </c>
      <c r="B16" s="82" t="s">
        <v>9</v>
      </c>
      <c r="C16" s="124" t="s">
        <v>276</v>
      </c>
      <c r="D16" s="82">
        <v>400</v>
      </c>
      <c r="E16" s="82"/>
      <c r="F16" s="82">
        <v>35.659999999999997</v>
      </c>
      <c r="G16" s="82"/>
      <c r="H16" s="123">
        <v>294502</v>
      </c>
      <c r="I16" s="90"/>
      <c r="J16" s="212"/>
      <c r="K16" s="241"/>
    </row>
    <row r="17" spans="1:11" ht="15.75" customHeight="1" x14ac:dyDescent="0.25">
      <c r="A17" s="179">
        <v>46139</v>
      </c>
      <c r="B17" s="82" t="s">
        <v>424</v>
      </c>
      <c r="C17" s="124" t="s">
        <v>118</v>
      </c>
      <c r="D17" s="82">
        <v>150</v>
      </c>
      <c r="E17" s="82"/>
      <c r="F17" s="82"/>
      <c r="G17" s="82"/>
      <c r="H17" s="128" t="s">
        <v>66</v>
      </c>
      <c r="I17" s="90"/>
      <c r="J17" s="212"/>
      <c r="K17" s="241"/>
    </row>
    <row r="18" spans="1:11" ht="15.75" customHeight="1" x14ac:dyDescent="0.25">
      <c r="A18" s="179">
        <v>46139</v>
      </c>
      <c r="B18" s="82" t="s">
        <v>118</v>
      </c>
      <c r="C18" s="124" t="s">
        <v>385</v>
      </c>
      <c r="D18" s="82">
        <v>1560</v>
      </c>
      <c r="E18" s="82"/>
      <c r="F18" s="82"/>
      <c r="G18" s="82"/>
      <c r="H18" s="90">
        <v>123330</v>
      </c>
      <c r="I18" s="90" t="s">
        <v>386</v>
      </c>
      <c r="J18" s="212"/>
      <c r="K18" s="241"/>
    </row>
    <row r="19" spans="1:11" ht="15.75" customHeight="1" x14ac:dyDescent="0.25">
      <c r="A19" s="179"/>
      <c r="B19" s="82"/>
      <c r="C19" s="124"/>
      <c r="D19" s="151" t="s">
        <v>462</v>
      </c>
      <c r="E19" s="82"/>
      <c r="F19" s="82"/>
      <c r="G19" s="82"/>
      <c r="H19" s="128"/>
      <c r="I19" s="90"/>
      <c r="J19" s="212"/>
      <c r="K19" s="241"/>
    </row>
    <row r="20" spans="1:11" x14ac:dyDescent="0.25">
      <c r="A20" s="5"/>
      <c r="B20" s="6"/>
      <c r="C20" s="6"/>
      <c r="D20" s="6"/>
      <c r="E20" s="6"/>
      <c r="F20" s="6"/>
      <c r="G20" s="6"/>
      <c r="H20" s="7"/>
      <c r="I20" s="7"/>
      <c r="J20" s="140"/>
      <c r="K20" s="242"/>
    </row>
    <row r="21" spans="1:11" x14ac:dyDescent="0.25">
      <c r="D21" s="17">
        <f>SUM(D3:D20)</f>
        <v>11590</v>
      </c>
      <c r="E21" s="13"/>
      <c r="F21" s="13">
        <f>AVERAGE(F3:F19)</f>
        <v>35.344999999999999</v>
      </c>
      <c r="G21" s="13"/>
      <c r="J21" s="139">
        <f>SUM(J3:J20)</f>
        <v>0</v>
      </c>
      <c r="K21" s="243">
        <f>SUM(K3:K20)</f>
        <v>0</v>
      </c>
    </row>
    <row r="26" spans="1:11" x14ac:dyDescent="0.25">
      <c r="D26" s="11"/>
    </row>
    <row r="27" spans="1:11" x14ac:dyDescent="0.25">
      <c r="D27" s="11"/>
    </row>
    <row r="28" spans="1:11" x14ac:dyDescent="0.25">
      <c r="D28" s="11"/>
    </row>
    <row r="29" spans="1:11" x14ac:dyDescent="0.25">
      <c r="B29" s="230">
        <v>-10000</v>
      </c>
      <c r="C29" s="11" t="s">
        <v>93</v>
      </c>
      <c r="D29" s="11"/>
      <c r="E29" s="11"/>
      <c r="F29" s="11"/>
      <c r="G29" s="89"/>
      <c r="K29" s="4"/>
    </row>
    <row r="30" spans="1:11" x14ac:dyDescent="0.25">
      <c r="B30" s="230">
        <v>8750</v>
      </c>
      <c r="C30" s="11" t="s">
        <v>74</v>
      </c>
      <c r="D30" s="11"/>
      <c r="E30" s="11"/>
      <c r="F30" s="11"/>
      <c r="G30" s="89"/>
      <c r="K30" s="4"/>
    </row>
    <row r="31" spans="1:11" x14ac:dyDescent="0.25">
      <c r="B31" s="230">
        <v>-8750</v>
      </c>
      <c r="C31" s="11" t="s">
        <v>93</v>
      </c>
      <c r="D31" s="11">
        <v>45478</v>
      </c>
      <c r="E31" s="11"/>
      <c r="F31" s="11"/>
      <c r="G31" s="89"/>
      <c r="K31" s="4"/>
    </row>
    <row r="32" spans="1:11" x14ac:dyDescent="0.25">
      <c r="B32" s="230">
        <v>4700</v>
      </c>
      <c r="C32" s="11" t="s">
        <v>270</v>
      </c>
      <c r="D32" s="11">
        <v>45608</v>
      </c>
      <c r="E32" s="11"/>
      <c r="F32" s="11"/>
      <c r="G32" s="89"/>
      <c r="K32" s="4"/>
    </row>
    <row r="33" spans="2:11" x14ac:dyDescent="0.25">
      <c r="B33" s="230">
        <v>-5000</v>
      </c>
      <c r="C33" s="11" t="s">
        <v>13</v>
      </c>
      <c r="D33" s="11"/>
      <c r="E33" s="11"/>
      <c r="F33" s="11"/>
      <c r="G33" s="89"/>
      <c r="K33" s="4"/>
    </row>
    <row r="34" spans="2:11" x14ac:dyDescent="0.25">
      <c r="B34" s="230">
        <v>-50000</v>
      </c>
      <c r="C34" s="11">
        <v>45660</v>
      </c>
      <c r="D34" s="11"/>
      <c r="E34" s="11"/>
      <c r="F34" s="11"/>
      <c r="G34" s="89"/>
      <c r="K34" s="4"/>
    </row>
    <row r="35" spans="2:11" x14ac:dyDescent="0.25">
      <c r="B35" s="230">
        <v>33200</v>
      </c>
      <c r="C35" s="11" t="s">
        <v>12</v>
      </c>
      <c r="D35" s="11">
        <v>45686</v>
      </c>
      <c r="E35" s="11"/>
      <c r="F35" s="11"/>
      <c r="G35" s="89"/>
      <c r="K35" s="4"/>
    </row>
    <row r="36" spans="2:11" x14ac:dyDescent="0.25">
      <c r="B36" s="230">
        <v>-33000</v>
      </c>
      <c r="C36" s="11" t="s">
        <v>93</v>
      </c>
      <c r="D36" s="11">
        <v>45686</v>
      </c>
      <c r="E36" s="11"/>
      <c r="F36" s="11"/>
      <c r="G36" s="89"/>
      <c r="K36" s="4"/>
    </row>
    <row r="37" spans="2:11" x14ac:dyDescent="0.25">
      <c r="B37" s="230">
        <v>62100</v>
      </c>
      <c r="C37" s="11" t="s">
        <v>74</v>
      </c>
      <c r="D37" s="11"/>
      <c r="E37" s="11"/>
      <c r="F37" s="11"/>
      <c r="G37" s="89"/>
      <c r="K37" s="4"/>
    </row>
    <row r="38" spans="2:11" x14ac:dyDescent="0.25">
      <c r="B38" s="230">
        <v>-12000</v>
      </c>
      <c r="C38" s="11" t="s">
        <v>93</v>
      </c>
      <c r="D38" s="11">
        <v>45698</v>
      </c>
      <c r="E38" s="11"/>
      <c r="F38" s="11"/>
      <c r="G38" s="89"/>
      <c r="K38" s="4"/>
    </row>
    <row r="39" spans="2:11" x14ac:dyDescent="0.25">
      <c r="B39" s="230">
        <v>5100</v>
      </c>
      <c r="C39" s="11" t="s">
        <v>12</v>
      </c>
      <c r="D39" s="11"/>
      <c r="E39" s="11"/>
      <c r="F39" s="11"/>
      <c r="G39" s="89"/>
      <c r="K39" s="4"/>
    </row>
    <row r="40" spans="2:11" x14ac:dyDescent="0.25">
      <c r="B40" s="230">
        <v>-5100</v>
      </c>
      <c r="C40" s="11" t="s">
        <v>93</v>
      </c>
      <c r="D40" s="11">
        <v>45965</v>
      </c>
      <c r="E40" s="11"/>
      <c r="F40" s="11"/>
      <c r="G40" s="89"/>
      <c r="K40" s="4"/>
    </row>
    <row r="41" spans="2:11" x14ac:dyDescent="0.25">
      <c r="B41" s="135">
        <f>SUM(B28:B40)</f>
        <v>-10000</v>
      </c>
      <c r="C41" s="11">
        <v>45965</v>
      </c>
      <c r="D41" s="11"/>
      <c r="E41" s="11"/>
      <c r="F41" s="11"/>
      <c r="G41" s="11"/>
      <c r="K41" s="4"/>
    </row>
    <row r="42" spans="2:11" x14ac:dyDescent="0.25">
      <c r="B42" s="11"/>
      <c r="C42" s="11"/>
      <c r="D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C46" s="11"/>
      <c r="E46" s="11"/>
      <c r="F46" s="11"/>
      <c r="G46" s="11"/>
      <c r="K46" s="4"/>
    </row>
    <row r="47" spans="2:11" x14ac:dyDescent="0.25">
      <c r="B47" s="11"/>
      <c r="E47" s="4"/>
      <c r="K47" s="4"/>
    </row>
    <row r="48" spans="2:11" x14ac:dyDescent="0.25">
      <c r="B48" s="11"/>
      <c r="F48" s="11"/>
      <c r="G48" s="11"/>
      <c r="I48" s="173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I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D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  <row r="80" spans="2:7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E82" s="11"/>
      <c r="F82" s="11"/>
      <c r="G82" s="11"/>
    </row>
    <row r="83" spans="2:7" x14ac:dyDescent="0.25">
      <c r="E83" s="11"/>
      <c r="F83" s="11"/>
      <c r="G83" s="11"/>
    </row>
    <row r="84" spans="2:7" x14ac:dyDescent="0.25">
      <c r="E84" s="11"/>
      <c r="F84" s="11"/>
      <c r="G84" s="11"/>
    </row>
    <row r="85" spans="2:7" x14ac:dyDescent="0.25">
      <c r="E85" s="11"/>
      <c r="F85" s="11"/>
      <c r="G85" s="11"/>
    </row>
    <row r="86" spans="2:7" x14ac:dyDescent="0.25">
      <c r="E86" s="11"/>
      <c r="F86" s="11"/>
      <c r="G86" s="11"/>
    </row>
    <row r="87" spans="2:7" x14ac:dyDescent="0.25">
      <c r="E87" s="11"/>
      <c r="F87" s="11"/>
      <c r="G87" s="11"/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C215-AEEF-46FB-863B-AB165430918A}">
  <dimension ref="A1:K81"/>
  <sheetViews>
    <sheetView zoomScale="110" zoomScaleNormal="110" workbookViewId="0">
      <selection activeCell="K14" sqref="K14"/>
    </sheetView>
  </sheetViews>
  <sheetFormatPr baseColWidth="10" defaultRowHeight="15" x14ac:dyDescent="0.25"/>
  <cols>
    <col min="5" max="6" width="11.140625" customWidth="1"/>
    <col min="7" max="7" width="12.140625" customWidth="1"/>
    <col min="8" max="8" width="12.7109375" bestFit="1" customWidth="1"/>
    <col min="9" max="9" width="13.28515625" customWidth="1"/>
    <col min="11" max="11" width="14.7109375" bestFit="1" customWidth="1"/>
  </cols>
  <sheetData>
    <row r="1" spans="1:11" x14ac:dyDescent="0.25">
      <c r="D1" s="172" t="s">
        <v>159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>
        <v>46113</v>
      </c>
      <c r="B3" s="82" t="s">
        <v>337</v>
      </c>
      <c r="C3" s="124" t="s">
        <v>75</v>
      </c>
      <c r="D3" s="82">
        <v>430</v>
      </c>
      <c r="E3" s="82"/>
      <c r="F3" s="82">
        <v>36.28</v>
      </c>
      <c r="G3" s="82"/>
      <c r="H3" s="123" t="s">
        <v>253</v>
      </c>
      <c r="I3" s="90"/>
      <c r="J3" s="212"/>
      <c r="K3" s="241">
        <v>725600</v>
      </c>
    </row>
    <row r="4" spans="1:11" x14ac:dyDescent="0.25">
      <c r="A4" s="179">
        <v>46113</v>
      </c>
      <c r="B4" s="82" t="s">
        <v>75</v>
      </c>
      <c r="C4" s="124" t="s">
        <v>118</v>
      </c>
      <c r="D4" s="82">
        <v>300</v>
      </c>
      <c r="E4" s="82"/>
      <c r="F4" s="82"/>
      <c r="G4" s="82"/>
      <c r="H4" s="83" t="s">
        <v>66</v>
      </c>
      <c r="I4" s="90"/>
      <c r="J4" s="212"/>
      <c r="K4" s="241"/>
    </row>
    <row r="5" spans="1:11" x14ac:dyDescent="0.25">
      <c r="A5" s="179">
        <v>46113</v>
      </c>
      <c r="B5" s="82" t="s">
        <v>118</v>
      </c>
      <c r="C5" s="124" t="s">
        <v>358</v>
      </c>
      <c r="D5" s="82">
        <v>1490</v>
      </c>
      <c r="E5" s="82"/>
      <c r="F5" s="82"/>
      <c r="G5" s="82"/>
      <c r="H5" s="123">
        <v>118687</v>
      </c>
      <c r="I5" s="90" t="s">
        <v>359</v>
      </c>
      <c r="J5" s="212"/>
      <c r="K5" s="241"/>
    </row>
    <row r="6" spans="1:11" x14ac:dyDescent="0.25">
      <c r="A6" s="179">
        <v>46115</v>
      </c>
      <c r="B6" s="82" t="s">
        <v>358</v>
      </c>
      <c r="C6" s="124" t="s">
        <v>9</v>
      </c>
      <c r="D6" s="82">
        <v>970</v>
      </c>
      <c r="E6" s="82"/>
      <c r="F6" s="82"/>
      <c r="G6" s="82"/>
      <c r="H6" s="83" t="s">
        <v>66</v>
      </c>
      <c r="I6" s="90"/>
      <c r="J6" s="212"/>
      <c r="K6" s="241"/>
    </row>
    <row r="7" spans="1:11" x14ac:dyDescent="0.25">
      <c r="A7" s="179">
        <v>46119</v>
      </c>
      <c r="B7" s="82" t="s">
        <v>9</v>
      </c>
      <c r="C7" s="124" t="s">
        <v>104</v>
      </c>
      <c r="D7" s="82">
        <v>320</v>
      </c>
      <c r="E7" s="82"/>
      <c r="F7" s="82"/>
      <c r="G7" s="82"/>
      <c r="H7" s="90">
        <v>765027</v>
      </c>
      <c r="I7" s="90"/>
      <c r="J7" s="212"/>
      <c r="K7" s="241"/>
    </row>
    <row r="8" spans="1:11" x14ac:dyDescent="0.25">
      <c r="A8" s="179">
        <v>46120</v>
      </c>
      <c r="B8" s="82" t="s">
        <v>104</v>
      </c>
      <c r="C8" s="124" t="s">
        <v>9</v>
      </c>
      <c r="D8" s="82">
        <v>320</v>
      </c>
      <c r="E8" s="82"/>
      <c r="F8" s="82"/>
      <c r="G8" s="82"/>
      <c r="H8" s="83" t="s">
        <v>66</v>
      </c>
      <c r="I8" s="90"/>
      <c r="J8" s="212"/>
      <c r="K8" s="241"/>
    </row>
    <row r="9" spans="1:11" x14ac:dyDescent="0.25">
      <c r="A9" s="179">
        <v>46120</v>
      </c>
      <c r="B9" s="82" t="s">
        <v>9</v>
      </c>
      <c r="C9" s="124" t="s">
        <v>410</v>
      </c>
      <c r="D9" s="82">
        <v>1050</v>
      </c>
      <c r="E9" s="82"/>
      <c r="F9" s="270" t="s">
        <v>402</v>
      </c>
      <c r="G9" s="270" t="s">
        <v>411</v>
      </c>
      <c r="H9" s="279">
        <v>765085</v>
      </c>
      <c r="I9" s="279" t="s">
        <v>412</v>
      </c>
      <c r="J9" s="285" t="s">
        <v>413</v>
      </c>
      <c r="K9" s="241"/>
    </row>
    <row r="10" spans="1:11" x14ac:dyDescent="0.25">
      <c r="A10" s="179">
        <v>46121</v>
      </c>
      <c r="B10" s="82" t="s">
        <v>410</v>
      </c>
      <c r="C10" s="124" t="s">
        <v>9</v>
      </c>
      <c r="D10" s="82">
        <v>1050</v>
      </c>
      <c r="E10" s="82"/>
      <c r="F10" s="82"/>
      <c r="G10" s="82"/>
      <c r="H10" s="83" t="s">
        <v>66</v>
      </c>
      <c r="I10" s="90"/>
      <c r="J10" s="212"/>
      <c r="K10" s="241"/>
    </row>
    <row r="11" spans="1:11" x14ac:dyDescent="0.25">
      <c r="A11" s="179">
        <v>46123</v>
      </c>
      <c r="B11" s="82" t="s">
        <v>9</v>
      </c>
      <c r="C11" s="124" t="s">
        <v>262</v>
      </c>
      <c r="D11" s="82">
        <v>430</v>
      </c>
      <c r="E11" s="82"/>
      <c r="F11" s="82"/>
      <c r="G11" s="82"/>
      <c r="H11" s="90">
        <v>765857</v>
      </c>
      <c r="I11" s="90"/>
      <c r="J11" s="212"/>
      <c r="K11" s="241"/>
    </row>
    <row r="12" spans="1:11" x14ac:dyDescent="0.25">
      <c r="A12" s="179">
        <v>46125</v>
      </c>
      <c r="B12" s="236" t="s">
        <v>272</v>
      </c>
      <c r="C12" s="124" t="s">
        <v>220</v>
      </c>
      <c r="D12" s="82">
        <v>140</v>
      </c>
      <c r="E12" s="82"/>
      <c r="F12" s="82"/>
      <c r="G12" s="82"/>
      <c r="H12" s="83" t="s">
        <v>66</v>
      </c>
      <c r="I12" s="90"/>
      <c r="J12" s="212"/>
      <c r="K12" s="241"/>
    </row>
    <row r="13" spans="1:11" x14ac:dyDescent="0.25">
      <c r="A13" s="179">
        <v>46125</v>
      </c>
      <c r="B13" s="236" t="s">
        <v>220</v>
      </c>
      <c r="C13" s="124" t="s">
        <v>10</v>
      </c>
      <c r="D13" s="82">
        <v>300</v>
      </c>
      <c r="E13" s="82"/>
      <c r="F13" s="82"/>
      <c r="G13" s="82"/>
      <c r="H13" s="90">
        <v>895973</v>
      </c>
      <c r="I13" s="90"/>
      <c r="J13" s="212"/>
      <c r="K13" s="241">
        <v>525418.19999999995</v>
      </c>
    </row>
    <row r="14" spans="1:11" x14ac:dyDescent="0.25">
      <c r="A14" s="179">
        <v>46126</v>
      </c>
      <c r="B14" s="82" t="s">
        <v>10</v>
      </c>
      <c r="C14" s="124" t="s">
        <v>9</v>
      </c>
      <c r="D14" s="82">
        <v>500</v>
      </c>
      <c r="E14" s="82"/>
      <c r="F14" s="82"/>
      <c r="G14" s="82">
        <v>36.78</v>
      </c>
      <c r="H14" s="90">
        <v>1064942</v>
      </c>
      <c r="I14" s="90" t="s">
        <v>368</v>
      </c>
      <c r="J14" s="212"/>
      <c r="K14" s="241"/>
    </row>
    <row r="15" spans="1:11" x14ac:dyDescent="0.25">
      <c r="A15" s="179">
        <v>46127</v>
      </c>
      <c r="B15" s="82" t="s">
        <v>9</v>
      </c>
      <c r="C15" s="124" t="s">
        <v>351</v>
      </c>
      <c r="D15" s="82">
        <v>1010</v>
      </c>
      <c r="E15" s="82"/>
      <c r="F15" s="82"/>
      <c r="G15" s="82">
        <v>37.44</v>
      </c>
      <c r="H15" s="90">
        <v>6196693</v>
      </c>
      <c r="I15" s="90" t="s">
        <v>257</v>
      </c>
      <c r="J15" s="212"/>
      <c r="K15" s="241"/>
    </row>
    <row r="16" spans="1:11" x14ac:dyDescent="0.25">
      <c r="A16" s="179">
        <v>46128</v>
      </c>
      <c r="B16" s="82" t="s">
        <v>351</v>
      </c>
      <c r="C16" s="124" t="s">
        <v>227</v>
      </c>
      <c r="D16" s="82">
        <v>240</v>
      </c>
      <c r="E16" s="82"/>
      <c r="F16" s="82"/>
      <c r="G16" s="82"/>
      <c r="H16" s="83" t="s">
        <v>66</v>
      </c>
      <c r="I16" s="90"/>
      <c r="J16" s="212"/>
      <c r="K16" s="241"/>
    </row>
    <row r="17" spans="1:11" x14ac:dyDescent="0.25">
      <c r="A17" s="179">
        <v>46128</v>
      </c>
      <c r="B17" s="82" t="s">
        <v>296</v>
      </c>
      <c r="C17" s="124" t="s">
        <v>9</v>
      </c>
      <c r="D17" s="82">
        <v>820</v>
      </c>
      <c r="E17" s="82"/>
      <c r="F17" s="82"/>
      <c r="G17" s="82">
        <v>33.1</v>
      </c>
      <c r="H17" s="90">
        <v>189640</v>
      </c>
      <c r="I17" s="90" t="s">
        <v>304</v>
      </c>
      <c r="J17" s="212"/>
      <c r="K17" s="241"/>
    </row>
    <row r="18" spans="1:11" x14ac:dyDescent="0.25">
      <c r="A18" s="179"/>
      <c r="B18" s="82"/>
      <c r="C18" s="124"/>
      <c r="D18" s="151"/>
      <c r="E18" s="151" t="s">
        <v>497</v>
      </c>
      <c r="F18" s="82"/>
      <c r="G18" s="82"/>
      <c r="H18" s="83"/>
      <c r="I18" s="90"/>
      <c r="J18" s="212"/>
      <c r="K18" s="241"/>
    </row>
    <row r="19" spans="1:11" x14ac:dyDescent="0.25">
      <c r="A19" s="5"/>
      <c r="B19" s="6"/>
      <c r="C19" s="6"/>
      <c r="D19" s="6"/>
      <c r="E19" s="6"/>
      <c r="F19" s="6"/>
      <c r="G19" s="6"/>
      <c r="H19" s="7"/>
      <c r="I19" s="7"/>
      <c r="J19" s="140"/>
      <c r="K19" s="242"/>
    </row>
    <row r="20" spans="1:11" x14ac:dyDescent="0.25">
      <c r="D20" s="17">
        <f>SUM(D3:D19)</f>
        <v>9370</v>
      </c>
      <c r="E20" s="13"/>
      <c r="F20" s="13"/>
      <c r="G20" s="13">
        <f>AVERAGE(G3:G18)</f>
        <v>35.773333333333333</v>
      </c>
      <c r="J20" s="139">
        <f>SUM(J3:J19)</f>
        <v>0</v>
      </c>
      <c r="K20" s="243">
        <f>SUM(K3:K19)</f>
        <v>1251018.2</v>
      </c>
    </row>
    <row r="25" spans="1:11" x14ac:dyDescent="0.25">
      <c r="D25" s="11"/>
    </row>
    <row r="26" spans="1:11" x14ac:dyDescent="0.25">
      <c r="D26" s="11"/>
    </row>
    <row r="27" spans="1:11" x14ac:dyDescent="0.25">
      <c r="D27" s="11"/>
    </row>
    <row r="28" spans="1:11" x14ac:dyDescent="0.25">
      <c r="B28" s="230">
        <v>-10000</v>
      </c>
      <c r="C28" s="11" t="s">
        <v>93</v>
      </c>
      <c r="D28" s="11"/>
      <c r="E28" s="11"/>
      <c r="F28" s="11"/>
      <c r="G28" s="89"/>
      <c r="K28" s="4"/>
    </row>
    <row r="29" spans="1:11" x14ac:dyDescent="0.25">
      <c r="B29" s="230">
        <v>8750</v>
      </c>
      <c r="C29" s="11" t="s">
        <v>74</v>
      </c>
      <c r="D29" s="11"/>
      <c r="E29" s="11"/>
      <c r="F29" s="11"/>
      <c r="G29" s="89"/>
      <c r="K29" s="4"/>
    </row>
    <row r="30" spans="1:11" x14ac:dyDescent="0.25">
      <c r="B30" s="230">
        <v>-8750</v>
      </c>
      <c r="C30" s="11" t="s">
        <v>93</v>
      </c>
      <c r="D30" s="11">
        <v>45478</v>
      </c>
      <c r="E30" s="11"/>
      <c r="F30" s="11"/>
      <c r="G30" s="89"/>
      <c r="K30" s="4"/>
    </row>
    <row r="31" spans="1:11" x14ac:dyDescent="0.25">
      <c r="B31" s="230">
        <v>-1000</v>
      </c>
      <c r="C31" s="11" t="s">
        <v>175</v>
      </c>
      <c r="D31" s="11">
        <v>45579</v>
      </c>
      <c r="E31" s="11"/>
      <c r="F31" s="11"/>
      <c r="G31" s="89"/>
      <c r="K31" s="4"/>
    </row>
    <row r="32" spans="1:11" x14ac:dyDescent="0.25">
      <c r="B32" s="230"/>
      <c r="C32" s="11"/>
      <c r="D32" s="11"/>
      <c r="E32" s="11"/>
      <c r="F32" s="11"/>
      <c r="G32" s="89"/>
      <c r="K32" s="4"/>
    </row>
    <row r="33" spans="2:11" x14ac:dyDescent="0.25">
      <c r="B33" s="230"/>
      <c r="C33" s="11"/>
      <c r="D33" s="11"/>
      <c r="E33" s="11"/>
      <c r="F33" s="11"/>
      <c r="G33" s="89"/>
      <c r="K33" s="4"/>
    </row>
    <row r="34" spans="2:11" x14ac:dyDescent="0.25">
      <c r="B34" s="230"/>
      <c r="C34" s="11"/>
      <c r="D34" s="11"/>
      <c r="E34" s="11"/>
      <c r="F34" s="11"/>
      <c r="G34" s="89"/>
      <c r="K34" s="4"/>
    </row>
    <row r="35" spans="2:11" x14ac:dyDescent="0.25">
      <c r="B35" s="135">
        <f>SUM(B27:B34)</f>
        <v>-11000</v>
      </c>
      <c r="C35" s="11">
        <v>45579</v>
      </c>
      <c r="D35" s="11"/>
      <c r="E35" s="11"/>
      <c r="F35" s="11"/>
      <c r="G35" s="11"/>
      <c r="K35" s="4"/>
    </row>
    <row r="36" spans="2:11" x14ac:dyDescent="0.25">
      <c r="B36" s="11"/>
      <c r="C36" s="11"/>
      <c r="D36" s="11"/>
      <c r="E36" s="11"/>
      <c r="F36" s="11"/>
      <c r="G36" s="11"/>
      <c r="K36" s="4"/>
    </row>
    <row r="37" spans="2:11" x14ac:dyDescent="0.25">
      <c r="B37" s="11"/>
      <c r="E37" s="11"/>
      <c r="F37" s="11"/>
      <c r="G37" s="11"/>
      <c r="K37" s="4"/>
    </row>
    <row r="38" spans="2:11" x14ac:dyDescent="0.25">
      <c r="B38" s="11"/>
      <c r="E38" s="11"/>
      <c r="F38" s="11"/>
      <c r="G38" s="11"/>
      <c r="K38" s="4"/>
    </row>
    <row r="39" spans="2:11" x14ac:dyDescent="0.25">
      <c r="B39" s="11"/>
      <c r="E39" s="11"/>
      <c r="F39" s="11"/>
      <c r="G39" s="11"/>
      <c r="K39" s="4"/>
    </row>
    <row r="40" spans="2:11" x14ac:dyDescent="0.25">
      <c r="B40" s="11"/>
      <c r="C40" s="11"/>
      <c r="E40" s="11"/>
      <c r="F40" s="11"/>
      <c r="G40" s="11"/>
      <c r="K40" s="4"/>
    </row>
    <row r="41" spans="2:11" x14ac:dyDescent="0.25">
      <c r="B41" s="11"/>
      <c r="E41" s="4"/>
      <c r="K41" s="4"/>
    </row>
    <row r="42" spans="2:11" x14ac:dyDescent="0.25">
      <c r="B42" s="11"/>
      <c r="F42" s="11"/>
      <c r="G42" s="11"/>
      <c r="I42" s="173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I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D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E76" s="11"/>
      <c r="F76" s="11"/>
      <c r="G76" s="11"/>
    </row>
    <row r="77" spans="2:7" x14ac:dyDescent="0.25">
      <c r="E77" s="11"/>
      <c r="F77" s="11"/>
      <c r="G77" s="11"/>
    </row>
    <row r="78" spans="2:7" x14ac:dyDescent="0.25">
      <c r="E78" s="11"/>
      <c r="F78" s="11"/>
      <c r="G78" s="11"/>
    </row>
    <row r="79" spans="2:7" x14ac:dyDescent="0.25">
      <c r="E79" s="11"/>
      <c r="F79" s="11"/>
      <c r="G79" s="11"/>
    </row>
    <row r="80" spans="2:7" x14ac:dyDescent="0.25">
      <c r="E80" s="11"/>
      <c r="F80" s="11"/>
      <c r="G80" s="11"/>
    </row>
    <row r="81" spans="5:7" x14ac:dyDescent="0.25">
      <c r="E81" s="11"/>
      <c r="F81" s="11"/>
      <c r="G81" s="11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AEA9-D77A-44BF-9CF7-A35D681197DD}">
  <dimension ref="A1:M80"/>
  <sheetViews>
    <sheetView zoomScale="110" zoomScaleNormal="110" workbookViewId="0">
      <selection activeCell="K16" sqref="K16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9" max="9" width="13.28515625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251">
        <v>46112</v>
      </c>
      <c r="B3" s="82" t="s">
        <v>9</v>
      </c>
      <c r="C3" s="124" t="s">
        <v>278</v>
      </c>
      <c r="D3" s="82">
        <v>430</v>
      </c>
      <c r="E3" s="82"/>
      <c r="F3" s="82">
        <v>34.72</v>
      </c>
      <c r="G3" s="82"/>
      <c r="H3" s="123">
        <v>293156</v>
      </c>
      <c r="I3" s="90" t="s">
        <v>15</v>
      </c>
      <c r="J3" s="138"/>
      <c r="K3" s="218"/>
    </row>
    <row r="4" spans="1:11" x14ac:dyDescent="0.25">
      <c r="A4" s="251">
        <v>46113</v>
      </c>
      <c r="B4" s="82" t="s">
        <v>278</v>
      </c>
      <c r="C4" s="124" t="s">
        <v>118</v>
      </c>
      <c r="D4" s="82">
        <v>150</v>
      </c>
      <c r="E4" s="82"/>
      <c r="F4" s="82"/>
      <c r="G4" s="82"/>
      <c r="H4" s="128" t="s">
        <v>66</v>
      </c>
      <c r="I4" s="90"/>
      <c r="J4" s="138"/>
      <c r="K4" s="218"/>
    </row>
    <row r="5" spans="1:11" x14ac:dyDescent="0.25">
      <c r="A5" s="251">
        <v>46114</v>
      </c>
      <c r="B5" s="82" t="s">
        <v>118</v>
      </c>
      <c r="C5" s="124" t="s">
        <v>146</v>
      </c>
      <c r="D5" s="82">
        <v>1430</v>
      </c>
      <c r="E5" s="82"/>
      <c r="F5" s="82"/>
      <c r="G5" s="82"/>
      <c r="H5" s="123">
        <v>112934</v>
      </c>
      <c r="I5" s="215" t="s">
        <v>414</v>
      </c>
      <c r="J5" s="138"/>
      <c r="K5" s="218"/>
    </row>
    <row r="6" spans="1:11" x14ac:dyDescent="0.25">
      <c r="A6" s="251">
        <v>46115</v>
      </c>
      <c r="B6" s="82" t="s">
        <v>146</v>
      </c>
      <c r="C6" s="124" t="s">
        <v>9</v>
      </c>
      <c r="D6" s="82">
        <v>940</v>
      </c>
      <c r="E6" s="82"/>
      <c r="F6" s="82"/>
      <c r="G6" s="82"/>
      <c r="H6" s="128" t="s">
        <v>66</v>
      </c>
      <c r="I6" s="90"/>
      <c r="J6" s="138"/>
      <c r="K6" s="218"/>
    </row>
    <row r="7" spans="1:11" x14ac:dyDescent="0.25">
      <c r="A7" s="251">
        <v>46119</v>
      </c>
      <c r="B7" s="82" t="s">
        <v>9</v>
      </c>
      <c r="C7" s="124" t="s">
        <v>415</v>
      </c>
      <c r="D7" s="82">
        <v>320</v>
      </c>
      <c r="E7" s="82"/>
      <c r="F7" s="82">
        <v>34.82</v>
      </c>
      <c r="G7" s="82"/>
      <c r="H7" s="123">
        <v>293484</v>
      </c>
      <c r="I7" s="90" t="s">
        <v>15</v>
      </c>
      <c r="J7" s="138"/>
      <c r="K7" s="218"/>
    </row>
    <row r="8" spans="1:11" x14ac:dyDescent="0.25">
      <c r="A8" s="251">
        <v>46120</v>
      </c>
      <c r="B8" s="82" t="s">
        <v>415</v>
      </c>
      <c r="C8" s="124" t="s">
        <v>103</v>
      </c>
      <c r="D8" s="82">
        <v>350</v>
      </c>
      <c r="E8" s="82"/>
      <c r="F8" s="82"/>
      <c r="G8" s="82"/>
      <c r="H8" s="128" t="s">
        <v>66</v>
      </c>
      <c r="I8" s="90"/>
      <c r="J8" s="138"/>
      <c r="K8" s="218"/>
    </row>
    <row r="9" spans="1:11" x14ac:dyDescent="0.25">
      <c r="A9" s="251">
        <v>46120</v>
      </c>
      <c r="B9" s="82" t="s">
        <v>103</v>
      </c>
      <c r="C9" s="124" t="s">
        <v>9</v>
      </c>
      <c r="D9" s="82">
        <v>200</v>
      </c>
      <c r="E9" s="82"/>
      <c r="F9" s="82"/>
      <c r="G9" s="82"/>
      <c r="H9" s="123">
        <v>182539</v>
      </c>
      <c r="I9" s="90" t="s">
        <v>259</v>
      </c>
      <c r="J9" s="138"/>
      <c r="K9" s="218"/>
    </row>
    <row r="10" spans="1:11" x14ac:dyDescent="0.25">
      <c r="A10" s="251">
        <v>46120</v>
      </c>
      <c r="B10" s="82" t="s">
        <v>9</v>
      </c>
      <c r="C10" s="124" t="s">
        <v>416</v>
      </c>
      <c r="D10" s="82">
        <v>140</v>
      </c>
      <c r="E10" s="82"/>
      <c r="F10" s="82"/>
      <c r="G10" s="82"/>
      <c r="H10" s="123">
        <v>619289</v>
      </c>
      <c r="I10" s="90"/>
      <c r="J10" s="138"/>
      <c r="K10" s="218">
        <v>423455.57</v>
      </c>
    </row>
    <row r="11" spans="1:11" x14ac:dyDescent="0.25">
      <c r="A11" s="251">
        <v>46274</v>
      </c>
      <c r="B11" s="82" t="s">
        <v>416</v>
      </c>
      <c r="C11" s="124" t="s">
        <v>103</v>
      </c>
      <c r="D11" s="82">
        <v>70</v>
      </c>
      <c r="E11" s="82"/>
      <c r="F11" s="82"/>
      <c r="G11" s="82"/>
      <c r="H11" s="128" t="s">
        <v>66</v>
      </c>
      <c r="I11" s="90"/>
      <c r="J11" s="138"/>
      <c r="K11" s="218"/>
    </row>
    <row r="12" spans="1:11" x14ac:dyDescent="0.25">
      <c r="A12" s="251">
        <v>46121</v>
      </c>
      <c r="B12" s="82" t="s">
        <v>103</v>
      </c>
      <c r="C12" s="124" t="s">
        <v>9</v>
      </c>
      <c r="D12" s="82">
        <v>200</v>
      </c>
      <c r="E12" s="82"/>
      <c r="F12" s="82"/>
      <c r="G12" s="82"/>
      <c r="H12" s="123">
        <v>182556</v>
      </c>
      <c r="I12" s="90" t="s">
        <v>259</v>
      </c>
      <c r="J12" s="138"/>
      <c r="K12" s="218"/>
    </row>
    <row r="13" spans="1:11" x14ac:dyDescent="0.25">
      <c r="A13" s="251">
        <v>46122</v>
      </c>
      <c r="B13" s="82" t="s">
        <v>9</v>
      </c>
      <c r="C13" s="124" t="s">
        <v>300</v>
      </c>
      <c r="D13" s="82">
        <v>430</v>
      </c>
      <c r="E13" s="82"/>
      <c r="F13" s="82">
        <v>35.659999999999997</v>
      </c>
      <c r="G13" s="82"/>
      <c r="H13" s="90">
        <v>619403</v>
      </c>
      <c r="I13" s="90" t="s">
        <v>15</v>
      </c>
      <c r="J13" s="138"/>
      <c r="K13" s="218"/>
    </row>
    <row r="14" spans="1:11" x14ac:dyDescent="0.25">
      <c r="A14" s="251">
        <v>46125</v>
      </c>
      <c r="B14" s="82" t="s">
        <v>300</v>
      </c>
      <c r="C14" s="124" t="s">
        <v>229</v>
      </c>
      <c r="D14" s="82">
        <v>150</v>
      </c>
      <c r="E14" s="82"/>
      <c r="F14" s="82"/>
      <c r="G14" s="82"/>
      <c r="H14" s="83" t="s">
        <v>66</v>
      </c>
      <c r="I14" s="90"/>
      <c r="J14" s="138"/>
      <c r="K14" s="218"/>
    </row>
    <row r="15" spans="1:11" x14ac:dyDescent="0.25">
      <c r="A15" s="251">
        <v>46126</v>
      </c>
      <c r="B15" s="82" t="s">
        <v>229</v>
      </c>
      <c r="C15" s="124" t="s">
        <v>9</v>
      </c>
      <c r="D15" s="82">
        <v>500</v>
      </c>
      <c r="E15" s="82"/>
      <c r="F15" s="82">
        <v>35.270000000000003</v>
      </c>
      <c r="G15" s="82"/>
      <c r="H15" s="90">
        <v>1064902</v>
      </c>
      <c r="I15" s="90" t="s">
        <v>368</v>
      </c>
      <c r="J15" s="138"/>
      <c r="K15" s="218">
        <v>579519.61</v>
      </c>
    </row>
    <row r="16" spans="1:11" x14ac:dyDescent="0.25">
      <c r="A16" s="251">
        <v>46127</v>
      </c>
      <c r="B16" s="82" t="s">
        <v>9</v>
      </c>
      <c r="C16" s="124" t="s">
        <v>499</v>
      </c>
      <c r="D16" s="82">
        <v>870</v>
      </c>
      <c r="E16" s="82"/>
      <c r="F16" s="82"/>
      <c r="G16" s="82"/>
      <c r="H16" s="90" t="s">
        <v>252</v>
      </c>
      <c r="I16" s="90"/>
      <c r="J16" s="138"/>
      <c r="K16" s="218"/>
    </row>
    <row r="17" spans="1:11" x14ac:dyDescent="0.25">
      <c r="A17" s="251">
        <v>46219</v>
      </c>
      <c r="B17" s="82" t="s">
        <v>499</v>
      </c>
      <c r="C17" s="124" t="s">
        <v>9</v>
      </c>
      <c r="D17" s="82">
        <v>870</v>
      </c>
      <c r="E17" s="82"/>
      <c r="F17" s="82"/>
      <c r="G17" s="82"/>
      <c r="H17" s="83" t="s">
        <v>66</v>
      </c>
      <c r="I17" s="90"/>
      <c r="J17" s="138"/>
      <c r="K17" s="218"/>
    </row>
    <row r="18" spans="1:11" x14ac:dyDescent="0.25">
      <c r="A18" s="251">
        <v>46130</v>
      </c>
      <c r="B18" s="82" t="s">
        <v>9</v>
      </c>
      <c r="C18" s="124" t="s">
        <v>351</v>
      </c>
      <c r="D18" s="82">
        <v>1010</v>
      </c>
      <c r="E18" s="82"/>
      <c r="F18" s="82">
        <v>35.01</v>
      </c>
      <c r="G18" s="82"/>
      <c r="H18" s="90">
        <v>619980</v>
      </c>
      <c r="I18" s="90" t="s">
        <v>257</v>
      </c>
      <c r="J18" s="138"/>
      <c r="K18" s="218"/>
    </row>
    <row r="19" spans="1:11" x14ac:dyDescent="0.25">
      <c r="A19" s="251">
        <v>46133</v>
      </c>
      <c r="B19" s="82" t="s">
        <v>351</v>
      </c>
      <c r="C19" s="124" t="s">
        <v>227</v>
      </c>
      <c r="D19" s="82">
        <v>240</v>
      </c>
      <c r="E19" s="82"/>
      <c r="F19" s="82"/>
      <c r="G19" s="82"/>
      <c r="H19" s="83" t="s">
        <v>66</v>
      </c>
      <c r="I19" s="90"/>
      <c r="J19" s="138"/>
      <c r="K19" s="218"/>
    </row>
    <row r="20" spans="1:11" x14ac:dyDescent="0.25">
      <c r="A20" s="251">
        <v>46134</v>
      </c>
      <c r="B20" s="82" t="s">
        <v>296</v>
      </c>
      <c r="C20" s="124" t="s">
        <v>9</v>
      </c>
      <c r="D20" s="82">
        <v>820</v>
      </c>
      <c r="E20" s="82"/>
      <c r="F20" s="82">
        <v>34.6</v>
      </c>
      <c r="G20" s="82"/>
      <c r="H20" s="90">
        <v>189811</v>
      </c>
      <c r="I20" s="90" t="s">
        <v>304</v>
      </c>
      <c r="J20" s="138"/>
      <c r="K20" s="218"/>
    </row>
    <row r="21" spans="1:11" x14ac:dyDescent="0.25">
      <c r="A21" s="91">
        <v>46136</v>
      </c>
      <c r="B21" s="82" t="s">
        <v>9</v>
      </c>
      <c r="C21" s="124" t="s">
        <v>276</v>
      </c>
      <c r="D21" s="82">
        <v>400</v>
      </c>
      <c r="E21" s="82"/>
      <c r="F21" s="82"/>
      <c r="G21" s="82"/>
      <c r="H21" s="90">
        <v>294465</v>
      </c>
      <c r="I21" s="90" t="s">
        <v>15</v>
      </c>
      <c r="J21" s="138"/>
      <c r="K21" s="218"/>
    </row>
    <row r="22" spans="1:11" x14ac:dyDescent="0.25">
      <c r="A22" s="179">
        <v>46139</v>
      </c>
      <c r="B22" s="82" t="s">
        <v>424</v>
      </c>
      <c r="C22" s="124" t="s">
        <v>118</v>
      </c>
      <c r="D22" s="82">
        <v>150</v>
      </c>
      <c r="E22" s="82"/>
      <c r="F22" s="82"/>
      <c r="G22" s="82"/>
      <c r="H22" s="128" t="s">
        <v>66</v>
      </c>
      <c r="I22" s="90"/>
      <c r="J22" s="138"/>
      <c r="K22" s="218"/>
    </row>
    <row r="23" spans="1:11" x14ac:dyDescent="0.25">
      <c r="A23" s="179">
        <v>46139</v>
      </c>
      <c r="B23" s="82" t="s">
        <v>118</v>
      </c>
      <c r="C23" s="124" t="s">
        <v>385</v>
      </c>
      <c r="D23" s="82">
        <v>1560</v>
      </c>
      <c r="E23" s="82"/>
      <c r="F23" s="82"/>
      <c r="G23" s="82"/>
      <c r="H23" s="90" t="s">
        <v>252</v>
      </c>
      <c r="I23" s="90" t="s">
        <v>386</v>
      </c>
      <c r="J23" s="138"/>
      <c r="K23" s="218"/>
    </row>
    <row r="24" spans="1:11" x14ac:dyDescent="0.25">
      <c r="A24" s="251"/>
      <c r="B24" s="82"/>
      <c r="C24" s="124"/>
      <c r="D24" s="151" t="s">
        <v>446</v>
      </c>
      <c r="E24" s="82"/>
      <c r="F24" s="82"/>
      <c r="G24" s="82"/>
      <c r="H24" s="128"/>
      <c r="I24" s="90"/>
      <c r="J24" s="138"/>
      <c r="K24" s="218"/>
    </row>
    <row r="25" spans="1:11" x14ac:dyDescent="0.25">
      <c r="A25" s="5"/>
      <c r="B25" s="6"/>
      <c r="C25" s="6"/>
      <c r="D25" s="6"/>
      <c r="E25" s="6"/>
      <c r="F25" s="6"/>
      <c r="G25" s="6"/>
      <c r="H25" s="7"/>
      <c r="I25" s="7"/>
      <c r="J25" s="140"/>
      <c r="K25" s="218"/>
    </row>
    <row r="26" spans="1:11" x14ac:dyDescent="0.25">
      <c r="D26" s="17">
        <f>SUM(D3:D25)</f>
        <v>11230</v>
      </c>
      <c r="E26" s="13"/>
      <c r="F26" s="13">
        <f>AVERAGE(F3:F24)</f>
        <v>35.013333333333328</v>
      </c>
      <c r="G26" s="13"/>
      <c r="J26" s="139">
        <f>SUM(J3:J25)</f>
        <v>0</v>
      </c>
      <c r="K26" s="219">
        <f>SUM(K3:K25)</f>
        <v>1002975.1799999999</v>
      </c>
    </row>
    <row r="28" spans="1:11" x14ac:dyDescent="0.25">
      <c r="B28">
        <v>-10000</v>
      </c>
      <c r="D28" s="11"/>
      <c r="E28" s="11"/>
      <c r="F28" s="11"/>
      <c r="G28" s="11"/>
      <c r="K28" s="4"/>
    </row>
    <row r="29" spans="1:11" x14ac:dyDescent="0.25">
      <c r="B29">
        <v>-150000</v>
      </c>
      <c r="C29" s="11" t="s">
        <v>13</v>
      </c>
      <c r="D29" s="11">
        <v>45812</v>
      </c>
      <c r="E29" s="11"/>
      <c r="F29" s="11"/>
      <c r="G29" s="11"/>
      <c r="K29" s="4"/>
    </row>
    <row r="30" spans="1:11" x14ac:dyDescent="0.25">
      <c r="B30">
        <v>47000</v>
      </c>
      <c r="C30" s="11" t="s">
        <v>12</v>
      </c>
      <c r="D30" s="11">
        <v>45819</v>
      </c>
      <c r="E30" s="11"/>
      <c r="F30" s="11"/>
      <c r="G30" s="11"/>
      <c r="K30" s="4"/>
    </row>
    <row r="31" spans="1:11" x14ac:dyDescent="0.25">
      <c r="B31">
        <v>103000</v>
      </c>
      <c r="C31" s="11" t="s">
        <v>294</v>
      </c>
      <c r="D31" s="11"/>
      <c r="E31" s="11"/>
      <c r="F31" s="11"/>
      <c r="G31" s="11"/>
      <c r="K31" s="4"/>
    </row>
    <row r="32" spans="1:11" x14ac:dyDescent="0.25">
      <c r="B32">
        <v>-10000</v>
      </c>
      <c r="C32" s="11" t="s">
        <v>13</v>
      </c>
      <c r="D32" s="11">
        <v>45819</v>
      </c>
      <c r="E32" s="11"/>
      <c r="F32" s="11"/>
      <c r="G32" s="11"/>
      <c r="K32" s="4"/>
    </row>
    <row r="33" spans="2:13" x14ac:dyDescent="0.25">
      <c r="B33">
        <v>8900</v>
      </c>
      <c r="C33" s="11" t="s">
        <v>12</v>
      </c>
      <c r="D33" s="11">
        <v>45860</v>
      </c>
      <c r="E33" s="11"/>
      <c r="F33" s="11"/>
      <c r="G33" s="11"/>
      <c r="K33" s="4"/>
    </row>
    <row r="34" spans="2:13" x14ac:dyDescent="0.25">
      <c r="B34">
        <v>-8900</v>
      </c>
      <c r="C34" s="11" t="s">
        <v>13</v>
      </c>
      <c r="D34" s="11"/>
      <c r="E34" s="11"/>
      <c r="F34" s="11"/>
      <c r="G34" s="11"/>
      <c r="K34" s="4"/>
    </row>
    <row r="35" spans="2:13" x14ac:dyDescent="0.25">
      <c r="B35">
        <v>8900</v>
      </c>
      <c r="C35" s="11" t="s">
        <v>12</v>
      </c>
      <c r="D35" s="11">
        <v>45866</v>
      </c>
      <c r="E35" s="11"/>
      <c r="F35" s="11"/>
      <c r="G35" s="11"/>
      <c r="K35" s="4"/>
    </row>
    <row r="36" spans="2:13" x14ac:dyDescent="0.25">
      <c r="B36">
        <v>-10000</v>
      </c>
      <c r="C36" s="11">
        <v>45866</v>
      </c>
      <c r="D36" s="11"/>
      <c r="E36" s="11"/>
      <c r="F36" s="11"/>
      <c r="G36" s="11"/>
      <c r="K36" s="4"/>
    </row>
    <row r="37" spans="2:13" x14ac:dyDescent="0.25">
      <c r="B37">
        <v>5100</v>
      </c>
      <c r="C37" s="11" t="s">
        <v>138</v>
      </c>
      <c r="D37" s="11">
        <v>45954</v>
      </c>
      <c r="E37" s="11"/>
      <c r="F37" s="11"/>
      <c r="G37" s="11"/>
      <c r="K37" s="4"/>
    </row>
    <row r="38" spans="2:13" x14ac:dyDescent="0.25">
      <c r="B38">
        <v>-5100</v>
      </c>
      <c r="C38" s="11" t="s">
        <v>13</v>
      </c>
      <c r="D38" s="11"/>
      <c r="E38" s="11"/>
      <c r="F38" s="11"/>
      <c r="G38" s="11"/>
      <c r="K38" s="4"/>
    </row>
    <row r="39" spans="2:13" x14ac:dyDescent="0.25">
      <c r="B39">
        <v>-1000</v>
      </c>
      <c r="C39" s="11" t="s">
        <v>348</v>
      </c>
      <c r="D39" s="11">
        <v>46091</v>
      </c>
      <c r="E39" s="11"/>
      <c r="F39" s="11"/>
      <c r="G39" s="11"/>
      <c r="K39" s="4"/>
    </row>
    <row r="40" spans="2:13" x14ac:dyDescent="0.25">
      <c r="B40" s="135">
        <f>SUM(B28:B39)</f>
        <v>-22100</v>
      </c>
      <c r="C40" s="11">
        <v>46091</v>
      </c>
      <c r="D40" s="11"/>
      <c r="E40" s="4"/>
      <c r="K40" s="4"/>
      <c r="M40">
        <v>16486.66</v>
      </c>
    </row>
    <row r="41" spans="2:13" x14ac:dyDescent="0.25">
      <c r="B41" s="11"/>
      <c r="D41" s="11"/>
      <c r="F41" s="11"/>
      <c r="G41" s="11"/>
      <c r="I41" s="173"/>
      <c r="K41" s="4"/>
      <c r="M41">
        <v>23766.66</v>
      </c>
    </row>
    <row r="42" spans="2:13" x14ac:dyDescent="0.25">
      <c r="B42" s="11"/>
      <c r="E42" s="11"/>
      <c r="F42" s="11"/>
      <c r="G42" s="11"/>
      <c r="K42" s="4"/>
      <c r="M42">
        <v>61333</v>
      </c>
    </row>
    <row r="43" spans="2:13" x14ac:dyDescent="0.25">
      <c r="B43" s="11"/>
      <c r="K43" s="4"/>
      <c r="M43">
        <v>61333</v>
      </c>
    </row>
    <row r="44" spans="2:13" x14ac:dyDescent="0.25">
      <c r="B44" s="11"/>
      <c r="E44" s="11"/>
      <c r="F44" s="11"/>
      <c r="G44" s="11"/>
      <c r="K44" s="4"/>
      <c r="M44">
        <v>9100</v>
      </c>
    </row>
    <row r="45" spans="2:13" x14ac:dyDescent="0.25">
      <c r="B45" s="11"/>
      <c r="C45" s="11"/>
      <c r="I45" s="4"/>
      <c r="M45">
        <v>5999.85</v>
      </c>
    </row>
    <row r="46" spans="2:13" x14ac:dyDescent="0.25">
      <c r="B46" s="11"/>
      <c r="E46" s="11"/>
      <c r="F46" s="11"/>
      <c r="G46" s="11"/>
      <c r="K46" s="4"/>
      <c r="M46">
        <v>7200</v>
      </c>
    </row>
    <row r="47" spans="2:13" x14ac:dyDescent="0.25">
      <c r="B47" s="11"/>
      <c r="E47" s="11"/>
      <c r="F47" s="11"/>
      <c r="G47" s="11"/>
      <c r="K47" s="4"/>
      <c r="M47">
        <v>15000</v>
      </c>
    </row>
    <row r="48" spans="2:13" x14ac:dyDescent="0.25">
      <c r="B48" s="11"/>
      <c r="E48" s="11"/>
      <c r="F48" s="11"/>
      <c r="G48" s="11"/>
      <c r="K48" s="4"/>
      <c r="M48">
        <v>14271.33</v>
      </c>
    </row>
    <row r="49" spans="2:13" x14ac:dyDescent="0.25">
      <c r="B49" s="11"/>
      <c r="E49" s="11"/>
      <c r="F49" s="11"/>
      <c r="G49" s="11"/>
      <c r="K49" s="4"/>
      <c r="M49">
        <f>SUM(M29:M48)</f>
        <v>214490.5</v>
      </c>
    </row>
    <row r="50" spans="2:13" x14ac:dyDescent="0.25">
      <c r="B50" s="11"/>
      <c r="E50" s="11"/>
      <c r="F50" s="11"/>
      <c r="G50" s="11"/>
      <c r="K50" s="4"/>
    </row>
    <row r="51" spans="2:13" x14ac:dyDescent="0.25">
      <c r="B51" s="11"/>
      <c r="E51" s="11"/>
      <c r="F51" s="11"/>
      <c r="G51" s="11"/>
      <c r="K51" s="4"/>
    </row>
    <row r="52" spans="2:13" x14ac:dyDescent="0.25">
      <c r="B52" s="11"/>
      <c r="E52" s="11"/>
      <c r="F52" s="11"/>
      <c r="G52" s="11"/>
      <c r="K52" s="4"/>
    </row>
    <row r="53" spans="2:13" x14ac:dyDescent="0.25">
      <c r="B53" s="11"/>
      <c r="E53" s="11"/>
      <c r="F53" s="11"/>
      <c r="G53" s="11"/>
      <c r="K53" s="4"/>
    </row>
    <row r="54" spans="2:13" x14ac:dyDescent="0.25">
      <c r="B54" s="11"/>
      <c r="E54" s="11"/>
      <c r="F54" s="11"/>
      <c r="G54" s="11"/>
      <c r="K54" s="4"/>
    </row>
    <row r="55" spans="2:13" x14ac:dyDescent="0.25">
      <c r="B55" s="11"/>
      <c r="E55" s="11"/>
      <c r="F55" s="11"/>
      <c r="G55" s="11"/>
      <c r="K55" s="4"/>
    </row>
    <row r="56" spans="2:13" x14ac:dyDescent="0.25">
      <c r="B56" s="11"/>
      <c r="E56" s="11"/>
      <c r="F56" s="11"/>
      <c r="G56" s="11"/>
      <c r="K56" s="4"/>
    </row>
    <row r="57" spans="2:13" x14ac:dyDescent="0.25">
      <c r="B57" s="11"/>
      <c r="D57" s="11"/>
      <c r="E57" s="11"/>
      <c r="F57" s="11"/>
      <c r="G57" s="11"/>
      <c r="K57" s="4"/>
    </row>
    <row r="58" spans="2:13" x14ac:dyDescent="0.25">
      <c r="B58" s="11"/>
      <c r="E58" s="11"/>
      <c r="F58" s="11"/>
      <c r="G58" s="11"/>
    </row>
    <row r="59" spans="2:13" x14ac:dyDescent="0.25">
      <c r="B59" s="11"/>
      <c r="E59" s="11"/>
      <c r="F59" s="11"/>
      <c r="G59" s="11"/>
    </row>
    <row r="60" spans="2:13" x14ac:dyDescent="0.25">
      <c r="B60" s="11"/>
      <c r="E60" s="11"/>
      <c r="F60" s="11"/>
      <c r="G60" s="11"/>
    </row>
    <row r="61" spans="2:13" x14ac:dyDescent="0.25">
      <c r="B61" s="11"/>
      <c r="E61" s="11"/>
      <c r="F61" s="11"/>
      <c r="G61" s="11"/>
    </row>
    <row r="62" spans="2:13" x14ac:dyDescent="0.25">
      <c r="B62" s="11"/>
      <c r="E62" s="11"/>
      <c r="F62" s="11"/>
      <c r="G62" s="11"/>
    </row>
    <row r="63" spans="2:13" x14ac:dyDescent="0.25">
      <c r="B63" s="11"/>
      <c r="E63" s="11"/>
      <c r="F63" s="11"/>
      <c r="G63" s="11"/>
    </row>
    <row r="64" spans="2:13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  <row r="80" spans="2:7" x14ac:dyDescent="0.25">
      <c r="B80" s="11"/>
      <c r="E80" s="11"/>
      <c r="F80" s="11"/>
      <c r="G80" s="11"/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A526-F949-4415-B9BF-6B950945795F}">
  <dimension ref="A1:M75"/>
  <sheetViews>
    <sheetView zoomScale="110" zoomScaleNormal="110" workbookViewId="0">
      <selection activeCell="B6" sqref="B6:I7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46112</v>
      </c>
      <c r="B3" s="82" t="s">
        <v>9</v>
      </c>
      <c r="C3" s="124" t="s">
        <v>276</v>
      </c>
      <c r="D3" s="82">
        <v>400</v>
      </c>
      <c r="E3" s="82"/>
      <c r="F3" s="82">
        <v>35.26</v>
      </c>
      <c r="G3" s="82"/>
      <c r="H3" s="123">
        <v>293200</v>
      </c>
      <c r="I3" s="90" t="s">
        <v>15</v>
      </c>
      <c r="J3" s="138"/>
      <c r="K3" s="218">
        <v>723643.75</v>
      </c>
    </row>
    <row r="4" spans="1:11" x14ac:dyDescent="0.25">
      <c r="A4" s="91">
        <v>46113</v>
      </c>
      <c r="B4" s="82" t="s">
        <v>276</v>
      </c>
      <c r="C4" s="124" t="s">
        <v>118</v>
      </c>
      <c r="D4" s="82">
        <v>145</v>
      </c>
      <c r="E4" s="82"/>
      <c r="F4" s="82"/>
      <c r="G4" s="82"/>
      <c r="H4" s="128" t="s">
        <v>66</v>
      </c>
      <c r="I4" s="90"/>
      <c r="J4" s="138"/>
      <c r="K4" s="218"/>
    </row>
    <row r="5" spans="1:11" x14ac:dyDescent="0.25">
      <c r="A5" s="91">
        <v>46114</v>
      </c>
      <c r="B5" s="82" t="s">
        <v>118</v>
      </c>
      <c r="C5" s="124" t="s">
        <v>146</v>
      </c>
      <c r="D5" s="82">
        <v>1430</v>
      </c>
      <c r="E5" s="82"/>
      <c r="F5" s="82"/>
      <c r="G5" s="82"/>
      <c r="H5" s="123">
        <v>118784</v>
      </c>
      <c r="I5" s="90" t="s">
        <v>147</v>
      </c>
      <c r="J5" s="138"/>
      <c r="K5" s="218"/>
    </row>
    <row r="6" spans="1:11" x14ac:dyDescent="0.25">
      <c r="A6" s="91">
        <v>46117</v>
      </c>
      <c r="B6" s="82" t="s">
        <v>146</v>
      </c>
      <c r="C6" s="82" t="s">
        <v>227</v>
      </c>
      <c r="D6" s="82">
        <v>180</v>
      </c>
      <c r="E6" s="82"/>
      <c r="F6" s="82"/>
      <c r="G6" s="82"/>
      <c r="H6" s="128" t="s">
        <v>66</v>
      </c>
      <c r="I6" s="90"/>
      <c r="J6" s="138"/>
      <c r="K6" s="218"/>
    </row>
    <row r="7" spans="1:11" x14ac:dyDescent="0.25">
      <c r="A7" s="91">
        <v>46119</v>
      </c>
      <c r="B7" s="82" t="s">
        <v>296</v>
      </c>
      <c r="C7" s="82" t="s">
        <v>9</v>
      </c>
      <c r="D7" s="82">
        <v>820</v>
      </c>
      <c r="E7" s="82"/>
      <c r="F7" s="82">
        <v>33.729999999999997</v>
      </c>
      <c r="G7" s="82"/>
      <c r="H7" s="123">
        <v>189369</v>
      </c>
      <c r="I7" s="90" t="s">
        <v>417</v>
      </c>
      <c r="J7" s="138"/>
      <c r="K7" s="218"/>
    </row>
    <row r="8" spans="1:11" x14ac:dyDescent="0.25">
      <c r="A8" s="91">
        <v>46120</v>
      </c>
      <c r="B8" s="227" t="s">
        <v>9</v>
      </c>
      <c r="C8" s="82" t="s">
        <v>104</v>
      </c>
      <c r="D8" s="82">
        <v>320</v>
      </c>
      <c r="E8" s="82"/>
      <c r="F8" s="82"/>
      <c r="G8" s="82"/>
      <c r="H8" s="123">
        <v>765232</v>
      </c>
      <c r="I8" s="90"/>
      <c r="J8" s="138"/>
      <c r="K8" s="218">
        <v>857189.3</v>
      </c>
    </row>
    <row r="9" spans="1:11" x14ac:dyDescent="0.25">
      <c r="A9" s="91">
        <v>46121</v>
      </c>
      <c r="B9" s="227" t="s">
        <v>104</v>
      </c>
      <c r="C9" s="82" t="s">
        <v>9</v>
      </c>
      <c r="D9" s="82">
        <v>320</v>
      </c>
      <c r="E9" s="82"/>
      <c r="F9" s="82"/>
      <c r="G9" s="82"/>
      <c r="H9" s="123" t="s">
        <v>102</v>
      </c>
      <c r="I9" s="90" t="s">
        <v>306</v>
      </c>
      <c r="J9" s="138"/>
      <c r="K9" s="218"/>
    </row>
    <row r="10" spans="1:11" x14ac:dyDescent="0.25">
      <c r="A10" s="91">
        <v>46121</v>
      </c>
      <c r="B10" s="82" t="s">
        <v>9</v>
      </c>
      <c r="C10" s="82" t="s">
        <v>295</v>
      </c>
      <c r="D10" s="82">
        <v>390</v>
      </c>
      <c r="E10" s="82"/>
      <c r="F10" s="82"/>
      <c r="G10" s="82"/>
      <c r="H10" s="123">
        <v>29588</v>
      </c>
      <c r="I10" s="90" t="s">
        <v>15</v>
      </c>
      <c r="J10" s="138"/>
      <c r="K10" s="218"/>
    </row>
    <row r="11" spans="1:11" x14ac:dyDescent="0.25">
      <c r="A11" s="91">
        <v>46122</v>
      </c>
      <c r="B11" s="82" t="s">
        <v>295</v>
      </c>
      <c r="C11" s="82" t="s">
        <v>118</v>
      </c>
      <c r="D11" s="82">
        <v>130</v>
      </c>
      <c r="E11" s="82"/>
      <c r="F11" s="82"/>
      <c r="G11" s="82"/>
      <c r="H11" s="128" t="s">
        <v>66</v>
      </c>
      <c r="I11" s="90"/>
      <c r="J11" s="138"/>
      <c r="K11" s="218"/>
    </row>
    <row r="12" spans="1:11" x14ac:dyDescent="0.25">
      <c r="A12" s="91">
        <v>46122</v>
      </c>
      <c r="B12" s="82" t="s">
        <v>118</v>
      </c>
      <c r="C12" s="124" t="s">
        <v>146</v>
      </c>
      <c r="D12" s="82">
        <v>1430</v>
      </c>
      <c r="E12" s="82"/>
      <c r="F12" s="82"/>
      <c r="G12" s="82"/>
      <c r="H12" s="123">
        <v>120360</v>
      </c>
      <c r="I12" s="90" t="s">
        <v>147</v>
      </c>
      <c r="J12" s="138"/>
      <c r="K12" s="218"/>
    </row>
    <row r="13" spans="1:11" x14ac:dyDescent="0.25">
      <c r="A13" s="91">
        <v>46126</v>
      </c>
      <c r="B13" s="82" t="s">
        <v>146</v>
      </c>
      <c r="C13" s="82" t="s">
        <v>227</v>
      </c>
      <c r="D13" s="82">
        <v>180</v>
      </c>
      <c r="E13" s="82"/>
      <c r="F13" s="82"/>
      <c r="G13" s="82"/>
      <c r="H13" s="128" t="s">
        <v>66</v>
      </c>
      <c r="I13" s="90"/>
      <c r="J13" s="138"/>
      <c r="K13" s="218"/>
    </row>
    <row r="14" spans="1:11" x14ac:dyDescent="0.25">
      <c r="A14" s="91">
        <v>46127</v>
      </c>
      <c r="B14" s="82" t="s">
        <v>296</v>
      </c>
      <c r="C14" s="82" t="s">
        <v>9</v>
      </c>
      <c r="D14" s="82">
        <v>820</v>
      </c>
      <c r="E14" s="82"/>
      <c r="F14" s="82">
        <v>34.799999999999997</v>
      </c>
      <c r="G14" s="82"/>
      <c r="H14" s="123">
        <v>189536</v>
      </c>
      <c r="I14" s="90" t="s">
        <v>417</v>
      </c>
      <c r="J14" s="138"/>
      <c r="K14" s="218">
        <v>1503186.91</v>
      </c>
    </row>
    <row r="15" spans="1:11" x14ac:dyDescent="0.25">
      <c r="A15" s="91">
        <v>46129</v>
      </c>
      <c r="B15" s="82" t="s">
        <v>9</v>
      </c>
      <c r="C15" s="124" t="s">
        <v>351</v>
      </c>
      <c r="D15" s="82">
        <v>1010</v>
      </c>
      <c r="E15" s="82"/>
      <c r="F15" s="82">
        <v>34.659999999999997</v>
      </c>
      <c r="G15" s="82"/>
      <c r="H15" s="90">
        <v>619861</v>
      </c>
      <c r="I15" s="90" t="s">
        <v>257</v>
      </c>
      <c r="J15" s="138"/>
      <c r="K15" s="218"/>
    </row>
    <row r="16" spans="1:11" x14ac:dyDescent="0.25">
      <c r="A16" s="91">
        <v>46132</v>
      </c>
      <c r="B16" s="82" t="s">
        <v>351</v>
      </c>
      <c r="C16" s="124" t="s">
        <v>227</v>
      </c>
      <c r="D16" s="82">
        <v>230</v>
      </c>
      <c r="E16" s="82"/>
      <c r="F16" s="82"/>
      <c r="G16" s="82"/>
      <c r="H16" s="83" t="s">
        <v>66</v>
      </c>
      <c r="I16" s="90"/>
      <c r="J16" s="138"/>
      <c r="K16" s="218"/>
    </row>
    <row r="17" spans="1:11" x14ac:dyDescent="0.25">
      <c r="A17" s="91">
        <v>46132</v>
      </c>
      <c r="B17" s="82" t="s">
        <v>296</v>
      </c>
      <c r="C17" s="124" t="s">
        <v>9</v>
      </c>
      <c r="D17" s="82">
        <v>820</v>
      </c>
      <c r="E17" s="82"/>
      <c r="F17" s="82">
        <v>33.9</v>
      </c>
      <c r="G17" s="82"/>
      <c r="H17" s="90">
        <v>189743</v>
      </c>
      <c r="I17" s="90" t="s">
        <v>304</v>
      </c>
      <c r="J17" s="138"/>
      <c r="K17" s="218"/>
    </row>
    <row r="18" spans="1:11" x14ac:dyDescent="0.25">
      <c r="A18" s="91">
        <v>46134</v>
      </c>
      <c r="B18" s="82" t="s">
        <v>9</v>
      </c>
      <c r="C18" s="124" t="s">
        <v>300</v>
      </c>
      <c r="D18" s="82">
        <v>430</v>
      </c>
      <c r="E18" s="82"/>
      <c r="F18" s="82">
        <v>34.700000000000003</v>
      </c>
      <c r="G18" s="82"/>
      <c r="H18" s="90">
        <v>294336</v>
      </c>
      <c r="I18" s="90" t="s">
        <v>15</v>
      </c>
      <c r="J18" s="138"/>
      <c r="K18" s="218"/>
    </row>
    <row r="19" spans="1:11" x14ac:dyDescent="0.25">
      <c r="A19" s="91">
        <v>46135</v>
      </c>
      <c r="B19" s="82" t="s">
        <v>300</v>
      </c>
      <c r="C19" s="124" t="s">
        <v>118</v>
      </c>
      <c r="D19" s="82">
        <v>100</v>
      </c>
      <c r="E19" s="82"/>
      <c r="F19" s="82"/>
      <c r="G19" s="82"/>
      <c r="H19" s="128" t="s">
        <v>66</v>
      </c>
      <c r="I19" s="90"/>
      <c r="J19" s="138"/>
      <c r="K19" s="218"/>
    </row>
    <row r="20" spans="1:11" x14ac:dyDescent="0.25">
      <c r="A20" s="91">
        <v>46136</v>
      </c>
      <c r="B20" s="82" t="s">
        <v>118</v>
      </c>
      <c r="C20" s="124" t="s">
        <v>146</v>
      </c>
      <c r="D20" s="82">
        <v>1430</v>
      </c>
      <c r="E20" s="82"/>
      <c r="F20" s="82"/>
      <c r="G20" s="82"/>
      <c r="H20" s="123">
        <v>122673</v>
      </c>
      <c r="I20" s="90" t="s">
        <v>147</v>
      </c>
      <c r="J20" s="138"/>
      <c r="K20" s="218"/>
    </row>
    <row r="21" spans="1:11" x14ac:dyDescent="0.25">
      <c r="A21" s="91">
        <v>46140</v>
      </c>
      <c r="B21" s="82" t="s">
        <v>146</v>
      </c>
      <c r="C21" s="82" t="s">
        <v>9</v>
      </c>
      <c r="D21" s="82">
        <v>940</v>
      </c>
      <c r="E21" s="82"/>
      <c r="F21" s="82"/>
      <c r="G21" s="82"/>
      <c r="H21" s="128" t="s">
        <v>66</v>
      </c>
      <c r="I21" s="90"/>
      <c r="J21" s="138"/>
      <c r="K21" s="218"/>
    </row>
    <row r="22" spans="1:11" x14ac:dyDescent="0.25">
      <c r="A22" s="91">
        <v>46141</v>
      </c>
      <c r="B22" s="227" t="s">
        <v>9</v>
      </c>
      <c r="C22" s="82" t="s">
        <v>251</v>
      </c>
      <c r="D22" s="82">
        <v>360</v>
      </c>
      <c r="E22" s="82"/>
      <c r="F22" s="82">
        <v>34.28</v>
      </c>
      <c r="G22" s="82"/>
      <c r="H22" s="288">
        <v>294824</v>
      </c>
      <c r="I22" s="90" t="s">
        <v>15</v>
      </c>
      <c r="J22" s="138"/>
      <c r="K22" s="218"/>
    </row>
    <row r="23" spans="1:11" x14ac:dyDescent="0.25">
      <c r="A23" s="91">
        <v>46142</v>
      </c>
      <c r="B23" s="227" t="s">
        <v>251</v>
      </c>
      <c r="C23" s="82" t="s">
        <v>118</v>
      </c>
      <c r="D23" s="82">
        <v>180</v>
      </c>
      <c r="E23" s="82"/>
      <c r="F23" s="82"/>
      <c r="G23" s="82"/>
      <c r="H23" s="128" t="s">
        <v>66</v>
      </c>
      <c r="I23" s="90"/>
      <c r="J23" s="138"/>
      <c r="K23" s="218"/>
    </row>
    <row r="24" spans="1:11" x14ac:dyDescent="0.25">
      <c r="A24" s="91"/>
      <c r="B24" s="227"/>
      <c r="C24" s="82"/>
      <c r="D24" s="151" t="s">
        <v>451</v>
      </c>
      <c r="E24" s="82"/>
      <c r="F24" s="82"/>
      <c r="G24" s="82"/>
      <c r="H24" s="128"/>
      <c r="I24" s="90"/>
      <c r="J24" s="138"/>
      <c r="K24" s="218"/>
    </row>
    <row r="25" spans="1:11" x14ac:dyDescent="0.25">
      <c r="A25" s="5"/>
      <c r="B25" s="6"/>
      <c r="C25" s="6"/>
      <c r="D25" s="6"/>
      <c r="E25" s="6"/>
      <c r="F25" s="6"/>
      <c r="G25" s="6"/>
      <c r="H25" s="7"/>
      <c r="I25" s="7"/>
      <c r="J25" s="140"/>
      <c r="K25" s="218"/>
    </row>
    <row r="26" spans="1:11" x14ac:dyDescent="0.25">
      <c r="D26" s="17">
        <f>SUM(D3:D25)</f>
        <v>12065</v>
      </c>
      <c r="E26" s="13"/>
      <c r="F26" s="13">
        <f>AVERAGE(F3:F24)</f>
        <v>34.47571428571429</v>
      </c>
      <c r="G26" s="13"/>
      <c r="J26" s="139">
        <f>SUM(J3:J25)</f>
        <v>0</v>
      </c>
      <c r="K26" s="219">
        <f>SUM(K3:K25)</f>
        <v>3084019.96</v>
      </c>
    </row>
    <row r="28" spans="1:11" x14ac:dyDescent="0.25">
      <c r="B28">
        <v>-10000</v>
      </c>
      <c r="D28" s="11"/>
      <c r="E28" s="11"/>
      <c r="F28" s="11"/>
      <c r="G28" s="11"/>
      <c r="K28" s="4"/>
    </row>
    <row r="29" spans="1:11" x14ac:dyDescent="0.25">
      <c r="B29">
        <v>9500</v>
      </c>
      <c r="C29" t="s">
        <v>12</v>
      </c>
      <c r="D29" s="11"/>
      <c r="E29" s="11"/>
      <c r="F29" s="11"/>
      <c r="G29" s="11"/>
      <c r="K29" s="4"/>
    </row>
    <row r="30" spans="1:11" x14ac:dyDescent="0.25">
      <c r="B30">
        <v>-9500</v>
      </c>
      <c r="C30" t="s">
        <v>13</v>
      </c>
      <c r="D30" s="11">
        <v>45574</v>
      </c>
      <c r="E30" s="11"/>
      <c r="F30" s="11"/>
      <c r="G30" s="11"/>
      <c r="K30" s="4"/>
    </row>
    <row r="31" spans="1:11" x14ac:dyDescent="0.25">
      <c r="B31">
        <v>19700</v>
      </c>
      <c r="C31" t="s">
        <v>265</v>
      </c>
      <c r="D31" s="11"/>
      <c r="E31" s="11"/>
      <c r="F31" s="11"/>
      <c r="G31" s="11"/>
      <c r="K31" s="4"/>
    </row>
    <row r="32" spans="1:11" x14ac:dyDescent="0.25">
      <c r="B32">
        <v>-19700</v>
      </c>
      <c r="C32" t="s">
        <v>13</v>
      </c>
      <c r="D32" s="11"/>
      <c r="E32" s="11"/>
      <c r="F32" s="11"/>
      <c r="G32" s="11"/>
      <c r="K32" s="4"/>
    </row>
    <row r="33" spans="2:13" x14ac:dyDescent="0.25">
      <c r="B33">
        <v>-1000</v>
      </c>
      <c r="C33" t="s">
        <v>175</v>
      </c>
      <c r="D33" s="11">
        <v>45931</v>
      </c>
      <c r="E33" s="4"/>
      <c r="K33" s="4"/>
      <c r="M33">
        <v>16486.66</v>
      </c>
    </row>
    <row r="34" spans="2:13" x14ac:dyDescent="0.25">
      <c r="B34">
        <v>2200</v>
      </c>
      <c r="C34" t="s">
        <v>12</v>
      </c>
      <c r="D34" s="11">
        <v>46107</v>
      </c>
      <c r="E34" s="4"/>
      <c r="K34" s="4"/>
    </row>
    <row r="35" spans="2:13" x14ac:dyDescent="0.25">
      <c r="B35" s="135">
        <f>SUM(B28:B34)</f>
        <v>-8800</v>
      </c>
      <c r="C35" s="11">
        <v>46107</v>
      </c>
      <c r="D35" s="11"/>
      <c r="F35" s="11"/>
      <c r="G35" s="11"/>
      <c r="I35" s="173"/>
      <c r="K35" s="4"/>
      <c r="M35">
        <v>23766.66</v>
      </c>
    </row>
    <row r="36" spans="2:13" x14ac:dyDescent="0.25">
      <c r="B36" s="11"/>
      <c r="E36" s="11"/>
      <c r="F36" s="11"/>
      <c r="G36" s="11"/>
      <c r="K36" s="4"/>
      <c r="M36">
        <v>61333</v>
      </c>
    </row>
    <row r="37" spans="2:13" x14ac:dyDescent="0.25">
      <c r="B37" s="11"/>
      <c r="K37" s="4"/>
      <c r="M37">
        <v>61333</v>
      </c>
    </row>
    <row r="38" spans="2:13" x14ac:dyDescent="0.25">
      <c r="B38" s="11"/>
      <c r="E38" s="11"/>
      <c r="F38" s="11"/>
      <c r="G38" s="11"/>
      <c r="K38" s="4"/>
      <c r="M38">
        <v>9100</v>
      </c>
    </row>
    <row r="39" spans="2:13" x14ac:dyDescent="0.25">
      <c r="B39" s="11"/>
      <c r="I39" s="4"/>
      <c r="M39">
        <v>5999.85</v>
      </c>
    </row>
    <row r="40" spans="2:13" x14ac:dyDescent="0.25">
      <c r="B40" s="11"/>
      <c r="C40" s="11"/>
      <c r="E40" s="11"/>
      <c r="F40" s="11"/>
      <c r="G40" s="11"/>
      <c r="K40" s="4"/>
      <c r="M40">
        <v>7200</v>
      </c>
    </row>
    <row r="41" spans="2:13" x14ac:dyDescent="0.25">
      <c r="B41" s="11"/>
      <c r="E41" s="11"/>
      <c r="F41" s="11"/>
      <c r="G41" s="11"/>
      <c r="K41" s="4"/>
      <c r="M41">
        <v>15000</v>
      </c>
    </row>
    <row r="42" spans="2:13" x14ac:dyDescent="0.25">
      <c r="B42" s="11"/>
      <c r="E42" s="11"/>
      <c r="F42" s="11"/>
      <c r="G42" s="11"/>
      <c r="K42" s="4"/>
      <c r="M42">
        <v>14271.33</v>
      </c>
    </row>
    <row r="43" spans="2:13" x14ac:dyDescent="0.25">
      <c r="B43" s="11"/>
      <c r="E43" s="11"/>
      <c r="F43" s="11"/>
      <c r="G43" s="11"/>
      <c r="K43" s="4"/>
      <c r="M43">
        <f>SUM(M33:M42)</f>
        <v>214490.5</v>
      </c>
    </row>
    <row r="44" spans="2:13" x14ac:dyDescent="0.25">
      <c r="B44" s="11"/>
      <c r="E44" s="11"/>
      <c r="F44" s="11"/>
      <c r="G44" s="11"/>
      <c r="K44" s="4"/>
    </row>
    <row r="45" spans="2:13" x14ac:dyDescent="0.25">
      <c r="B45" s="11"/>
      <c r="E45" s="11"/>
      <c r="F45" s="11"/>
      <c r="G45" s="11"/>
      <c r="K45" s="4"/>
    </row>
    <row r="46" spans="2:13" x14ac:dyDescent="0.25">
      <c r="B46" s="11"/>
      <c r="E46" s="11"/>
      <c r="F46" s="11"/>
      <c r="G46" s="11"/>
      <c r="K46" s="4"/>
    </row>
    <row r="47" spans="2:13" x14ac:dyDescent="0.25">
      <c r="B47" s="11"/>
      <c r="E47" s="11"/>
      <c r="F47" s="11"/>
      <c r="G47" s="11"/>
      <c r="K47" s="4"/>
    </row>
    <row r="48" spans="2:13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D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</row>
    <row r="53" spans="2:11" x14ac:dyDescent="0.25">
      <c r="B53" s="11"/>
      <c r="E53" s="11"/>
      <c r="F53" s="11"/>
      <c r="G53" s="11"/>
    </row>
    <row r="54" spans="2:11" x14ac:dyDescent="0.25">
      <c r="B54" s="11"/>
      <c r="E54" s="11"/>
      <c r="F54" s="11"/>
      <c r="G54" s="11"/>
    </row>
    <row r="55" spans="2:11" x14ac:dyDescent="0.25">
      <c r="B55" s="11"/>
      <c r="E55" s="11"/>
      <c r="F55" s="11"/>
      <c r="G55" s="11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EAED-9E30-487F-AA72-2E1D34382E0A}">
  <dimension ref="A1:K90"/>
  <sheetViews>
    <sheetView zoomScale="110" zoomScaleNormal="110" workbookViewId="0">
      <selection activeCell="K10" sqref="K10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9" max="9" width="13.28515625" customWidth="1"/>
    <col min="11" max="11" width="12.7109375" bestFit="1" customWidth="1"/>
    <col min="15" max="15" width="11.42578125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46111</v>
      </c>
      <c r="B3" s="236" t="s">
        <v>9</v>
      </c>
      <c r="C3" s="124" t="s">
        <v>447</v>
      </c>
      <c r="D3" s="82">
        <v>430</v>
      </c>
      <c r="E3" s="82"/>
      <c r="F3" s="82">
        <v>34.380000000000003</v>
      </c>
      <c r="G3" s="82"/>
      <c r="H3" s="90">
        <v>764203</v>
      </c>
      <c r="I3" s="90"/>
      <c r="J3" s="138"/>
      <c r="K3" s="218"/>
    </row>
    <row r="4" spans="1:11" x14ac:dyDescent="0.25">
      <c r="A4" s="91">
        <v>46116</v>
      </c>
      <c r="B4" s="236" t="s">
        <v>447</v>
      </c>
      <c r="C4" s="124" t="s">
        <v>220</v>
      </c>
      <c r="D4" s="82">
        <v>120</v>
      </c>
      <c r="E4" s="82"/>
      <c r="F4" s="82"/>
      <c r="G4" s="82"/>
      <c r="H4" s="83" t="s">
        <v>66</v>
      </c>
      <c r="I4" s="90"/>
      <c r="J4" s="138"/>
      <c r="K4" s="218"/>
    </row>
    <row r="5" spans="1:11" x14ac:dyDescent="0.25">
      <c r="A5" s="91">
        <v>46116</v>
      </c>
      <c r="B5" s="236" t="s">
        <v>220</v>
      </c>
      <c r="C5" s="124" t="s">
        <v>276</v>
      </c>
      <c r="D5" s="82">
        <v>140</v>
      </c>
      <c r="E5" s="82"/>
      <c r="F5" s="82"/>
      <c r="G5" s="82"/>
      <c r="H5" s="90">
        <v>894830</v>
      </c>
      <c r="I5" s="90"/>
      <c r="J5" s="138"/>
      <c r="K5" s="218">
        <v>471464.24</v>
      </c>
    </row>
    <row r="6" spans="1:11" x14ac:dyDescent="0.25">
      <c r="A6" s="91">
        <v>46118</v>
      </c>
      <c r="B6" s="236" t="s">
        <v>276</v>
      </c>
      <c r="C6" s="124" t="s">
        <v>220</v>
      </c>
      <c r="D6" s="82">
        <v>140</v>
      </c>
      <c r="E6" s="82"/>
      <c r="F6" s="82"/>
      <c r="G6" s="82"/>
      <c r="H6" s="83" t="s">
        <v>66</v>
      </c>
      <c r="I6" s="90"/>
      <c r="J6" s="138"/>
      <c r="K6" s="218"/>
    </row>
    <row r="7" spans="1:11" x14ac:dyDescent="0.25">
      <c r="A7" s="91">
        <v>46118</v>
      </c>
      <c r="B7" s="236" t="s">
        <v>220</v>
      </c>
      <c r="C7" s="124" t="s">
        <v>290</v>
      </c>
      <c r="D7" s="82">
        <v>140</v>
      </c>
      <c r="E7" s="82"/>
      <c r="F7" s="82">
        <v>34.71</v>
      </c>
      <c r="G7" s="82"/>
      <c r="H7" s="90">
        <v>895011</v>
      </c>
      <c r="I7" s="90"/>
      <c r="J7" s="138"/>
      <c r="K7" s="218">
        <v>386789.5</v>
      </c>
    </row>
    <row r="8" spans="1:11" x14ac:dyDescent="0.25">
      <c r="A8" s="91">
        <v>46119</v>
      </c>
      <c r="B8" s="236" t="s">
        <v>290</v>
      </c>
      <c r="C8" s="124" t="s">
        <v>9</v>
      </c>
      <c r="D8" s="82">
        <v>400</v>
      </c>
      <c r="E8" s="82"/>
      <c r="F8" s="82"/>
      <c r="G8" s="82"/>
      <c r="H8" s="128" t="s">
        <v>66</v>
      </c>
      <c r="I8" s="90"/>
      <c r="J8" s="138"/>
      <c r="K8" s="218"/>
    </row>
    <row r="9" spans="1:11" x14ac:dyDescent="0.25">
      <c r="A9" s="91">
        <v>46119</v>
      </c>
      <c r="B9" s="236" t="s">
        <v>9</v>
      </c>
      <c r="C9" s="124" t="s">
        <v>475</v>
      </c>
      <c r="D9" s="82">
        <v>410</v>
      </c>
      <c r="E9" s="82"/>
      <c r="F9" s="82">
        <v>31.5</v>
      </c>
      <c r="G9" s="82"/>
      <c r="H9" s="288">
        <v>765124</v>
      </c>
      <c r="I9" s="90"/>
      <c r="J9" s="138"/>
      <c r="K9" s="218">
        <v>1349171.15</v>
      </c>
    </row>
    <row r="10" spans="1:11" x14ac:dyDescent="0.25">
      <c r="A10" s="91">
        <v>46120</v>
      </c>
      <c r="B10" s="236" t="s">
        <v>475</v>
      </c>
      <c r="C10" s="124" t="s">
        <v>220</v>
      </c>
      <c r="D10" s="82">
        <v>130</v>
      </c>
      <c r="E10" s="82"/>
      <c r="F10" s="82"/>
      <c r="G10" s="82"/>
      <c r="H10" s="128" t="s">
        <v>66</v>
      </c>
      <c r="I10" s="90"/>
      <c r="J10" s="138"/>
      <c r="K10" s="218"/>
    </row>
    <row r="11" spans="1:11" x14ac:dyDescent="0.25">
      <c r="A11" s="91">
        <v>46120</v>
      </c>
      <c r="B11" s="236" t="s">
        <v>220</v>
      </c>
      <c r="C11" s="124" t="s">
        <v>10</v>
      </c>
      <c r="D11" s="82">
        <v>300</v>
      </c>
      <c r="E11" s="82"/>
      <c r="F11" s="82"/>
      <c r="G11" s="82"/>
      <c r="H11" s="90">
        <v>895309</v>
      </c>
      <c r="I11" s="90"/>
      <c r="J11" s="138"/>
      <c r="K11" s="218"/>
    </row>
    <row r="12" spans="1:11" x14ac:dyDescent="0.25">
      <c r="A12" s="91">
        <v>46121</v>
      </c>
      <c r="B12" s="236" t="s">
        <v>10</v>
      </c>
      <c r="C12" s="124" t="s">
        <v>276</v>
      </c>
      <c r="D12" s="82">
        <v>200</v>
      </c>
      <c r="E12" s="82"/>
      <c r="F12" s="82"/>
      <c r="G12" s="82"/>
      <c r="H12" s="123">
        <v>278779</v>
      </c>
      <c r="I12" s="90" t="s">
        <v>176</v>
      </c>
      <c r="J12" s="138"/>
      <c r="K12" s="218"/>
    </row>
    <row r="13" spans="1:11" x14ac:dyDescent="0.25">
      <c r="A13" s="91">
        <v>46121</v>
      </c>
      <c r="B13" s="236" t="s">
        <v>276</v>
      </c>
      <c r="C13" s="124" t="s">
        <v>220</v>
      </c>
      <c r="D13" s="82">
        <v>140</v>
      </c>
      <c r="E13" s="82"/>
      <c r="F13" s="82"/>
      <c r="G13" s="82"/>
      <c r="H13" s="83" t="s">
        <v>66</v>
      </c>
      <c r="I13" s="90"/>
      <c r="J13" s="138"/>
      <c r="K13" s="218"/>
    </row>
    <row r="14" spans="1:11" x14ac:dyDescent="0.25">
      <c r="A14" s="91">
        <v>46121</v>
      </c>
      <c r="B14" s="236" t="s">
        <v>220</v>
      </c>
      <c r="C14" s="124" t="s">
        <v>251</v>
      </c>
      <c r="D14" s="82">
        <v>80</v>
      </c>
      <c r="E14" s="82"/>
      <c r="F14" s="82"/>
      <c r="G14" s="82"/>
      <c r="H14" s="90">
        <v>895496</v>
      </c>
      <c r="I14" s="90"/>
      <c r="J14" s="138"/>
      <c r="K14" s="218"/>
    </row>
    <row r="15" spans="1:11" x14ac:dyDescent="0.25">
      <c r="A15" s="91">
        <v>46122</v>
      </c>
      <c r="B15" s="236" t="s">
        <v>251</v>
      </c>
      <c r="C15" s="124" t="s">
        <v>220</v>
      </c>
      <c r="D15" s="82">
        <v>80</v>
      </c>
      <c r="E15" s="82"/>
      <c r="F15" s="82"/>
      <c r="G15" s="82"/>
      <c r="H15" s="83" t="s">
        <v>66</v>
      </c>
      <c r="I15" s="90"/>
      <c r="J15" s="138"/>
      <c r="K15" s="218"/>
    </row>
    <row r="16" spans="1:11" x14ac:dyDescent="0.25">
      <c r="A16" s="91">
        <v>46125</v>
      </c>
      <c r="B16" s="236" t="s">
        <v>220</v>
      </c>
      <c r="C16" s="124" t="s">
        <v>10</v>
      </c>
      <c r="D16" s="82">
        <v>300</v>
      </c>
      <c r="E16" s="82"/>
      <c r="F16" s="82"/>
      <c r="G16" s="82"/>
      <c r="H16" s="90">
        <v>895860</v>
      </c>
      <c r="I16" s="90"/>
      <c r="J16" s="138"/>
      <c r="K16" s="218"/>
    </row>
    <row r="17" spans="1:11" x14ac:dyDescent="0.25">
      <c r="A17" s="91">
        <v>46125</v>
      </c>
      <c r="B17" s="236" t="s">
        <v>10</v>
      </c>
      <c r="C17" s="124" t="s">
        <v>220</v>
      </c>
      <c r="D17" s="82">
        <v>300</v>
      </c>
      <c r="E17" s="82"/>
      <c r="F17" s="82"/>
      <c r="G17" s="82"/>
      <c r="H17" s="123">
        <v>278920</v>
      </c>
      <c r="I17" s="90" t="s">
        <v>176</v>
      </c>
      <c r="J17" s="138"/>
      <c r="K17" s="218"/>
    </row>
    <row r="18" spans="1:11" x14ac:dyDescent="0.25">
      <c r="A18" s="91">
        <v>46126</v>
      </c>
      <c r="B18" s="236" t="s">
        <v>220</v>
      </c>
      <c r="C18" s="124" t="s">
        <v>476</v>
      </c>
      <c r="D18" s="82">
        <v>90</v>
      </c>
      <c r="E18" s="82"/>
      <c r="F18" s="82">
        <v>34.979999999999997</v>
      </c>
      <c r="G18" s="82"/>
      <c r="H18" s="288">
        <v>896106</v>
      </c>
      <c r="I18" s="90"/>
      <c r="J18" s="138"/>
      <c r="K18" s="218"/>
    </row>
    <row r="19" spans="1:11" x14ac:dyDescent="0.25">
      <c r="A19" s="91">
        <v>46127</v>
      </c>
      <c r="B19" s="236" t="s">
        <v>476</v>
      </c>
      <c r="C19" s="124" t="s">
        <v>220</v>
      </c>
      <c r="D19" s="82">
        <v>90</v>
      </c>
      <c r="E19" s="82"/>
      <c r="F19" s="82"/>
      <c r="G19" s="82"/>
      <c r="H19" s="128" t="s">
        <v>66</v>
      </c>
      <c r="I19" s="90"/>
      <c r="J19" s="138"/>
      <c r="K19" s="218"/>
    </row>
    <row r="20" spans="1:11" x14ac:dyDescent="0.25">
      <c r="A20" s="91">
        <v>46127</v>
      </c>
      <c r="B20" s="82" t="s">
        <v>220</v>
      </c>
      <c r="C20" s="124" t="s">
        <v>297</v>
      </c>
      <c r="D20" s="82">
        <v>105</v>
      </c>
      <c r="E20" s="82"/>
      <c r="F20" s="82">
        <v>34.799999999999997</v>
      </c>
      <c r="G20" s="82"/>
      <c r="H20" s="123">
        <v>896275</v>
      </c>
      <c r="I20" s="90"/>
      <c r="J20" s="138"/>
      <c r="K20" s="218"/>
    </row>
    <row r="21" spans="1:11" x14ac:dyDescent="0.25">
      <c r="A21" s="91">
        <v>46127</v>
      </c>
      <c r="B21" s="236" t="s">
        <v>297</v>
      </c>
      <c r="C21" s="124" t="s">
        <v>220</v>
      </c>
      <c r="D21" s="82">
        <v>105</v>
      </c>
      <c r="E21" s="82"/>
      <c r="F21" s="82"/>
      <c r="G21" s="82"/>
      <c r="H21" s="128" t="s">
        <v>66</v>
      </c>
      <c r="I21" s="90"/>
      <c r="J21" s="138"/>
      <c r="K21" s="218"/>
    </row>
    <row r="22" spans="1:11" x14ac:dyDescent="0.25">
      <c r="A22" s="91">
        <v>46128</v>
      </c>
      <c r="B22" s="236" t="s">
        <v>220</v>
      </c>
      <c r="C22" s="124" t="s">
        <v>10</v>
      </c>
      <c r="D22" s="82">
        <v>300</v>
      </c>
      <c r="E22" s="82"/>
      <c r="F22" s="82"/>
      <c r="G22" s="82"/>
      <c r="H22" s="90">
        <v>896499</v>
      </c>
      <c r="I22" s="90"/>
      <c r="J22" s="138"/>
      <c r="K22" s="218"/>
    </row>
    <row r="23" spans="1:11" x14ac:dyDescent="0.25">
      <c r="A23" s="91">
        <v>46128</v>
      </c>
      <c r="B23" s="236" t="s">
        <v>10</v>
      </c>
      <c r="C23" s="124" t="s">
        <v>220</v>
      </c>
      <c r="D23" s="82">
        <v>300</v>
      </c>
      <c r="E23" s="82"/>
      <c r="F23" s="82"/>
      <c r="G23" s="82"/>
      <c r="H23" s="123">
        <v>279083</v>
      </c>
      <c r="I23" s="90" t="s">
        <v>176</v>
      </c>
      <c r="J23" s="138"/>
      <c r="K23" s="218"/>
    </row>
    <row r="24" spans="1:11" x14ac:dyDescent="0.25">
      <c r="A24" s="91">
        <v>46129</v>
      </c>
      <c r="B24" s="236" t="s">
        <v>220</v>
      </c>
      <c r="C24" s="124" t="s">
        <v>274</v>
      </c>
      <c r="D24" s="82">
        <v>340</v>
      </c>
      <c r="E24" s="82"/>
      <c r="F24" s="82"/>
      <c r="G24" s="82"/>
      <c r="H24" s="288">
        <v>896739</v>
      </c>
      <c r="I24" s="90"/>
      <c r="J24" s="138"/>
      <c r="K24" s="218"/>
    </row>
    <row r="25" spans="1:11" x14ac:dyDescent="0.25">
      <c r="A25" s="91">
        <v>46132</v>
      </c>
      <c r="B25" s="236" t="s">
        <v>274</v>
      </c>
      <c r="C25" s="124" t="s">
        <v>10</v>
      </c>
      <c r="D25" s="82">
        <v>80</v>
      </c>
      <c r="E25" s="82"/>
      <c r="F25" s="82"/>
      <c r="G25" s="82"/>
      <c r="H25" s="128" t="s">
        <v>66</v>
      </c>
      <c r="I25" s="90"/>
      <c r="J25" s="138"/>
      <c r="K25" s="218"/>
    </row>
    <row r="26" spans="1:11" x14ac:dyDescent="0.25">
      <c r="A26" s="91">
        <v>46132</v>
      </c>
      <c r="B26" s="236" t="s">
        <v>10</v>
      </c>
      <c r="C26" s="124" t="s">
        <v>220</v>
      </c>
      <c r="D26" s="82">
        <v>300</v>
      </c>
      <c r="E26" s="82"/>
      <c r="F26" s="82"/>
      <c r="G26" s="82"/>
      <c r="H26" s="123">
        <v>279194</v>
      </c>
      <c r="I26" s="90" t="s">
        <v>176</v>
      </c>
      <c r="J26" s="138"/>
      <c r="K26" s="218"/>
    </row>
    <row r="27" spans="1:11" x14ac:dyDescent="0.25">
      <c r="A27" s="91">
        <v>46133</v>
      </c>
      <c r="B27" s="236" t="s">
        <v>220</v>
      </c>
      <c r="C27" s="124" t="s">
        <v>290</v>
      </c>
      <c r="D27" s="82">
        <v>140</v>
      </c>
      <c r="E27" s="82"/>
      <c r="F27" s="82">
        <v>34.799999999999997</v>
      </c>
      <c r="G27" s="82"/>
      <c r="H27" s="90">
        <v>897155</v>
      </c>
      <c r="I27" s="90"/>
      <c r="J27" s="138"/>
      <c r="K27" s="218"/>
    </row>
    <row r="28" spans="1:11" x14ac:dyDescent="0.25">
      <c r="A28" s="91">
        <v>46133</v>
      </c>
      <c r="B28" s="236" t="s">
        <v>290</v>
      </c>
      <c r="C28" s="124" t="s">
        <v>220</v>
      </c>
      <c r="D28" s="82">
        <v>140</v>
      </c>
      <c r="E28" s="82"/>
      <c r="F28" s="82"/>
      <c r="G28" s="82"/>
      <c r="H28" s="128" t="s">
        <v>66</v>
      </c>
      <c r="I28" s="90"/>
      <c r="J28" s="138"/>
      <c r="K28" s="218"/>
    </row>
    <row r="29" spans="1:11" x14ac:dyDescent="0.25">
      <c r="A29" s="91">
        <v>46134</v>
      </c>
      <c r="B29" s="82" t="s">
        <v>220</v>
      </c>
      <c r="C29" s="124" t="s">
        <v>297</v>
      </c>
      <c r="D29" s="82">
        <v>105</v>
      </c>
      <c r="E29" s="82"/>
      <c r="F29" s="82">
        <v>35.020000000000003</v>
      </c>
      <c r="G29" s="82"/>
      <c r="H29" s="123">
        <v>897344</v>
      </c>
      <c r="I29" s="90"/>
      <c r="J29" s="138"/>
      <c r="K29" s="218"/>
    </row>
    <row r="30" spans="1:11" x14ac:dyDescent="0.25">
      <c r="A30" s="91">
        <v>46134</v>
      </c>
      <c r="B30" s="236" t="s">
        <v>297</v>
      </c>
      <c r="C30" s="124" t="s">
        <v>220</v>
      </c>
      <c r="D30" s="82">
        <v>105</v>
      </c>
      <c r="E30" s="82"/>
      <c r="F30" s="82"/>
      <c r="G30" s="82"/>
      <c r="H30" s="128" t="s">
        <v>66</v>
      </c>
      <c r="I30" s="90"/>
      <c r="J30" s="138"/>
      <c r="K30" s="218"/>
    </row>
    <row r="31" spans="1:11" x14ac:dyDescent="0.25">
      <c r="A31" s="91">
        <v>46135</v>
      </c>
      <c r="B31" s="236" t="s">
        <v>220</v>
      </c>
      <c r="C31" s="124" t="s">
        <v>242</v>
      </c>
      <c r="D31" s="82">
        <v>140</v>
      </c>
      <c r="E31" s="82"/>
      <c r="F31" s="82">
        <v>34.86</v>
      </c>
      <c r="G31" s="82"/>
      <c r="H31" s="288">
        <v>897640</v>
      </c>
      <c r="I31" s="90"/>
      <c r="J31" s="138"/>
      <c r="K31" s="218"/>
    </row>
    <row r="32" spans="1:11" x14ac:dyDescent="0.25">
      <c r="A32" s="91">
        <v>46136</v>
      </c>
      <c r="B32" s="236" t="s">
        <v>242</v>
      </c>
      <c r="C32" s="124" t="s">
        <v>220</v>
      </c>
      <c r="D32" s="82">
        <v>140</v>
      </c>
      <c r="E32" s="82"/>
      <c r="F32" s="82"/>
      <c r="G32" s="82"/>
      <c r="H32" s="128" t="s">
        <v>66</v>
      </c>
      <c r="I32" s="90"/>
      <c r="J32" s="138"/>
      <c r="K32" s="218"/>
    </row>
    <row r="33" spans="1:11" x14ac:dyDescent="0.25">
      <c r="A33" s="91">
        <v>46137</v>
      </c>
      <c r="B33" s="236" t="s">
        <v>220</v>
      </c>
      <c r="C33" s="124" t="s">
        <v>10</v>
      </c>
      <c r="D33" s="82">
        <v>300</v>
      </c>
      <c r="E33" s="82"/>
      <c r="F33" s="82"/>
      <c r="G33" s="82"/>
      <c r="H33" s="288">
        <v>897935</v>
      </c>
      <c r="I33" s="90"/>
      <c r="J33" s="138"/>
      <c r="K33" s="218"/>
    </row>
    <row r="34" spans="1:11" x14ac:dyDescent="0.25">
      <c r="A34" s="91">
        <v>46139</v>
      </c>
      <c r="B34" s="236" t="s">
        <v>10</v>
      </c>
      <c r="C34" s="124" t="s">
        <v>242</v>
      </c>
      <c r="D34" s="82">
        <v>185</v>
      </c>
      <c r="E34" s="82"/>
      <c r="F34" s="82">
        <v>35.06</v>
      </c>
      <c r="G34" s="82"/>
      <c r="H34" s="288">
        <v>279424</v>
      </c>
      <c r="I34" s="90"/>
      <c r="J34" s="138"/>
      <c r="K34" s="218"/>
    </row>
    <row r="35" spans="1:11" x14ac:dyDescent="0.25">
      <c r="A35" s="91">
        <v>46139</v>
      </c>
      <c r="B35" s="236" t="s">
        <v>242</v>
      </c>
      <c r="C35" s="124" t="s">
        <v>220</v>
      </c>
      <c r="D35" s="82">
        <v>140</v>
      </c>
      <c r="E35" s="82"/>
      <c r="F35" s="82"/>
      <c r="G35" s="82"/>
      <c r="H35" s="128" t="s">
        <v>66</v>
      </c>
      <c r="I35" s="90"/>
      <c r="J35" s="138"/>
      <c r="K35" s="218"/>
    </row>
    <row r="36" spans="1:11" x14ac:dyDescent="0.25">
      <c r="A36" s="91">
        <v>46139</v>
      </c>
      <c r="B36" s="236" t="s">
        <v>220</v>
      </c>
      <c r="C36" s="124" t="s">
        <v>10</v>
      </c>
      <c r="D36" s="82">
        <v>300</v>
      </c>
      <c r="E36" s="82"/>
      <c r="F36" s="82"/>
      <c r="G36" s="82"/>
      <c r="H36" s="288">
        <v>898146</v>
      </c>
      <c r="I36" s="90"/>
      <c r="J36" s="138"/>
      <c r="K36" s="218"/>
    </row>
    <row r="37" spans="1:11" x14ac:dyDescent="0.25">
      <c r="A37" s="91">
        <v>46140</v>
      </c>
      <c r="B37" s="236" t="s">
        <v>10</v>
      </c>
      <c r="C37" s="124" t="s">
        <v>275</v>
      </c>
      <c r="D37" s="82">
        <v>230</v>
      </c>
      <c r="E37" s="82"/>
      <c r="F37" s="82">
        <v>34.840000000000003</v>
      </c>
      <c r="G37" s="82"/>
      <c r="H37" s="288">
        <v>279468</v>
      </c>
      <c r="I37" s="90"/>
      <c r="J37" s="138"/>
      <c r="K37" s="218"/>
    </row>
    <row r="38" spans="1:11" x14ac:dyDescent="0.25">
      <c r="A38" s="91">
        <v>46141</v>
      </c>
      <c r="B38" s="236" t="s">
        <v>477</v>
      </c>
      <c r="C38" s="124" t="s">
        <v>220</v>
      </c>
      <c r="D38" s="82">
        <v>80</v>
      </c>
      <c r="E38" s="82"/>
      <c r="F38" s="82"/>
      <c r="G38" s="82"/>
      <c r="H38" s="128" t="s">
        <v>66</v>
      </c>
      <c r="I38" s="90"/>
      <c r="J38" s="138"/>
      <c r="K38" s="218"/>
    </row>
    <row r="39" spans="1:11" x14ac:dyDescent="0.25">
      <c r="A39" s="91">
        <v>46141</v>
      </c>
      <c r="B39" s="236" t="s">
        <v>220</v>
      </c>
      <c r="C39" s="124" t="s">
        <v>10</v>
      </c>
      <c r="D39" s="82">
        <v>300</v>
      </c>
      <c r="E39" s="82"/>
      <c r="F39" s="82"/>
      <c r="G39" s="82"/>
      <c r="H39" s="288">
        <v>898524</v>
      </c>
      <c r="I39" s="90"/>
      <c r="J39" s="138"/>
      <c r="K39" s="218"/>
    </row>
    <row r="40" spans="1:11" x14ac:dyDescent="0.25">
      <c r="A40" s="91">
        <v>46142</v>
      </c>
      <c r="B40" s="236" t="s">
        <v>10</v>
      </c>
      <c r="C40" s="124" t="s">
        <v>274</v>
      </c>
      <c r="D40" s="82">
        <v>80</v>
      </c>
      <c r="E40" s="82"/>
      <c r="F40" s="82"/>
      <c r="G40" s="82"/>
      <c r="H40" s="123">
        <v>279576</v>
      </c>
      <c r="I40" s="90"/>
      <c r="J40" s="138"/>
      <c r="K40" s="218"/>
    </row>
    <row r="41" spans="1:11" x14ac:dyDescent="0.25">
      <c r="A41" s="91">
        <v>46142</v>
      </c>
      <c r="B41" s="236" t="s">
        <v>274</v>
      </c>
      <c r="C41" s="124" t="s">
        <v>10</v>
      </c>
      <c r="D41" s="82">
        <v>80</v>
      </c>
      <c r="E41" s="82"/>
      <c r="F41" s="82"/>
      <c r="G41" s="82"/>
      <c r="H41" s="128" t="s">
        <v>66</v>
      </c>
      <c r="I41" s="90"/>
      <c r="J41" s="138"/>
      <c r="K41" s="218"/>
    </row>
    <row r="42" spans="1:11" x14ac:dyDescent="0.25">
      <c r="A42" s="91">
        <v>46142</v>
      </c>
      <c r="B42" s="236" t="s">
        <v>10</v>
      </c>
      <c r="C42" s="124" t="s">
        <v>220</v>
      </c>
      <c r="D42" s="82">
        <v>300</v>
      </c>
      <c r="E42" s="82"/>
      <c r="F42" s="82"/>
      <c r="G42" s="82"/>
      <c r="H42" s="123">
        <v>279591</v>
      </c>
      <c r="I42" s="90" t="s">
        <v>176</v>
      </c>
      <c r="J42" s="138"/>
      <c r="K42" s="218"/>
    </row>
    <row r="43" spans="1:11" x14ac:dyDescent="0.25">
      <c r="A43" s="91"/>
      <c r="B43" s="236"/>
      <c r="C43" s="124"/>
      <c r="D43" s="151" t="s">
        <v>449</v>
      </c>
      <c r="E43" s="82"/>
      <c r="F43" s="82"/>
      <c r="G43" s="82"/>
      <c r="H43" s="128"/>
      <c r="I43" s="90"/>
      <c r="J43" s="138"/>
      <c r="K43" s="218"/>
    </row>
    <row r="44" spans="1:11" x14ac:dyDescent="0.25">
      <c r="A44" s="5"/>
      <c r="B44" s="6"/>
      <c r="C44" s="6"/>
      <c r="D44" s="6"/>
      <c r="E44" s="6"/>
      <c r="F44" s="6"/>
      <c r="G44" s="6"/>
      <c r="H44" s="7"/>
      <c r="I44" s="7"/>
      <c r="J44" s="140"/>
      <c r="K44" s="218"/>
    </row>
    <row r="45" spans="1:11" x14ac:dyDescent="0.25">
      <c r="D45" s="17">
        <f>SUM(D3:D44)</f>
        <v>7785</v>
      </c>
      <c r="E45" s="13"/>
      <c r="F45" s="13">
        <f>AVERAGE(F3:F43)</f>
        <v>34.495000000000005</v>
      </c>
      <c r="G45" s="13"/>
      <c r="J45" s="139">
        <f>SUM(J3:J44)</f>
        <v>0</v>
      </c>
      <c r="K45" s="219">
        <f>SUM(K3:K44)</f>
        <v>2207424.8899999997</v>
      </c>
    </row>
    <row r="47" spans="1:11" x14ac:dyDescent="0.25">
      <c r="B47">
        <v>-20000</v>
      </c>
      <c r="C47" s="11"/>
      <c r="D47" s="11">
        <v>45566</v>
      </c>
      <c r="E47" s="11"/>
      <c r="F47" s="11"/>
      <c r="G47" s="11"/>
      <c r="K47" s="4"/>
    </row>
    <row r="48" spans="1:11" x14ac:dyDescent="0.25">
      <c r="B48" s="11"/>
      <c r="C48" s="11"/>
      <c r="D48" s="11"/>
      <c r="H48" s="4"/>
    </row>
    <row r="49" spans="2:11" x14ac:dyDescent="0.25">
      <c r="B49" s="11"/>
      <c r="C49" s="11"/>
      <c r="D49" s="11"/>
      <c r="H49" s="4"/>
    </row>
    <row r="50" spans="2:11" x14ac:dyDescent="0.25">
      <c r="B50" s="135">
        <f>SUM(B47:B47)</f>
        <v>-20000</v>
      </c>
      <c r="C50" s="11">
        <v>45566</v>
      </c>
      <c r="D50" s="11"/>
      <c r="E50" s="4"/>
      <c r="K50" s="4"/>
    </row>
    <row r="51" spans="2:11" x14ac:dyDescent="0.25">
      <c r="B51" s="11"/>
      <c r="D51" s="11"/>
      <c r="F51" s="11"/>
      <c r="G51" s="11"/>
      <c r="I51" s="173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C55" s="11"/>
      <c r="I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  <c r="K64" s="4"/>
    </row>
    <row r="65" spans="2:11" x14ac:dyDescent="0.25">
      <c r="B65" s="11"/>
      <c r="E65" s="11"/>
      <c r="F65" s="11"/>
      <c r="G65" s="11"/>
      <c r="K65" s="4"/>
    </row>
    <row r="66" spans="2:11" x14ac:dyDescent="0.25">
      <c r="B66" s="11"/>
      <c r="E66" s="11"/>
      <c r="F66" s="11"/>
      <c r="G66" s="11"/>
      <c r="K66" s="4"/>
    </row>
    <row r="67" spans="2:11" x14ac:dyDescent="0.25">
      <c r="B67" s="11"/>
      <c r="D67" s="11"/>
      <c r="E67" s="11"/>
      <c r="F67" s="11"/>
      <c r="G67" s="11"/>
      <c r="K67" s="4"/>
    </row>
    <row r="68" spans="2:11" x14ac:dyDescent="0.25">
      <c r="B68" s="11"/>
      <c r="E68" s="11"/>
      <c r="F68" s="11"/>
      <c r="G68" s="11"/>
    </row>
    <row r="69" spans="2:11" x14ac:dyDescent="0.25">
      <c r="B69" s="11"/>
      <c r="E69" s="11"/>
      <c r="F69" s="11"/>
      <c r="G69" s="11"/>
    </row>
    <row r="70" spans="2:11" x14ac:dyDescent="0.25">
      <c r="B70" s="11"/>
      <c r="E70" s="11"/>
      <c r="F70" s="11"/>
      <c r="G70" s="11"/>
    </row>
    <row r="71" spans="2:11" x14ac:dyDescent="0.25">
      <c r="B71" s="11"/>
      <c r="E71" s="11"/>
      <c r="F71" s="11"/>
      <c r="G71" s="11"/>
    </row>
    <row r="72" spans="2:11" x14ac:dyDescent="0.25">
      <c r="B72" s="11"/>
      <c r="E72" s="11"/>
      <c r="F72" s="11"/>
      <c r="G72" s="11"/>
    </row>
    <row r="73" spans="2:11" x14ac:dyDescent="0.25">
      <c r="B73" s="11"/>
      <c r="E73" s="11"/>
      <c r="F73" s="11"/>
      <c r="G73" s="11"/>
    </row>
    <row r="74" spans="2:11" x14ac:dyDescent="0.25">
      <c r="B74" s="11"/>
      <c r="E74" s="11"/>
      <c r="F74" s="11"/>
      <c r="G74" s="11"/>
    </row>
    <row r="75" spans="2:11" x14ac:dyDescent="0.25">
      <c r="B75" s="11"/>
      <c r="E75" s="11"/>
      <c r="F75" s="11"/>
      <c r="G75" s="11"/>
    </row>
    <row r="76" spans="2:11" x14ac:dyDescent="0.25">
      <c r="B76" s="11"/>
      <c r="E76" s="11"/>
      <c r="F76" s="11"/>
      <c r="G76" s="11"/>
    </row>
    <row r="77" spans="2:11" x14ac:dyDescent="0.25">
      <c r="B77" s="11"/>
      <c r="E77" s="11"/>
      <c r="F77" s="11"/>
      <c r="G77" s="11"/>
    </row>
    <row r="78" spans="2:11" x14ac:dyDescent="0.25">
      <c r="B78" s="11"/>
      <c r="E78" s="11"/>
      <c r="F78" s="11"/>
      <c r="G78" s="11"/>
    </row>
    <row r="79" spans="2:11" x14ac:dyDescent="0.25">
      <c r="B79" s="11"/>
      <c r="E79" s="11"/>
      <c r="F79" s="11"/>
      <c r="G79" s="11"/>
    </row>
    <row r="80" spans="2:11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B84" s="11"/>
      <c r="E84" s="11"/>
      <c r="F84" s="11"/>
      <c r="G84" s="11"/>
    </row>
    <row r="85" spans="2:7" x14ac:dyDescent="0.25">
      <c r="B85" s="11"/>
      <c r="E85" s="11"/>
      <c r="F85" s="11"/>
      <c r="G85" s="11"/>
    </row>
    <row r="86" spans="2:7" x14ac:dyDescent="0.25">
      <c r="B86" s="11"/>
      <c r="E86" s="11"/>
      <c r="F86" s="11"/>
      <c r="G86" s="11"/>
    </row>
    <row r="87" spans="2:7" x14ac:dyDescent="0.25">
      <c r="B87" s="11"/>
      <c r="E87" s="11"/>
      <c r="F87" s="11"/>
      <c r="G87" s="11"/>
    </row>
    <row r="88" spans="2:7" x14ac:dyDescent="0.25">
      <c r="B88" s="11"/>
      <c r="E88" s="11"/>
      <c r="F88" s="11"/>
      <c r="G88" s="11"/>
    </row>
    <row r="89" spans="2:7" x14ac:dyDescent="0.25">
      <c r="B89" s="11"/>
      <c r="E89" s="11"/>
      <c r="F89" s="11"/>
      <c r="G89" s="11"/>
    </row>
    <row r="90" spans="2:7" x14ac:dyDescent="0.25">
      <c r="B90" s="11"/>
      <c r="E90" s="11"/>
      <c r="F90" s="11"/>
      <c r="G90" s="11"/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347E-0AFF-453C-81BD-AAB77D411D14}">
  <sheetPr>
    <tabColor rgb="FFFF0000"/>
  </sheetPr>
  <dimension ref="A1:K99"/>
  <sheetViews>
    <sheetView topLeftCell="A41" zoomScale="110" zoomScaleNormal="110" workbookViewId="0">
      <selection activeCell="A53" sqref="A53:XFD53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9" max="9" width="13.28515625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45807</v>
      </c>
      <c r="B3" s="82" t="s">
        <v>9</v>
      </c>
      <c r="C3" s="124" t="s">
        <v>298</v>
      </c>
      <c r="D3" s="82">
        <v>420</v>
      </c>
      <c r="E3" s="82"/>
      <c r="F3" s="82">
        <v>30.36</v>
      </c>
      <c r="G3" s="82"/>
      <c r="H3" s="90">
        <v>715948</v>
      </c>
      <c r="I3" s="90"/>
      <c r="J3" s="138"/>
      <c r="K3" s="218"/>
    </row>
    <row r="4" spans="1:11" x14ac:dyDescent="0.25">
      <c r="A4" s="91">
        <v>45839</v>
      </c>
      <c r="B4" s="82" t="s">
        <v>299</v>
      </c>
      <c r="C4" s="124" t="s">
        <v>220</v>
      </c>
      <c r="D4" s="82">
        <v>150</v>
      </c>
      <c r="E4" s="82"/>
      <c r="F4" s="82"/>
      <c r="G4" s="82"/>
      <c r="H4" s="83" t="s">
        <v>66</v>
      </c>
      <c r="I4" s="90"/>
      <c r="J4" s="138"/>
      <c r="K4" s="218"/>
    </row>
    <row r="5" spans="1:11" x14ac:dyDescent="0.25">
      <c r="A5" s="91">
        <v>45839</v>
      </c>
      <c r="B5" s="236" t="s">
        <v>220</v>
      </c>
      <c r="C5" s="124" t="s">
        <v>290</v>
      </c>
      <c r="D5" s="82">
        <v>130</v>
      </c>
      <c r="E5" s="82"/>
      <c r="F5" s="82">
        <v>34.840000000000003</v>
      </c>
      <c r="G5" s="82"/>
      <c r="H5" s="123">
        <v>850707</v>
      </c>
      <c r="I5" s="90"/>
      <c r="J5" s="138"/>
      <c r="K5" s="218"/>
    </row>
    <row r="6" spans="1:11" x14ac:dyDescent="0.25">
      <c r="A6" s="91">
        <v>45840</v>
      </c>
      <c r="B6" s="236" t="s">
        <v>290</v>
      </c>
      <c r="C6" s="124" t="s">
        <v>220</v>
      </c>
      <c r="D6" s="82">
        <v>130</v>
      </c>
      <c r="E6" s="82"/>
      <c r="F6" s="82"/>
      <c r="G6" s="82"/>
      <c r="H6" s="128" t="s">
        <v>66</v>
      </c>
      <c r="I6" s="90"/>
      <c r="J6" s="138"/>
      <c r="K6" s="218"/>
    </row>
    <row r="7" spans="1:11" x14ac:dyDescent="0.25">
      <c r="A7" s="91">
        <v>45840</v>
      </c>
      <c r="B7" s="82" t="s">
        <v>220</v>
      </c>
      <c r="C7" s="124" t="s">
        <v>10</v>
      </c>
      <c r="D7" s="82">
        <v>290</v>
      </c>
      <c r="E7" s="82"/>
      <c r="F7" s="82">
        <v>34.9</v>
      </c>
      <c r="G7" s="82"/>
      <c r="H7" s="90">
        <v>850885</v>
      </c>
      <c r="I7" s="90"/>
      <c r="J7" s="138"/>
      <c r="K7" s="218"/>
    </row>
    <row r="8" spans="1:11" x14ac:dyDescent="0.25">
      <c r="A8" s="91">
        <v>45840</v>
      </c>
      <c r="B8" s="236" t="s">
        <v>10</v>
      </c>
      <c r="C8" s="124" t="s">
        <v>220</v>
      </c>
      <c r="D8" s="82">
        <v>290</v>
      </c>
      <c r="E8" s="82"/>
      <c r="F8" s="82">
        <v>34.86</v>
      </c>
      <c r="G8" s="82"/>
      <c r="H8" s="90">
        <v>266541</v>
      </c>
      <c r="I8" s="90" t="s">
        <v>176</v>
      </c>
      <c r="J8" s="138"/>
      <c r="K8" s="218"/>
    </row>
    <row r="9" spans="1:11" x14ac:dyDescent="0.25">
      <c r="A9" s="91">
        <v>45841</v>
      </c>
      <c r="B9" s="82" t="s">
        <v>220</v>
      </c>
      <c r="C9" s="124" t="s">
        <v>10</v>
      </c>
      <c r="D9" s="82">
        <v>290</v>
      </c>
      <c r="E9" s="82"/>
      <c r="F9" s="82">
        <v>35.08</v>
      </c>
      <c r="G9" s="82"/>
      <c r="H9" s="90">
        <v>851101</v>
      </c>
      <c r="I9" s="90"/>
      <c r="J9" s="138"/>
      <c r="K9" s="218"/>
    </row>
    <row r="10" spans="1:11" x14ac:dyDescent="0.25">
      <c r="A10" s="91">
        <v>45842</v>
      </c>
      <c r="B10" s="236" t="s">
        <v>10</v>
      </c>
      <c r="C10" s="124" t="s">
        <v>220</v>
      </c>
      <c r="D10" s="82">
        <v>290</v>
      </c>
      <c r="E10" s="82"/>
      <c r="F10" s="82">
        <v>34.42</v>
      </c>
      <c r="G10" s="82"/>
      <c r="H10" s="90">
        <v>266615</v>
      </c>
      <c r="I10" s="90" t="s">
        <v>176</v>
      </c>
      <c r="J10" s="138"/>
      <c r="K10" s="218"/>
    </row>
    <row r="11" spans="1:11" x14ac:dyDescent="0.25">
      <c r="A11" s="91">
        <v>45842</v>
      </c>
      <c r="B11" s="82" t="s">
        <v>220</v>
      </c>
      <c r="C11" s="124" t="s">
        <v>10</v>
      </c>
      <c r="D11" s="82">
        <v>290</v>
      </c>
      <c r="E11" s="82"/>
      <c r="F11" s="82">
        <v>34.86</v>
      </c>
      <c r="G11" s="82"/>
      <c r="H11" s="90">
        <v>851383</v>
      </c>
      <c r="I11" s="90"/>
      <c r="J11" s="138"/>
      <c r="K11" s="218"/>
    </row>
    <row r="12" spans="1:11" x14ac:dyDescent="0.25">
      <c r="A12" s="91">
        <v>45843</v>
      </c>
      <c r="B12" s="236" t="s">
        <v>10</v>
      </c>
      <c r="C12" s="124" t="s">
        <v>220</v>
      </c>
      <c r="D12" s="82">
        <v>290</v>
      </c>
      <c r="E12" s="82"/>
      <c r="F12" s="82">
        <v>35.18</v>
      </c>
      <c r="G12" s="82"/>
      <c r="H12" s="90">
        <v>266701</v>
      </c>
      <c r="I12" s="90" t="s">
        <v>176</v>
      </c>
      <c r="J12" s="138"/>
      <c r="K12" s="218"/>
    </row>
    <row r="13" spans="1:11" x14ac:dyDescent="0.25">
      <c r="A13" s="91">
        <v>45845</v>
      </c>
      <c r="B13" s="82" t="s">
        <v>220</v>
      </c>
      <c r="C13" s="124" t="s">
        <v>10</v>
      </c>
      <c r="D13" s="82">
        <v>290</v>
      </c>
      <c r="E13" s="82"/>
      <c r="F13" s="82">
        <v>34.979999999999997</v>
      </c>
      <c r="G13" s="82"/>
      <c r="H13" s="90">
        <v>851611</v>
      </c>
      <c r="I13" s="90"/>
      <c r="J13" s="138"/>
      <c r="K13" s="218"/>
    </row>
    <row r="14" spans="1:11" x14ac:dyDescent="0.25">
      <c r="A14" s="91">
        <v>45845</v>
      </c>
      <c r="B14" s="236" t="s">
        <v>10</v>
      </c>
      <c r="C14" s="124" t="s">
        <v>220</v>
      </c>
      <c r="D14" s="82">
        <v>290</v>
      </c>
      <c r="E14" s="82"/>
      <c r="F14" s="82">
        <v>34.72</v>
      </c>
      <c r="G14" s="82"/>
      <c r="H14" s="90">
        <v>266782</v>
      </c>
      <c r="I14" s="90" t="s">
        <v>176</v>
      </c>
      <c r="J14" s="138"/>
      <c r="K14" s="218"/>
    </row>
    <row r="15" spans="1:11" x14ac:dyDescent="0.25">
      <c r="A15" s="91">
        <v>45846</v>
      </c>
      <c r="B15" s="82" t="s">
        <v>220</v>
      </c>
      <c r="C15" s="124" t="s">
        <v>10</v>
      </c>
      <c r="D15" s="82">
        <v>290</v>
      </c>
      <c r="E15" s="82"/>
      <c r="F15" s="82">
        <v>35.01</v>
      </c>
      <c r="G15" s="82"/>
      <c r="H15" s="90">
        <v>851891</v>
      </c>
      <c r="I15" s="90"/>
      <c r="J15" s="138"/>
      <c r="K15" s="218"/>
    </row>
    <row r="16" spans="1:11" x14ac:dyDescent="0.25">
      <c r="A16" s="91">
        <v>45846</v>
      </c>
      <c r="B16" s="236" t="s">
        <v>10</v>
      </c>
      <c r="C16" s="124" t="s">
        <v>220</v>
      </c>
      <c r="D16" s="82">
        <v>290</v>
      </c>
      <c r="E16" s="82"/>
      <c r="F16" s="82">
        <v>35.299999999999997</v>
      </c>
      <c r="G16" s="82"/>
      <c r="H16" s="90">
        <v>266852</v>
      </c>
      <c r="I16" s="90" t="s">
        <v>176</v>
      </c>
      <c r="J16" s="138"/>
      <c r="K16" s="218"/>
    </row>
    <row r="17" spans="1:11" x14ac:dyDescent="0.25">
      <c r="A17" s="91">
        <v>45846</v>
      </c>
      <c r="B17" s="236" t="s">
        <v>220</v>
      </c>
      <c r="C17" s="124" t="s">
        <v>9</v>
      </c>
      <c r="D17" s="82">
        <v>300</v>
      </c>
      <c r="E17" s="82"/>
      <c r="F17" s="82"/>
      <c r="G17" s="82"/>
      <c r="H17" s="83" t="s">
        <v>66</v>
      </c>
      <c r="I17" s="90"/>
      <c r="J17" s="138"/>
      <c r="K17" s="218"/>
    </row>
    <row r="18" spans="1:11" x14ac:dyDescent="0.25">
      <c r="A18" s="91">
        <v>45848</v>
      </c>
      <c r="B18" s="82" t="s">
        <v>9</v>
      </c>
      <c r="C18" s="124" t="s">
        <v>275</v>
      </c>
      <c r="D18" s="82">
        <v>380</v>
      </c>
      <c r="E18" s="82"/>
      <c r="F18" s="82">
        <v>35.08</v>
      </c>
      <c r="G18" s="82"/>
      <c r="H18" s="123">
        <v>717682</v>
      </c>
      <c r="I18" s="90"/>
      <c r="J18" s="138"/>
      <c r="K18" s="218"/>
    </row>
    <row r="19" spans="1:11" x14ac:dyDescent="0.25">
      <c r="A19" s="91">
        <v>45849</v>
      </c>
      <c r="B19" s="82" t="s">
        <v>275</v>
      </c>
      <c r="C19" s="124" t="s">
        <v>9</v>
      </c>
      <c r="D19" s="82">
        <v>380</v>
      </c>
      <c r="E19" s="82"/>
      <c r="F19" s="82"/>
      <c r="G19" s="82"/>
      <c r="H19" s="83" t="s">
        <v>66</v>
      </c>
      <c r="I19" s="90"/>
      <c r="J19" s="138"/>
      <c r="K19" s="218"/>
    </row>
    <row r="20" spans="1:11" x14ac:dyDescent="0.25">
      <c r="A20" s="91">
        <v>45849</v>
      </c>
      <c r="B20" s="236" t="s">
        <v>9</v>
      </c>
      <c r="C20" s="124" t="s">
        <v>274</v>
      </c>
      <c r="D20" s="82">
        <v>550</v>
      </c>
      <c r="E20" s="82"/>
      <c r="F20" s="82">
        <v>35</v>
      </c>
      <c r="G20" s="82"/>
      <c r="H20" s="90">
        <v>718081</v>
      </c>
      <c r="I20" s="90"/>
      <c r="J20" s="138"/>
      <c r="K20" s="218"/>
    </row>
    <row r="21" spans="1:11" x14ac:dyDescent="0.25">
      <c r="A21" s="91">
        <v>45850</v>
      </c>
      <c r="B21" s="236" t="s">
        <v>274</v>
      </c>
      <c r="C21" s="124" t="s">
        <v>10</v>
      </c>
      <c r="D21" s="82">
        <v>80</v>
      </c>
      <c r="E21" s="82"/>
      <c r="F21" s="82"/>
      <c r="G21" s="82"/>
      <c r="H21" s="83" t="s">
        <v>66</v>
      </c>
      <c r="I21" s="90"/>
      <c r="J21" s="138"/>
      <c r="K21" s="218"/>
    </row>
    <row r="22" spans="1:11" x14ac:dyDescent="0.25">
      <c r="A22" s="91">
        <v>45850</v>
      </c>
      <c r="B22" s="236" t="s">
        <v>10</v>
      </c>
      <c r="C22" s="124" t="s">
        <v>220</v>
      </c>
      <c r="D22" s="82">
        <v>290</v>
      </c>
      <c r="E22" s="82"/>
      <c r="F22" s="82">
        <v>35.020000000000003</v>
      </c>
      <c r="G22" s="82"/>
      <c r="H22" s="90">
        <v>267067</v>
      </c>
      <c r="I22" s="90" t="s">
        <v>176</v>
      </c>
      <c r="J22" s="138"/>
      <c r="K22" s="218"/>
    </row>
    <row r="23" spans="1:11" x14ac:dyDescent="0.25">
      <c r="A23" s="91">
        <v>45852</v>
      </c>
      <c r="B23" s="236" t="s">
        <v>220</v>
      </c>
      <c r="C23" s="124" t="s">
        <v>9</v>
      </c>
      <c r="D23" s="82">
        <v>300</v>
      </c>
      <c r="E23" s="82"/>
      <c r="F23" s="82"/>
      <c r="G23" s="82"/>
      <c r="H23" s="83" t="s">
        <v>66</v>
      </c>
      <c r="I23" s="90"/>
      <c r="J23" s="138"/>
      <c r="K23" s="218"/>
    </row>
    <row r="24" spans="1:11" x14ac:dyDescent="0.25">
      <c r="A24" s="91">
        <v>45852</v>
      </c>
      <c r="B24" s="82" t="s">
        <v>9</v>
      </c>
      <c r="C24" s="124" t="s">
        <v>242</v>
      </c>
      <c r="D24" s="82">
        <v>420</v>
      </c>
      <c r="E24" s="82"/>
      <c r="F24" s="82">
        <v>35.04</v>
      </c>
      <c r="G24" s="82"/>
      <c r="H24" s="90">
        <v>718602</v>
      </c>
      <c r="I24" s="90"/>
      <c r="J24" s="138"/>
      <c r="K24" s="218"/>
    </row>
    <row r="25" spans="1:11" x14ac:dyDescent="0.25">
      <c r="A25" s="91">
        <v>45853</v>
      </c>
      <c r="B25" s="82" t="s">
        <v>262</v>
      </c>
      <c r="C25" s="124" t="s">
        <v>220</v>
      </c>
      <c r="D25" s="82">
        <v>130</v>
      </c>
      <c r="E25" s="82"/>
      <c r="F25" s="82"/>
      <c r="G25" s="82"/>
      <c r="H25" s="83" t="s">
        <v>66</v>
      </c>
      <c r="I25" s="90"/>
      <c r="J25" s="138"/>
      <c r="K25" s="218"/>
    </row>
    <row r="26" spans="1:11" x14ac:dyDescent="0.25">
      <c r="A26" s="91">
        <v>45854</v>
      </c>
      <c r="B26" s="236" t="s">
        <v>220</v>
      </c>
      <c r="C26" s="124" t="s">
        <v>290</v>
      </c>
      <c r="D26" s="82">
        <v>130</v>
      </c>
      <c r="E26" s="82"/>
      <c r="F26" s="82">
        <v>34.58</v>
      </c>
      <c r="G26" s="82"/>
      <c r="H26" s="123">
        <v>853132</v>
      </c>
      <c r="I26" s="90"/>
      <c r="J26" s="138"/>
      <c r="K26" s="218"/>
    </row>
    <row r="27" spans="1:11" x14ac:dyDescent="0.25">
      <c r="A27" s="91">
        <v>45854</v>
      </c>
      <c r="B27" s="236" t="s">
        <v>290</v>
      </c>
      <c r="C27" s="124" t="s">
        <v>220</v>
      </c>
      <c r="D27" s="82">
        <v>130</v>
      </c>
      <c r="E27" s="82"/>
      <c r="F27" s="82"/>
      <c r="G27" s="82"/>
      <c r="H27" s="128" t="s">
        <v>66</v>
      </c>
      <c r="I27" s="90"/>
      <c r="J27" s="138"/>
      <c r="K27" s="218"/>
    </row>
    <row r="28" spans="1:11" x14ac:dyDescent="0.25">
      <c r="A28" s="91">
        <v>45855</v>
      </c>
      <c r="B28" s="82" t="s">
        <v>220</v>
      </c>
      <c r="C28" s="124" t="s">
        <v>297</v>
      </c>
      <c r="D28" s="82">
        <v>105</v>
      </c>
      <c r="E28" s="82"/>
      <c r="F28" s="82">
        <v>34.58</v>
      </c>
      <c r="G28" s="82"/>
      <c r="H28" s="123">
        <v>853341</v>
      </c>
      <c r="I28" s="90"/>
      <c r="J28" s="138"/>
      <c r="K28" s="218"/>
    </row>
    <row r="29" spans="1:11" x14ac:dyDescent="0.25">
      <c r="A29" s="91">
        <v>45855</v>
      </c>
      <c r="B29" s="82" t="s">
        <v>297</v>
      </c>
      <c r="C29" s="124" t="s">
        <v>220</v>
      </c>
      <c r="D29" s="82">
        <v>105</v>
      </c>
      <c r="E29" s="82"/>
      <c r="F29" s="82"/>
      <c r="G29" s="82"/>
      <c r="H29" s="83" t="s">
        <v>66</v>
      </c>
      <c r="I29" s="90"/>
      <c r="J29" s="138"/>
      <c r="K29" s="218"/>
    </row>
    <row r="30" spans="1:11" x14ac:dyDescent="0.25">
      <c r="A30" s="91">
        <v>45855</v>
      </c>
      <c r="B30" s="82" t="s">
        <v>220</v>
      </c>
      <c r="C30" s="124" t="s">
        <v>10</v>
      </c>
      <c r="D30" s="82">
        <v>290</v>
      </c>
      <c r="E30" s="82"/>
      <c r="F30" s="82"/>
      <c r="G30" s="82"/>
      <c r="H30" s="90">
        <v>853434</v>
      </c>
      <c r="I30" s="90"/>
      <c r="J30" s="138"/>
      <c r="K30" s="218"/>
    </row>
    <row r="31" spans="1:11" x14ac:dyDescent="0.25">
      <c r="A31" s="91">
        <v>45856</v>
      </c>
      <c r="B31" s="236" t="s">
        <v>10</v>
      </c>
      <c r="C31" s="124" t="s">
        <v>220</v>
      </c>
      <c r="D31" s="82">
        <v>290</v>
      </c>
      <c r="E31" s="82"/>
      <c r="F31" s="82">
        <v>34.86</v>
      </c>
      <c r="G31" s="82"/>
      <c r="H31" s="90">
        <v>267385</v>
      </c>
      <c r="I31" s="90" t="s">
        <v>176</v>
      </c>
      <c r="J31" s="138"/>
      <c r="K31" s="218"/>
    </row>
    <row r="32" spans="1:11" x14ac:dyDescent="0.25">
      <c r="A32" s="91">
        <v>45857</v>
      </c>
      <c r="B32" s="82" t="s">
        <v>220</v>
      </c>
      <c r="C32" s="124" t="s">
        <v>10</v>
      </c>
      <c r="D32" s="82">
        <v>290</v>
      </c>
      <c r="E32" s="82"/>
      <c r="F32" s="82">
        <v>34.83</v>
      </c>
      <c r="G32" s="82"/>
      <c r="H32" s="90">
        <v>853689</v>
      </c>
      <c r="I32" s="90"/>
      <c r="J32" s="138"/>
      <c r="K32" s="218"/>
    </row>
    <row r="33" spans="1:11" x14ac:dyDescent="0.25">
      <c r="A33" s="91">
        <v>45859</v>
      </c>
      <c r="B33" s="236" t="s">
        <v>10</v>
      </c>
      <c r="C33" s="124" t="s">
        <v>220</v>
      </c>
      <c r="D33" s="82">
        <v>290</v>
      </c>
      <c r="E33" s="82"/>
      <c r="F33" s="82">
        <v>35.18</v>
      </c>
      <c r="G33" s="82"/>
      <c r="H33" s="90">
        <v>267456</v>
      </c>
      <c r="I33" s="90" t="s">
        <v>176</v>
      </c>
      <c r="J33" s="138"/>
      <c r="K33" s="218"/>
    </row>
    <row r="34" spans="1:11" x14ac:dyDescent="0.25">
      <c r="A34" s="91">
        <v>45859</v>
      </c>
      <c r="B34" s="82" t="s">
        <v>220</v>
      </c>
      <c r="C34" s="124" t="s">
        <v>10</v>
      </c>
      <c r="D34" s="82">
        <v>290</v>
      </c>
      <c r="E34" s="82"/>
      <c r="F34" s="82">
        <v>35.14</v>
      </c>
      <c r="G34" s="82"/>
      <c r="H34" s="90">
        <v>853919</v>
      </c>
      <c r="I34" s="90"/>
      <c r="J34" s="138"/>
      <c r="K34" s="218"/>
    </row>
    <row r="35" spans="1:11" x14ac:dyDescent="0.25">
      <c r="A35" s="91">
        <v>45860</v>
      </c>
      <c r="B35" s="236" t="s">
        <v>10</v>
      </c>
      <c r="C35" s="124" t="s">
        <v>220</v>
      </c>
      <c r="D35" s="82">
        <v>290</v>
      </c>
      <c r="E35" s="82"/>
      <c r="F35" s="82">
        <v>35.14</v>
      </c>
      <c r="G35" s="82"/>
      <c r="H35" s="90">
        <v>267534</v>
      </c>
      <c r="I35" s="90" t="s">
        <v>176</v>
      </c>
      <c r="J35" s="138"/>
      <c r="K35" s="218"/>
    </row>
    <row r="36" spans="1:11" x14ac:dyDescent="0.25">
      <c r="A36" s="91">
        <v>45861</v>
      </c>
      <c r="B36" s="82" t="s">
        <v>220</v>
      </c>
      <c r="C36" s="124" t="s">
        <v>10</v>
      </c>
      <c r="D36" s="82">
        <v>290</v>
      </c>
      <c r="E36" s="82"/>
      <c r="F36" s="82">
        <v>34.909999999999997</v>
      </c>
      <c r="G36" s="82"/>
      <c r="H36" s="90">
        <v>854162</v>
      </c>
      <c r="I36" s="90"/>
      <c r="J36" s="138"/>
      <c r="K36" s="218"/>
    </row>
    <row r="37" spans="1:11" x14ac:dyDescent="0.25">
      <c r="A37" s="91">
        <v>45861</v>
      </c>
      <c r="B37" s="236" t="s">
        <v>10</v>
      </c>
      <c r="C37" s="124" t="s">
        <v>220</v>
      </c>
      <c r="D37" s="82">
        <v>290</v>
      </c>
      <c r="E37" s="82"/>
      <c r="F37" s="82">
        <v>35.119999999999997</v>
      </c>
      <c r="G37" s="82"/>
      <c r="H37" s="90">
        <v>267599</v>
      </c>
      <c r="I37" s="90" t="s">
        <v>176</v>
      </c>
      <c r="J37" s="138"/>
      <c r="K37" s="218"/>
    </row>
    <row r="38" spans="1:11" x14ac:dyDescent="0.25">
      <c r="A38" s="91">
        <v>45862</v>
      </c>
      <c r="B38" s="82" t="s">
        <v>220</v>
      </c>
      <c r="C38" s="124" t="s">
        <v>10</v>
      </c>
      <c r="D38" s="82">
        <v>290</v>
      </c>
      <c r="E38" s="82"/>
      <c r="F38" s="82">
        <v>35.130000000000003</v>
      </c>
      <c r="G38" s="82"/>
      <c r="H38" s="90">
        <v>854435</v>
      </c>
      <c r="I38" s="90"/>
      <c r="J38" s="138"/>
      <c r="K38" s="218"/>
    </row>
    <row r="39" spans="1:11" x14ac:dyDescent="0.25">
      <c r="A39" s="91">
        <v>45862</v>
      </c>
      <c r="B39" s="236" t="s">
        <v>10</v>
      </c>
      <c r="C39" s="124" t="s">
        <v>220</v>
      </c>
      <c r="D39" s="82">
        <v>290</v>
      </c>
      <c r="E39" s="82"/>
      <c r="F39" s="82">
        <v>34.94</v>
      </c>
      <c r="G39" s="82"/>
      <c r="H39" s="90">
        <v>267663</v>
      </c>
      <c r="I39" s="90" t="s">
        <v>176</v>
      </c>
      <c r="J39" s="138"/>
      <c r="K39" s="218"/>
    </row>
    <row r="40" spans="1:11" x14ac:dyDescent="0.25">
      <c r="A40" s="91">
        <v>45863</v>
      </c>
      <c r="B40" s="82" t="s">
        <v>220</v>
      </c>
      <c r="C40" s="124" t="s">
        <v>10</v>
      </c>
      <c r="D40" s="82">
        <v>290</v>
      </c>
      <c r="E40" s="82"/>
      <c r="F40" s="82">
        <v>34.979999999999997</v>
      </c>
      <c r="G40" s="82"/>
      <c r="H40" s="90">
        <v>854645</v>
      </c>
      <c r="I40" s="90"/>
      <c r="J40" s="138"/>
      <c r="K40" s="218"/>
    </row>
    <row r="41" spans="1:11" x14ac:dyDescent="0.25">
      <c r="A41" s="91">
        <v>45863</v>
      </c>
      <c r="B41" s="236" t="s">
        <v>10</v>
      </c>
      <c r="C41" s="124" t="s">
        <v>276</v>
      </c>
      <c r="D41" s="82">
        <v>200</v>
      </c>
      <c r="E41" s="82"/>
      <c r="F41" s="82">
        <v>35.22</v>
      </c>
      <c r="G41" s="82"/>
      <c r="H41" s="90">
        <v>267723</v>
      </c>
      <c r="I41" s="90" t="s">
        <v>176</v>
      </c>
      <c r="J41" s="138"/>
      <c r="K41" s="218"/>
    </row>
    <row r="42" spans="1:11" x14ac:dyDescent="0.25">
      <c r="A42" s="91">
        <v>45864</v>
      </c>
      <c r="B42" s="236" t="s">
        <v>276</v>
      </c>
      <c r="C42" s="124" t="s">
        <v>220</v>
      </c>
      <c r="D42" s="82">
        <v>130</v>
      </c>
      <c r="E42" s="82"/>
      <c r="F42" s="82"/>
      <c r="G42" s="82"/>
      <c r="H42" s="83" t="s">
        <v>66</v>
      </c>
      <c r="I42" s="90"/>
      <c r="J42" s="138"/>
      <c r="K42" s="218"/>
    </row>
    <row r="43" spans="1:11" x14ac:dyDescent="0.25">
      <c r="A43" s="91">
        <v>45864</v>
      </c>
      <c r="B43" s="236" t="s">
        <v>220</v>
      </c>
      <c r="C43" s="124" t="s">
        <v>290</v>
      </c>
      <c r="D43" s="82">
        <v>130</v>
      </c>
      <c r="E43" s="82"/>
      <c r="F43" s="82">
        <v>35.200000000000003</v>
      </c>
      <c r="G43" s="82"/>
      <c r="H43" s="123">
        <v>854962</v>
      </c>
      <c r="I43" s="90"/>
      <c r="J43" s="138"/>
      <c r="K43" s="218"/>
    </row>
    <row r="44" spans="1:11" x14ac:dyDescent="0.25">
      <c r="A44" s="91">
        <v>45866</v>
      </c>
      <c r="B44" s="82" t="s">
        <v>290</v>
      </c>
      <c r="C44" s="124" t="s">
        <v>10</v>
      </c>
      <c r="D44" s="82">
        <v>190</v>
      </c>
      <c r="E44" s="82"/>
      <c r="F44" s="82"/>
      <c r="G44" s="82"/>
      <c r="H44" s="83" t="s">
        <v>66</v>
      </c>
      <c r="I44" s="90"/>
      <c r="J44" s="138"/>
      <c r="K44" s="218"/>
    </row>
    <row r="45" spans="1:11" x14ac:dyDescent="0.25">
      <c r="A45" s="91">
        <v>45866</v>
      </c>
      <c r="B45" s="236" t="s">
        <v>10</v>
      </c>
      <c r="C45" s="124" t="s">
        <v>274</v>
      </c>
      <c r="D45" s="82">
        <v>80</v>
      </c>
      <c r="E45" s="82"/>
      <c r="F45" s="82">
        <v>35.159999999999997</v>
      </c>
      <c r="G45" s="82"/>
      <c r="H45" s="90">
        <v>267825</v>
      </c>
      <c r="I45" s="90" t="s">
        <v>176</v>
      </c>
      <c r="J45" s="138"/>
      <c r="K45" s="218"/>
    </row>
    <row r="46" spans="1:11" x14ac:dyDescent="0.25">
      <c r="A46" s="91">
        <v>45866</v>
      </c>
      <c r="B46" s="236" t="s">
        <v>274</v>
      </c>
      <c r="C46" s="124" t="s">
        <v>10</v>
      </c>
      <c r="D46" s="82">
        <v>80</v>
      </c>
      <c r="E46" s="82"/>
      <c r="F46" s="82"/>
      <c r="G46" s="82"/>
      <c r="H46" s="83" t="s">
        <v>66</v>
      </c>
      <c r="I46" s="90"/>
      <c r="J46" s="138"/>
      <c r="K46" s="218"/>
    </row>
    <row r="47" spans="1:11" x14ac:dyDescent="0.25">
      <c r="A47" s="91">
        <v>45867</v>
      </c>
      <c r="B47" s="236" t="s">
        <v>10</v>
      </c>
      <c r="C47" s="124" t="s">
        <v>242</v>
      </c>
      <c r="D47" s="82">
        <v>175</v>
      </c>
      <c r="E47" s="82"/>
      <c r="F47" s="82">
        <v>35.1</v>
      </c>
      <c r="G47" s="82"/>
      <c r="H47" s="90">
        <v>267854</v>
      </c>
      <c r="I47" s="90" t="s">
        <v>176</v>
      </c>
      <c r="J47" s="138"/>
      <c r="K47" s="218"/>
    </row>
    <row r="48" spans="1:11" x14ac:dyDescent="0.25">
      <c r="A48" s="91">
        <v>45868</v>
      </c>
      <c r="B48" s="236" t="s">
        <v>242</v>
      </c>
      <c r="C48" s="124" t="s">
        <v>220</v>
      </c>
      <c r="D48" s="82">
        <v>130</v>
      </c>
      <c r="E48" s="82"/>
      <c r="F48" s="82"/>
      <c r="G48" s="82"/>
      <c r="H48" s="83" t="s">
        <v>66</v>
      </c>
      <c r="I48" s="90"/>
      <c r="J48" s="138"/>
      <c r="K48" s="218"/>
    </row>
    <row r="49" spans="1:11" x14ac:dyDescent="0.25">
      <c r="A49" s="91">
        <v>45868</v>
      </c>
      <c r="B49" s="82" t="s">
        <v>220</v>
      </c>
      <c r="C49" s="124" t="s">
        <v>10</v>
      </c>
      <c r="D49" s="82">
        <v>290</v>
      </c>
      <c r="E49" s="82"/>
      <c r="F49" s="82">
        <v>34.94</v>
      </c>
      <c r="G49" s="82"/>
      <c r="H49" s="90">
        <v>855542</v>
      </c>
      <c r="I49" s="90"/>
      <c r="J49" s="138"/>
      <c r="K49" s="218"/>
    </row>
    <row r="50" spans="1:11" x14ac:dyDescent="0.25">
      <c r="A50" s="91">
        <v>45868</v>
      </c>
      <c r="B50" s="236" t="s">
        <v>10</v>
      </c>
      <c r="C50" s="124" t="s">
        <v>220</v>
      </c>
      <c r="D50" s="82">
        <v>290</v>
      </c>
      <c r="E50" s="82"/>
      <c r="F50" s="82">
        <v>35.22</v>
      </c>
      <c r="G50" s="82"/>
      <c r="H50" s="90">
        <v>267932</v>
      </c>
      <c r="I50" s="90" t="s">
        <v>176</v>
      </c>
      <c r="J50" s="138"/>
      <c r="K50" s="218"/>
    </row>
    <row r="51" spans="1:11" x14ac:dyDescent="0.25">
      <c r="A51" s="91">
        <v>45869</v>
      </c>
      <c r="B51" s="82" t="s">
        <v>220</v>
      </c>
      <c r="C51" s="124" t="s">
        <v>10</v>
      </c>
      <c r="D51" s="82">
        <v>290</v>
      </c>
      <c r="E51" s="82"/>
      <c r="F51" s="82"/>
      <c r="G51" s="82"/>
      <c r="H51" s="90">
        <v>855761</v>
      </c>
      <c r="I51" s="90"/>
      <c r="J51" s="138"/>
      <c r="K51" s="218"/>
    </row>
    <row r="52" spans="1:11" x14ac:dyDescent="0.25">
      <c r="A52" s="91"/>
      <c r="B52" s="82"/>
      <c r="C52" s="124"/>
      <c r="D52" s="151"/>
      <c r="E52" s="82"/>
      <c r="F52" s="82"/>
      <c r="G52" s="82"/>
      <c r="H52" s="90"/>
      <c r="I52" s="90"/>
      <c r="J52" s="138"/>
      <c r="K52" s="218"/>
    </row>
    <row r="53" spans="1:11" x14ac:dyDescent="0.25">
      <c r="A53" s="5"/>
      <c r="B53" s="6"/>
      <c r="C53" s="6"/>
      <c r="D53" s="6"/>
      <c r="E53" s="6"/>
      <c r="F53" s="6"/>
      <c r="G53" s="6"/>
      <c r="H53" s="7"/>
      <c r="I53" s="7"/>
      <c r="J53" s="140"/>
      <c r="K53" s="218"/>
    </row>
    <row r="54" spans="1:11" x14ac:dyDescent="0.25">
      <c r="D54" s="17">
        <f>SUM(D3:D53)</f>
        <v>12205</v>
      </c>
      <c r="E54" s="13"/>
      <c r="F54" s="13">
        <f>AVERAGE(F3:F52)</f>
        <v>34.849411764705884</v>
      </c>
      <c r="G54" s="13"/>
      <c r="J54" s="139">
        <f>SUM(J3:J53)</f>
        <v>0</v>
      </c>
      <c r="K54" s="219">
        <f>SUM(K3:K53)</f>
        <v>0</v>
      </c>
    </row>
    <row r="56" spans="1:11" x14ac:dyDescent="0.25">
      <c r="B56">
        <v>-20000</v>
      </c>
      <c r="C56" s="11"/>
      <c r="D56" s="11">
        <v>45566</v>
      </c>
      <c r="E56" s="11"/>
      <c r="F56" s="11"/>
      <c r="G56" s="11"/>
      <c r="K56" s="4"/>
    </row>
    <row r="57" spans="1:11" x14ac:dyDescent="0.25">
      <c r="B57" s="11"/>
      <c r="C57" s="11"/>
      <c r="D57" s="11"/>
      <c r="H57" s="4"/>
    </row>
    <row r="58" spans="1:11" x14ac:dyDescent="0.25">
      <c r="B58" s="11"/>
      <c r="C58" s="11"/>
      <c r="D58" s="11"/>
      <c r="H58" s="4"/>
    </row>
    <row r="59" spans="1:11" x14ac:dyDescent="0.25">
      <c r="B59" s="135">
        <f>SUM(B56:B56)</f>
        <v>-20000</v>
      </c>
      <c r="C59" s="11">
        <v>45566</v>
      </c>
      <c r="D59" s="11"/>
      <c r="E59" s="4"/>
      <c r="K59" s="4"/>
    </row>
    <row r="60" spans="1:11" x14ac:dyDescent="0.25">
      <c r="B60" s="11"/>
      <c r="D60" s="11"/>
      <c r="F60" s="11"/>
      <c r="G60" s="11"/>
      <c r="I60" s="173"/>
      <c r="K60" s="4"/>
    </row>
    <row r="61" spans="1:11" x14ac:dyDescent="0.25">
      <c r="B61" s="11"/>
      <c r="E61" s="11"/>
      <c r="F61" s="11"/>
      <c r="G61" s="11"/>
      <c r="K61" s="4"/>
    </row>
    <row r="62" spans="1:11" x14ac:dyDescent="0.25">
      <c r="B62" s="11"/>
      <c r="K62" s="4"/>
    </row>
    <row r="63" spans="1:11" x14ac:dyDescent="0.25">
      <c r="B63" s="11"/>
      <c r="E63" s="11"/>
      <c r="F63" s="11"/>
      <c r="G63" s="11"/>
      <c r="K63" s="4"/>
    </row>
    <row r="64" spans="1:11" x14ac:dyDescent="0.25">
      <c r="B64" s="11"/>
      <c r="C64" s="11"/>
      <c r="I64" s="4"/>
    </row>
    <row r="65" spans="2:11" x14ac:dyDescent="0.25">
      <c r="B65" s="11"/>
      <c r="E65" s="11"/>
      <c r="F65" s="11"/>
      <c r="G65" s="11"/>
      <c r="K65" s="4"/>
    </row>
    <row r="66" spans="2:11" x14ac:dyDescent="0.25">
      <c r="B66" s="11"/>
      <c r="E66" s="11"/>
      <c r="F66" s="11"/>
      <c r="G66" s="11"/>
      <c r="K66" s="4"/>
    </row>
    <row r="67" spans="2:11" x14ac:dyDescent="0.25">
      <c r="B67" s="11"/>
      <c r="E67" s="11"/>
      <c r="F67" s="11"/>
      <c r="G67" s="11"/>
      <c r="K67" s="4"/>
    </row>
    <row r="68" spans="2:11" x14ac:dyDescent="0.25">
      <c r="B68" s="11"/>
      <c r="E68" s="11"/>
      <c r="F68" s="11"/>
      <c r="G68" s="11"/>
      <c r="K68" s="4"/>
    </row>
    <row r="69" spans="2:11" x14ac:dyDescent="0.25">
      <c r="B69" s="11"/>
      <c r="E69" s="11"/>
      <c r="F69" s="11"/>
      <c r="G69" s="11"/>
      <c r="K69" s="4"/>
    </row>
    <row r="70" spans="2:11" x14ac:dyDescent="0.25">
      <c r="B70" s="11"/>
      <c r="E70" s="11"/>
      <c r="F70" s="11"/>
      <c r="G70" s="11"/>
      <c r="K70" s="4"/>
    </row>
    <row r="71" spans="2:11" x14ac:dyDescent="0.25">
      <c r="B71" s="11"/>
      <c r="E71" s="11"/>
      <c r="F71" s="11"/>
      <c r="G71" s="11"/>
      <c r="K71" s="4"/>
    </row>
    <row r="72" spans="2:11" x14ac:dyDescent="0.25">
      <c r="B72" s="11"/>
      <c r="E72" s="11"/>
      <c r="F72" s="11"/>
      <c r="G72" s="11"/>
      <c r="K72" s="4"/>
    </row>
    <row r="73" spans="2:11" x14ac:dyDescent="0.25">
      <c r="B73" s="11"/>
      <c r="E73" s="11"/>
      <c r="F73" s="11"/>
      <c r="G73" s="11"/>
      <c r="K73" s="4"/>
    </row>
    <row r="74" spans="2:11" x14ac:dyDescent="0.25">
      <c r="B74" s="11"/>
      <c r="E74" s="11"/>
      <c r="F74" s="11"/>
      <c r="G74" s="11"/>
      <c r="K74" s="4"/>
    </row>
    <row r="75" spans="2:11" x14ac:dyDescent="0.25">
      <c r="B75" s="11"/>
      <c r="E75" s="11"/>
      <c r="F75" s="11"/>
      <c r="G75" s="11"/>
      <c r="K75" s="4"/>
    </row>
    <row r="76" spans="2:11" x14ac:dyDescent="0.25">
      <c r="B76" s="11"/>
      <c r="D76" s="11"/>
      <c r="E76" s="11"/>
      <c r="F76" s="11"/>
      <c r="G76" s="11"/>
      <c r="K76" s="4"/>
    </row>
    <row r="77" spans="2:11" x14ac:dyDescent="0.25">
      <c r="B77" s="11"/>
      <c r="E77" s="11"/>
      <c r="F77" s="11"/>
      <c r="G77" s="11"/>
    </row>
    <row r="78" spans="2:11" x14ac:dyDescent="0.25">
      <c r="B78" s="11"/>
      <c r="E78" s="11"/>
      <c r="F78" s="11"/>
      <c r="G78" s="11"/>
    </row>
    <row r="79" spans="2:11" x14ac:dyDescent="0.25">
      <c r="B79" s="11"/>
      <c r="E79" s="11"/>
      <c r="F79" s="11"/>
      <c r="G79" s="11"/>
    </row>
    <row r="80" spans="2:11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B84" s="11"/>
      <c r="E84" s="11"/>
      <c r="F84" s="11"/>
      <c r="G84" s="11"/>
    </row>
    <row r="85" spans="2:7" x14ac:dyDescent="0.25">
      <c r="B85" s="11"/>
      <c r="E85" s="11"/>
      <c r="F85" s="11"/>
      <c r="G85" s="11"/>
    </row>
    <row r="86" spans="2:7" x14ac:dyDescent="0.25">
      <c r="B86" s="11"/>
      <c r="E86" s="11"/>
      <c r="F86" s="11"/>
      <c r="G86" s="11"/>
    </row>
    <row r="87" spans="2:7" x14ac:dyDescent="0.25">
      <c r="B87" s="11"/>
      <c r="E87" s="11"/>
      <c r="F87" s="11"/>
      <c r="G87" s="11"/>
    </row>
    <row r="88" spans="2:7" x14ac:dyDescent="0.25">
      <c r="B88" s="11"/>
      <c r="E88" s="11"/>
      <c r="F88" s="11"/>
      <c r="G88" s="11"/>
    </row>
    <row r="89" spans="2:7" x14ac:dyDescent="0.25">
      <c r="B89" s="11"/>
      <c r="E89" s="11"/>
      <c r="F89" s="11"/>
      <c r="G89" s="11"/>
    </row>
    <row r="90" spans="2:7" x14ac:dyDescent="0.25">
      <c r="B90" s="11"/>
      <c r="E90" s="11"/>
      <c r="F90" s="11"/>
      <c r="G90" s="11"/>
    </row>
    <row r="91" spans="2:7" x14ac:dyDescent="0.25">
      <c r="B91" s="11"/>
      <c r="E91" s="11"/>
      <c r="F91" s="11"/>
      <c r="G91" s="11"/>
    </row>
    <row r="92" spans="2:7" x14ac:dyDescent="0.25">
      <c r="B92" s="11"/>
      <c r="E92" s="11"/>
      <c r="F92" s="11"/>
      <c r="G92" s="11"/>
    </row>
    <row r="93" spans="2:7" x14ac:dyDescent="0.25">
      <c r="B93" s="11"/>
      <c r="E93" s="11"/>
      <c r="F93" s="11"/>
      <c r="G93" s="11"/>
    </row>
    <row r="94" spans="2:7" x14ac:dyDescent="0.25">
      <c r="B94" s="11"/>
      <c r="E94" s="11"/>
      <c r="F94" s="11"/>
      <c r="G94" s="11"/>
    </row>
    <row r="95" spans="2:7" x14ac:dyDescent="0.25">
      <c r="B95" s="11"/>
      <c r="E95" s="11"/>
      <c r="F95" s="11"/>
      <c r="G95" s="11"/>
    </row>
    <row r="96" spans="2:7" x14ac:dyDescent="0.25">
      <c r="B96" s="11"/>
      <c r="E96" s="11"/>
      <c r="F96" s="11"/>
      <c r="G96" s="11"/>
    </row>
    <row r="97" spans="2:7" x14ac:dyDescent="0.25">
      <c r="B97" s="11"/>
      <c r="E97" s="11"/>
      <c r="F97" s="11"/>
      <c r="G97" s="11"/>
    </row>
    <row r="98" spans="2:7" x14ac:dyDescent="0.25">
      <c r="B98" s="11"/>
      <c r="E98" s="11"/>
      <c r="F98" s="11"/>
      <c r="G98" s="11"/>
    </row>
    <row r="99" spans="2:7" x14ac:dyDescent="0.25">
      <c r="B99" s="11"/>
      <c r="E99" s="11"/>
      <c r="F99" s="11"/>
      <c r="G99" s="11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5684-92C0-4706-AE4C-36333A673B16}">
  <dimension ref="A1:M79"/>
  <sheetViews>
    <sheetView topLeftCell="A16" zoomScale="110" zoomScaleNormal="110" workbookViewId="0">
      <selection activeCell="B21" sqref="B21:H23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9" max="9" width="13.28515625" customWidth="1"/>
    <col min="11" max="11" width="12.7109375" bestFit="1" customWidth="1"/>
  </cols>
  <sheetData>
    <row r="1" spans="1:13" x14ac:dyDescent="0.25">
      <c r="D1" s="172" t="s">
        <v>80</v>
      </c>
    </row>
    <row r="2" spans="1:13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  <c r="M2" s="258"/>
    </row>
    <row r="3" spans="1:13" x14ac:dyDescent="0.25">
      <c r="A3" s="91">
        <v>46113</v>
      </c>
      <c r="B3" s="236" t="s">
        <v>220</v>
      </c>
      <c r="C3" s="124" t="s">
        <v>290</v>
      </c>
      <c r="D3" s="82">
        <v>140</v>
      </c>
      <c r="E3" s="82"/>
      <c r="F3" s="82">
        <v>34.89</v>
      </c>
      <c r="G3" s="82"/>
      <c r="H3" s="123">
        <v>894639</v>
      </c>
      <c r="I3" s="90"/>
      <c r="J3" s="138"/>
      <c r="K3" s="218">
        <v>388795.32</v>
      </c>
    </row>
    <row r="4" spans="1:13" x14ac:dyDescent="0.25">
      <c r="A4" s="91">
        <v>46113</v>
      </c>
      <c r="B4" s="82" t="s">
        <v>290</v>
      </c>
      <c r="C4" s="124" t="s">
        <v>9</v>
      </c>
      <c r="D4" s="82">
        <v>410</v>
      </c>
      <c r="E4" s="82"/>
      <c r="F4" s="82"/>
      <c r="G4" s="82"/>
      <c r="H4" s="83" t="s">
        <v>66</v>
      </c>
      <c r="I4" s="90"/>
      <c r="J4" s="138"/>
      <c r="K4" s="218"/>
    </row>
    <row r="5" spans="1:13" x14ac:dyDescent="0.25">
      <c r="A5" s="91">
        <v>46118</v>
      </c>
      <c r="B5" s="82" t="s">
        <v>9</v>
      </c>
      <c r="C5" s="124" t="s">
        <v>262</v>
      </c>
      <c r="D5" s="82">
        <v>430</v>
      </c>
      <c r="E5" s="82"/>
      <c r="F5" s="82">
        <v>35.08</v>
      </c>
      <c r="G5" s="82"/>
      <c r="H5" s="90">
        <v>764985</v>
      </c>
      <c r="I5" s="90"/>
      <c r="J5" s="138"/>
      <c r="K5" s="218">
        <v>1639040.38</v>
      </c>
    </row>
    <row r="6" spans="1:13" x14ac:dyDescent="0.25">
      <c r="A6" s="91">
        <v>46119</v>
      </c>
      <c r="B6" s="236" t="s">
        <v>242</v>
      </c>
      <c r="C6" s="124" t="s">
        <v>220</v>
      </c>
      <c r="D6" s="82">
        <v>140</v>
      </c>
      <c r="E6" s="82"/>
      <c r="F6" s="82"/>
      <c r="G6" s="82"/>
      <c r="H6" s="83" t="s">
        <v>66</v>
      </c>
      <c r="I6" s="90"/>
      <c r="J6" s="138"/>
      <c r="K6" s="218"/>
    </row>
    <row r="7" spans="1:13" x14ac:dyDescent="0.25">
      <c r="A7" s="91">
        <v>46119</v>
      </c>
      <c r="B7" s="236" t="s">
        <v>220</v>
      </c>
      <c r="C7" s="124" t="s">
        <v>251</v>
      </c>
      <c r="D7" s="82">
        <v>80</v>
      </c>
      <c r="E7" s="82"/>
      <c r="F7" s="82">
        <v>34.700000000000003</v>
      </c>
      <c r="G7" s="82"/>
      <c r="H7" s="90">
        <v>895134</v>
      </c>
      <c r="I7" s="90"/>
      <c r="J7" s="138"/>
      <c r="K7" s="218">
        <v>386678.06</v>
      </c>
    </row>
    <row r="8" spans="1:13" x14ac:dyDescent="0.25">
      <c r="A8" s="91">
        <v>46120</v>
      </c>
      <c r="B8" s="236" t="s">
        <v>251</v>
      </c>
      <c r="C8" s="124" t="s">
        <v>220</v>
      </c>
      <c r="D8" s="82">
        <v>80</v>
      </c>
      <c r="E8" s="82"/>
      <c r="F8" s="82"/>
      <c r="G8" s="82"/>
      <c r="H8" s="83" t="s">
        <v>66</v>
      </c>
      <c r="I8" s="90"/>
      <c r="J8" s="138"/>
      <c r="K8" s="218"/>
    </row>
    <row r="9" spans="1:13" x14ac:dyDescent="0.25">
      <c r="A9" s="91">
        <v>46120</v>
      </c>
      <c r="B9" s="82" t="s">
        <v>220</v>
      </c>
      <c r="C9" s="124" t="s">
        <v>10</v>
      </c>
      <c r="D9" s="82">
        <v>290</v>
      </c>
      <c r="E9" s="82"/>
      <c r="F9" s="82"/>
      <c r="G9" s="82"/>
      <c r="H9" s="90">
        <v>895294</v>
      </c>
      <c r="I9" s="90"/>
      <c r="J9" s="138"/>
      <c r="K9" s="218"/>
    </row>
    <row r="10" spans="1:13" x14ac:dyDescent="0.25">
      <c r="A10" s="91">
        <v>46121</v>
      </c>
      <c r="B10" s="236" t="s">
        <v>10</v>
      </c>
      <c r="C10" s="124" t="s">
        <v>220</v>
      </c>
      <c r="D10" s="82">
        <v>290</v>
      </c>
      <c r="E10" s="82"/>
      <c r="F10" s="82">
        <v>35.14</v>
      </c>
      <c r="G10" s="82"/>
      <c r="H10" s="123">
        <v>278785</v>
      </c>
      <c r="I10" s="90" t="s">
        <v>176</v>
      </c>
      <c r="J10" s="138"/>
      <c r="K10" s="218"/>
    </row>
    <row r="11" spans="1:13" x14ac:dyDescent="0.25">
      <c r="A11" s="91">
        <v>46122</v>
      </c>
      <c r="B11" s="236" t="s">
        <v>220</v>
      </c>
      <c r="C11" s="124" t="s">
        <v>290</v>
      </c>
      <c r="D11" s="82">
        <v>140</v>
      </c>
      <c r="E11" s="82"/>
      <c r="F11" s="82">
        <v>35.090000000000003</v>
      </c>
      <c r="G11" s="82"/>
      <c r="H11" s="123">
        <v>895636</v>
      </c>
      <c r="I11" s="90"/>
      <c r="J11" s="138"/>
      <c r="K11" s="218"/>
    </row>
    <row r="12" spans="1:13" x14ac:dyDescent="0.25">
      <c r="A12" s="91">
        <v>46125</v>
      </c>
      <c r="B12" s="236" t="s">
        <v>290</v>
      </c>
      <c r="C12" s="124" t="s">
        <v>220</v>
      </c>
      <c r="D12" s="82">
        <v>140</v>
      </c>
      <c r="E12" s="82"/>
      <c r="F12" s="82"/>
      <c r="G12" s="82"/>
      <c r="H12" s="128" t="s">
        <v>66</v>
      </c>
      <c r="I12" s="90"/>
      <c r="J12" s="138"/>
      <c r="K12" s="218"/>
    </row>
    <row r="13" spans="1:13" x14ac:dyDescent="0.25">
      <c r="A13" s="91">
        <v>46125</v>
      </c>
      <c r="B13" s="82" t="s">
        <v>220</v>
      </c>
      <c r="C13" s="124" t="s">
        <v>10</v>
      </c>
      <c r="D13" s="82">
        <v>290</v>
      </c>
      <c r="E13" s="82"/>
      <c r="F13" s="82">
        <v>34.82</v>
      </c>
      <c r="G13" s="82"/>
      <c r="H13" s="123">
        <v>895954</v>
      </c>
      <c r="I13" s="90"/>
      <c r="J13" s="138"/>
      <c r="K13" s="218"/>
    </row>
    <row r="14" spans="1:13" x14ac:dyDescent="0.25">
      <c r="A14" s="91">
        <v>46125</v>
      </c>
      <c r="B14" s="236" t="s">
        <v>10</v>
      </c>
      <c r="C14" s="124" t="s">
        <v>242</v>
      </c>
      <c r="D14" s="82">
        <v>185</v>
      </c>
      <c r="E14" s="82"/>
      <c r="F14" s="82">
        <v>34.619999999999997</v>
      </c>
      <c r="G14" s="82"/>
      <c r="H14" s="288">
        <v>278940</v>
      </c>
      <c r="I14" s="90" t="s">
        <v>176</v>
      </c>
      <c r="J14" s="138"/>
      <c r="K14" s="218"/>
    </row>
    <row r="15" spans="1:13" x14ac:dyDescent="0.25">
      <c r="A15" s="91">
        <v>46126</v>
      </c>
      <c r="B15" s="236" t="s">
        <v>242</v>
      </c>
      <c r="C15" s="124" t="s">
        <v>220</v>
      </c>
      <c r="D15" s="82">
        <v>140</v>
      </c>
      <c r="E15" s="82"/>
      <c r="F15" s="82"/>
      <c r="G15" s="82"/>
      <c r="H15" s="83" t="s">
        <v>66</v>
      </c>
      <c r="I15" s="90"/>
      <c r="J15" s="138"/>
      <c r="K15" s="218"/>
    </row>
    <row r="16" spans="1:13" x14ac:dyDescent="0.25">
      <c r="A16" s="91">
        <v>46126</v>
      </c>
      <c r="B16" s="82" t="s">
        <v>220</v>
      </c>
      <c r="C16" s="124" t="s">
        <v>300</v>
      </c>
      <c r="D16" s="82">
        <v>125</v>
      </c>
      <c r="E16" s="82"/>
      <c r="F16" s="82">
        <v>34.92</v>
      </c>
      <c r="G16" s="82"/>
      <c r="H16" s="90">
        <v>896194</v>
      </c>
      <c r="I16" s="90"/>
      <c r="J16" s="138"/>
      <c r="K16" s="218"/>
    </row>
    <row r="17" spans="1:11" x14ac:dyDescent="0.25">
      <c r="A17" s="91">
        <v>46127</v>
      </c>
      <c r="B17" s="82" t="s">
        <v>300</v>
      </c>
      <c r="C17" s="124" t="s">
        <v>10</v>
      </c>
      <c r="D17" s="82">
        <v>150</v>
      </c>
      <c r="E17" s="82"/>
      <c r="F17" s="82"/>
      <c r="G17" s="82"/>
      <c r="H17" s="83" t="s">
        <v>66</v>
      </c>
      <c r="I17" s="90"/>
      <c r="J17" s="138"/>
      <c r="K17" s="218"/>
    </row>
    <row r="18" spans="1:11" x14ac:dyDescent="0.25">
      <c r="A18" s="91">
        <v>46127</v>
      </c>
      <c r="B18" s="236" t="s">
        <v>10</v>
      </c>
      <c r="C18" s="124" t="s">
        <v>220</v>
      </c>
      <c r="D18" s="82">
        <v>290</v>
      </c>
      <c r="E18" s="82"/>
      <c r="F18" s="82">
        <v>34.78</v>
      </c>
      <c r="G18" s="82"/>
      <c r="H18" s="90">
        <v>279010</v>
      </c>
      <c r="I18" s="90"/>
      <c r="J18" s="138"/>
      <c r="K18" s="218"/>
    </row>
    <row r="19" spans="1:11" x14ac:dyDescent="0.25">
      <c r="A19" s="91">
        <v>46129</v>
      </c>
      <c r="B19" s="82" t="s">
        <v>220</v>
      </c>
      <c r="C19" s="124" t="s">
        <v>10</v>
      </c>
      <c r="D19" s="82">
        <v>290</v>
      </c>
      <c r="E19" s="82"/>
      <c r="F19" s="82">
        <v>35.159999999999997</v>
      </c>
      <c r="G19" s="82"/>
      <c r="H19" s="90">
        <v>896678</v>
      </c>
      <c r="I19" s="90"/>
      <c r="J19" s="138"/>
      <c r="K19" s="218"/>
    </row>
    <row r="20" spans="1:11" x14ac:dyDescent="0.25">
      <c r="A20" s="91">
        <v>46129</v>
      </c>
      <c r="B20" s="236" t="s">
        <v>10</v>
      </c>
      <c r="C20" s="124" t="s">
        <v>220</v>
      </c>
      <c r="D20" s="82">
        <v>290</v>
      </c>
      <c r="E20" s="82"/>
      <c r="F20" s="82">
        <v>35.020000000000003</v>
      </c>
      <c r="G20" s="82"/>
      <c r="H20" s="90">
        <v>279135</v>
      </c>
      <c r="I20" s="90"/>
      <c r="J20" s="138"/>
      <c r="K20" s="218"/>
    </row>
    <row r="21" spans="1:11" x14ac:dyDescent="0.25">
      <c r="A21" s="91">
        <v>46132</v>
      </c>
      <c r="B21" s="82" t="s">
        <v>220</v>
      </c>
      <c r="C21" s="124" t="s">
        <v>300</v>
      </c>
      <c r="D21" s="82">
        <v>125</v>
      </c>
      <c r="E21" s="82"/>
      <c r="F21" s="82">
        <v>34.86</v>
      </c>
      <c r="G21" s="82"/>
      <c r="H21" s="90">
        <v>897000</v>
      </c>
      <c r="I21" s="90"/>
      <c r="J21" s="138"/>
      <c r="K21" s="218"/>
    </row>
    <row r="22" spans="1:11" x14ac:dyDescent="0.25">
      <c r="A22" s="91">
        <v>46133</v>
      </c>
      <c r="B22" s="82" t="s">
        <v>300</v>
      </c>
      <c r="C22" s="124" t="s">
        <v>10</v>
      </c>
      <c r="D22" s="82">
        <v>150</v>
      </c>
      <c r="E22" s="82"/>
      <c r="F22" s="82"/>
      <c r="G22" s="82"/>
      <c r="H22" s="83" t="s">
        <v>66</v>
      </c>
      <c r="I22" s="90"/>
      <c r="J22" s="138"/>
      <c r="K22" s="218"/>
    </row>
    <row r="23" spans="1:11" x14ac:dyDescent="0.25">
      <c r="A23" s="91">
        <v>46133</v>
      </c>
      <c r="B23" s="236" t="s">
        <v>10</v>
      </c>
      <c r="C23" s="124" t="s">
        <v>220</v>
      </c>
      <c r="D23" s="82">
        <v>290</v>
      </c>
      <c r="E23" s="82"/>
      <c r="F23" s="82">
        <v>35.119999999999997</v>
      </c>
      <c r="G23" s="82"/>
      <c r="H23" s="90">
        <v>279240</v>
      </c>
      <c r="I23" s="90"/>
      <c r="J23" s="138"/>
      <c r="K23" s="218"/>
    </row>
    <row r="24" spans="1:11" x14ac:dyDescent="0.25">
      <c r="A24" s="91">
        <v>46134</v>
      </c>
      <c r="B24" s="236" t="s">
        <v>220</v>
      </c>
      <c r="C24" s="124" t="s">
        <v>242</v>
      </c>
      <c r="D24" s="82">
        <v>140</v>
      </c>
      <c r="E24" s="82"/>
      <c r="F24" s="82">
        <v>35.090000000000003</v>
      </c>
      <c r="G24" s="82"/>
      <c r="H24" s="288">
        <v>897387</v>
      </c>
      <c r="I24" s="90"/>
      <c r="J24" s="138"/>
      <c r="K24" s="218"/>
    </row>
    <row r="25" spans="1:11" x14ac:dyDescent="0.25">
      <c r="A25" s="91">
        <v>46135</v>
      </c>
      <c r="B25" s="236" t="s">
        <v>242</v>
      </c>
      <c r="C25" s="124" t="s">
        <v>220</v>
      </c>
      <c r="D25" s="82">
        <v>140</v>
      </c>
      <c r="E25" s="82"/>
      <c r="F25" s="82"/>
      <c r="G25" s="82"/>
      <c r="H25" s="128" t="s">
        <v>66</v>
      </c>
      <c r="I25" s="90"/>
      <c r="J25" s="138"/>
      <c r="K25" s="218"/>
    </row>
    <row r="26" spans="1:11" x14ac:dyDescent="0.25">
      <c r="A26" s="91">
        <v>46136</v>
      </c>
      <c r="B26" s="236" t="s">
        <v>220</v>
      </c>
      <c r="C26" s="124" t="s">
        <v>10</v>
      </c>
      <c r="D26" s="82">
        <v>290</v>
      </c>
      <c r="E26" s="82"/>
      <c r="F26" s="82">
        <v>35.14</v>
      </c>
      <c r="G26" s="82"/>
      <c r="H26" s="288">
        <v>897775</v>
      </c>
      <c r="I26" s="90"/>
      <c r="J26" s="138"/>
      <c r="K26" s="218"/>
    </row>
    <row r="27" spans="1:11" x14ac:dyDescent="0.25">
      <c r="A27" s="91">
        <v>46136</v>
      </c>
      <c r="B27" s="236" t="s">
        <v>10</v>
      </c>
      <c r="C27" s="124" t="s">
        <v>220</v>
      </c>
      <c r="D27" s="82">
        <v>290</v>
      </c>
      <c r="E27" s="82"/>
      <c r="F27" s="82">
        <v>35</v>
      </c>
      <c r="G27" s="82"/>
      <c r="H27" s="288">
        <v>279386</v>
      </c>
      <c r="I27" s="90"/>
      <c r="J27" s="138"/>
      <c r="K27" s="218"/>
    </row>
    <row r="28" spans="1:11" x14ac:dyDescent="0.25">
      <c r="A28" s="91">
        <v>46139</v>
      </c>
      <c r="B28" s="82" t="s">
        <v>220</v>
      </c>
      <c r="C28" s="124" t="s">
        <v>9</v>
      </c>
      <c r="D28" s="82">
        <v>300</v>
      </c>
      <c r="E28" s="82"/>
      <c r="F28" s="82"/>
      <c r="G28" s="82"/>
      <c r="H28" s="128" t="s">
        <v>66</v>
      </c>
      <c r="I28" s="90"/>
      <c r="J28" s="138"/>
      <c r="K28" s="218"/>
    </row>
    <row r="29" spans="1:11" x14ac:dyDescent="0.25">
      <c r="A29" s="91">
        <v>46139</v>
      </c>
      <c r="B29" s="236" t="s">
        <v>9</v>
      </c>
      <c r="C29" s="124" t="s">
        <v>298</v>
      </c>
      <c r="D29" s="82">
        <v>420</v>
      </c>
      <c r="E29" s="82"/>
      <c r="F29" s="82">
        <v>34.46</v>
      </c>
      <c r="G29" s="82"/>
      <c r="H29" s="288">
        <v>768390</v>
      </c>
      <c r="I29" s="90"/>
      <c r="J29" s="138"/>
      <c r="K29" s="218"/>
    </row>
    <row r="30" spans="1:11" x14ac:dyDescent="0.25">
      <c r="A30" s="91">
        <v>46141</v>
      </c>
      <c r="B30" s="236" t="s">
        <v>298</v>
      </c>
      <c r="C30" s="124" t="s">
        <v>9</v>
      </c>
      <c r="D30" s="82">
        <v>420</v>
      </c>
      <c r="E30" s="82"/>
      <c r="F30" s="82"/>
      <c r="G30" s="82"/>
      <c r="H30" s="128" t="s">
        <v>66</v>
      </c>
      <c r="I30" s="90"/>
      <c r="J30" s="138"/>
      <c r="K30" s="218"/>
    </row>
    <row r="31" spans="1:11" x14ac:dyDescent="0.25">
      <c r="A31" s="91">
        <v>46141</v>
      </c>
      <c r="B31" s="236" t="s">
        <v>9</v>
      </c>
      <c r="C31" s="124" t="s">
        <v>298</v>
      </c>
      <c r="D31" s="82">
        <v>420</v>
      </c>
      <c r="E31" s="82"/>
      <c r="F31" s="82">
        <v>34.54</v>
      </c>
      <c r="G31" s="82"/>
      <c r="H31" s="288">
        <v>768897</v>
      </c>
      <c r="I31" s="90"/>
      <c r="J31" s="138"/>
      <c r="K31" s="218"/>
    </row>
    <row r="32" spans="1:11" x14ac:dyDescent="0.25">
      <c r="A32" s="91"/>
      <c r="B32" s="236"/>
      <c r="C32" s="124"/>
      <c r="D32" s="151" t="s">
        <v>478</v>
      </c>
      <c r="E32" s="82"/>
      <c r="F32" s="82"/>
      <c r="G32" s="82"/>
      <c r="H32" s="288"/>
      <c r="I32" s="90"/>
      <c r="J32" s="138"/>
      <c r="K32" s="218"/>
    </row>
    <row r="33" spans="1:11" x14ac:dyDescent="0.25">
      <c r="A33" s="5"/>
      <c r="B33" s="6"/>
      <c r="C33" s="6"/>
      <c r="D33" s="6"/>
      <c r="E33" s="6"/>
      <c r="F33" s="6"/>
      <c r="G33" s="6"/>
      <c r="H33" s="7"/>
      <c r="I33" s="7"/>
      <c r="J33" s="140"/>
      <c r="K33" s="218"/>
    </row>
    <row r="34" spans="1:11" x14ac:dyDescent="0.25">
      <c r="D34" s="17">
        <f>SUM(D3:D33)</f>
        <v>6885</v>
      </c>
      <c r="E34" s="13"/>
      <c r="F34" s="13">
        <f>AVERAGE(F3:F32)</f>
        <v>34.912777777777777</v>
      </c>
      <c r="G34" s="13"/>
      <c r="J34" s="139">
        <f>SUM(J3:J33)</f>
        <v>0</v>
      </c>
      <c r="K34" s="219">
        <f>SUM(K3:K33)</f>
        <v>2414513.7599999998</v>
      </c>
    </row>
    <row r="36" spans="1:11" x14ac:dyDescent="0.25">
      <c r="B36">
        <v>-20000</v>
      </c>
      <c r="C36" s="11"/>
      <c r="D36" s="11">
        <v>45566</v>
      </c>
      <c r="E36" s="11"/>
      <c r="F36" s="11"/>
      <c r="G36" s="11"/>
      <c r="K36" s="4"/>
    </row>
    <row r="37" spans="1:11" x14ac:dyDescent="0.25">
      <c r="B37" s="11"/>
      <c r="C37" s="11"/>
      <c r="D37" s="11"/>
      <c r="H37" s="4"/>
    </row>
    <row r="38" spans="1:11" x14ac:dyDescent="0.25">
      <c r="B38" s="11"/>
      <c r="C38" s="11"/>
      <c r="D38" s="11"/>
      <c r="H38" s="4"/>
    </row>
    <row r="39" spans="1:11" x14ac:dyDescent="0.25">
      <c r="B39" s="135">
        <f>SUM(B36:B36)</f>
        <v>-20000</v>
      </c>
      <c r="C39" s="11">
        <v>45566</v>
      </c>
      <c r="D39" s="11"/>
      <c r="E39" s="4"/>
      <c r="K39" s="4"/>
    </row>
    <row r="40" spans="1:11" x14ac:dyDescent="0.25">
      <c r="B40" s="11"/>
      <c r="D40" s="11"/>
      <c r="F40" s="11"/>
      <c r="G40" s="11"/>
      <c r="I40" s="173"/>
      <c r="K40" s="4"/>
    </row>
    <row r="41" spans="1:11" x14ac:dyDescent="0.25">
      <c r="B41" s="11"/>
      <c r="E41" s="11"/>
      <c r="F41" s="11"/>
      <c r="G41" s="11"/>
      <c r="K41" s="4"/>
    </row>
    <row r="42" spans="1:11" x14ac:dyDescent="0.25">
      <c r="B42" s="11"/>
      <c r="K42" s="4"/>
    </row>
    <row r="43" spans="1:11" x14ac:dyDescent="0.25">
      <c r="B43" s="11"/>
      <c r="E43" s="11"/>
      <c r="F43" s="11"/>
      <c r="G43" s="11"/>
      <c r="K43" s="4"/>
    </row>
    <row r="44" spans="1:11" x14ac:dyDescent="0.25">
      <c r="B44" s="11"/>
      <c r="C44" s="11"/>
      <c r="I44" s="4"/>
    </row>
    <row r="45" spans="1:11" x14ac:dyDescent="0.25">
      <c r="B45" s="11"/>
      <c r="E45" s="11"/>
      <c r="F45" s="11"/>
      <c r="G45" s="11"/>
      <c r="K45" s="4"/>
    </row>
    <row r="46" spans="1:11" x14ac:dyDescent="0.25">
      <c r="B46" s="11"/>
      <c r="E46" s="11"/>
      <c r="F46" s="11"/>
      <c r="G46" s="11"/>
      <c r="K46" s="4"/>
    </row>
    <row r="47" spans="1:11" x14ac:dyDescent="0.25">
      <c r="B47" s="11"/>
      <c r="E47" s="11"/>
      <c r="F47" s="11"/>
      <c r="G47" s="11"/>
      <c r="K47" s="4"/>
    </row>
    <row r="48" spans="1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D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</sheetData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4FE4-4C34-4559-ACB8-8505896D6E0F}">
  <dimension ref="A1:K83"/>
  <sheetViews>
    <sheetView zoomScale="110" zoomScaleNormal="110" workbookViewId="0">
      <selection activeCell="A3" sqref="A3:D30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8" max="8" width="12.85546875" bestFit="1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>
        <v>46116</v>
      </c>
      <c r="B3" s="227" t="s">
        <v>9</v>
      </c>
      <c r="C3" s="124" t="s">
        <v>300</v>
      </c>
      <c r="D3" s="82">
        <v>420</v>
      </c>
      <c r="E3" s="82"/>
      <c r="F3" s="82">
        <v>33.69</v>
      </c>
      <c r="G3" s="82"/>
      <c r="H3" s="123">
        <v>618974</v>
      </c>
      <c r="I3" s="90" t="s">
        <v>257</v>
      </c>
      <c r="J3" s="138"/>
      <c r="K3" s="218"/>
    </row>
    <row r="4" spans="1:11" x14ac:dyDescent="0.25">
      <c r="A4" s="179">
        <v>46118</v>
      </c>
      <c r="B4" s="82" t="s">
        <v>300</v>
      </c>
      <c r="C4" s="124" t="s">
        <v>229</v>
      </c>
      <c r="D4" s="82">
        <v>150</v>
      </c>
      <c r="E4" s="82"/>
      <c r="F4" s="82"/>
      <c r="G4" s="82"/>
      <c r="H4" s="83" t="s">
        <v>66</v>
      </c>
      <c r="I4" s="90"/>
      <c r="J4" s="138"/>
      <c r="K4" s="218"/>
    </row>
    <row r="5" spans="1:11" x14ac:dyDescent="0.25">
      <c r="A5" s="179">
        <v>46118</v>
      </c>
      <c r="B5" s="82" t="s">
        <v>229</v>
      </c>
      <c r="C5" s="124" t="s">
        <v>10</v>
      </c>
      <c r="D5" s="82">
        <v>10</v>
      </c>
      <c r="E5" s="82"/>
      <c r="F5" s="82"/>
      <c r="G5" s="82"/>
      <c r="H5" s="90">
        <v>1063500</v>
      </c>
      <c r="I5" s="90" t="s">
        <v>360</v>
      </c>
      <c r="J5" s="138"/>
      <c r="K5" s="218"/>
    </row>
    <row r="6" spans="1:11" x14ac:dyDescent="0.25">
      <c r="A6" s="179">
        <v>46118</v>
      </c>
      <c r="B6" s="82" t="s">
        <v>10</v>
      </c>
      <c r="C6" s="124" t="s">
        <v>229</v>
      </c>
      <c r="D6" s="82">
        <v>10</v>
      </c>
      <c r="E6" s="82"/>
      <c r="F6" s="82"/>
      <c r="G6" s="82"/>
      <c r="H6" s="128" t="s">
        <v>66</v>
      </c>
      <c r="I6" s="90"/>
      <c r="J6" s="138"/>
      <c r="K6" s="218"/>
    </row>
    <row r="7" spans="1:11" x14ac:dyDescent="0.25">
      <c r="A7" s="179">
        <v>46119</v>
      </c>
      <c r="B7" s="82" t="s">
        <v>229</v>
      </c>
      <c r="C7" s="124" t="s">
        <v>10</v>
      </c>
      <c r="D7" s="82">
        <v>10</v>
      </c>
      <c r="E7" s="82"/>
      <c r="F7" s="82"/>
      <c r="G7" s="82"/>
      <c r="H7" s="123">
        <v>1063590</v>
      </c>
      <c r="I7" s="90" t="s">
        <v>360</v>
      </c>
      <c r="J7" s="138"/>
      <c r="K7" s="218"/>
    </row>
    <row r="8" spans="1:11" x14ac:dyDescent="0.25">
      <c r="A8" s="179">
        <v>46119</v>
      </c>
      <c r="B8" s="82" t="s">
        <v>10</v>
      </c>
      <c r="C8" s="124" t="s">
        <v>229</v>
      </c>
      <c r="D8" s="82">
        <v>10</v>
      </c>
      <c r="E8" s="82"/>
      <c r="F8" s="82"/>
      <c r="G8" s="82"/>
      <c r="H8" s="128" t="s">
        <v>66</v>
      </c>
      <c r="I8" s="90"/>
      <c r="J8" s="138"/>
      <c r="K8" s="218"/>
    </row>
    <row r="9" spans="1:11" x14ac:dyDescent="0.25">
      <c r="A9" s="179">
        <v>46119</v>
      </c>
      <c r="B9" s="82" t="s">
        <v>229</v>
      </c>
      <c r="C9" s="124" t="s">
        <v>9</v>
      </c>
      <c r="D9" s="82">
        <v>500</v>
      </c>
      <c r="E9" s="82"/>
      <c r="F9" s="82">
        <v>34.58</v>
      </c>
      <c r="G9" s="82"/>
      <c r="H9" s="123">
        <v>1063676</v>
      </c>
      <c r="I9" s="90" t="s">
        <v>176</v>
      </c>
      <c r="J9" s="138"/>
      <c r="K9" s="218"/>
    </row>
    <row r="10" spans="1:11" x14ac:dyDescent="0.25">
      <c r="A10" s="179">
        <v>46120</v>
      </c>
      <c r="B10" s="227" t="s">
        <v>9</v>
      </c>
      <c r="C10" s="124" t="s">
        <v>300</v>
      </c>
      <c r="D10" s="82">
        <v>420</v>
      </c>
      <c r="E10" s="82"/>
      <c r="F10" s="82">
        <v>34.75</v>
      </c>
      <c r="G10" s="82"/>
      <c r="H10" s="123">
        <v>619237</v>
      </c>
      <c r="I10" s="90" t="s">
        <v>257</v>
      </c>
      <c r="J10" s="138"/>
      <c r="K10" s="218"/>
    </row>
    <row r="11" spans="1:11" x14ac:dyDescent="0.25">
      <c r="A11" s="179">
        <v>46121</v>
      </c>
      <c r="B11" s="82" t="s">
        <v>300</v>
      </c>
      <c r="C11" s="124" t="s">
        <v>229</v>
      </c>
      <c r="D11" s="82">
        <v>150</v>
      </c>
      <c r="E11" s="82"/>
      <c r="F11" s="82"/>
      <c r="G11" s="82"/>
      <c r="H11" s="83" t="s">
        <v>66</v>
      </c>
      <c r="I11" s="90"/>
      <c r="J11" s="138"/>
      <c r="K11" s="218"/>
    </row>
    <row r="12" spans="1:11" x14ac:dyDescent="0.25">
      <c r="A12" s="179">
        <v>46121</v>
      </c>
      <c r="B12" s="82" t="s">
        <v>229</v>
      </c>
      <c r="C12" s="124" t="s">
        <v>10</v>
      </c>
      <c r="D12" s="82">
        <v>10</v>
      </c>
      <c r="E12" s="82"/>
      <c r="F12" s="82"/>
      <c r="G12" s="82"/>
      <c r="H12" s="90">
        <v>1064311</v>
      </c>
      <c r="I12" s="90" t="s">
        <v>360</v>
      </c>
      <c r="J12" s="138"/>
      <c r="K12" s="218"/>
    </row>
    <row r="13" spans="1:11" x14ac:dyDescent="0.25">
      <c r="A13" s="179">
        <v>46121</v>
      </c>
      <c r="B13" s="82" t="s">
        <v>10</v>
      </c>
      <c r="C13" s="124" t="s">
        <v>229</v>
      </c>
      <c r="D13" s="82">
        <v>10</v>
      </c>
      <c r="E13" s="82"/>
      <c r="F13" s="82"/>
      <c r="G13" s="82"/>
      <c r="H13" s="128" t="s">
        <v>66</v>
      </c>
      <c r="I13" s="90"/>
      <c r="J13" s="138"/>
      <c r="K13" s="218"/>
    </row>
    <row r="14" spans="1:11" x14ac:dyDescent="0.25">
      <c r="A14" s="179">
        <v>46122</v>
      </c>
      <c r="B14" s="82" t="s">
        <v>229</v>
      </c>
      <c r="C14" s="124" t="s">
        <v>10</v>
      </c>
      <c r="D14" s="82">
        <v>10</v>
      </c>
      <c r="E14" s="82"/>
      <c r="F14" s="82"/>
      <c r="G14" s="82"/>
      <c r="H14" s="123">
        <v>1064410</v>
      </c>
      <c r="I14" s="90" t="s">
        <v>360</v>
      </c>
      <c r="J14" s="138"/>
      <c r="K14" s="218"/>
    </row>
    <row r="15" spans="1:11" x14ac:dyDescent="0.25">
      <c r="A15" s="179">
        <v>46122</v>
      </c>
      <c r="B15" s="82" t="s">
        <v>10</v>
      </c>
      <c r="C15" s="124" t="s">
        <v>229</v>
      </c>
      <c r="D15" s="82">
        <v>10</v>
      </c>
      <c r="E15" s="82"/>
      <c r="F15" s="82"/>
      <c r="G15" s="82"/>
      <c r="H15" s="128" t="s">
        <v>66</v>
      </c>
      <c r="I15" s="90"/>
      <c r="J15" s="138"/>
      <c r="K15" s="218"/>
    </row>
    <row r="16" spans="1:11" x14ac:dyDescent="0.25">
      <c r="A16" s="179">
        <v>46122</v>
      </c>
      <c r="B16" s="82" t="s">
        <v>229</v>
      </c>
      <c r="C16" s="124" t="s">
        <v>9</v>
      </c>
      <c r="D16" s="82">
        <v>500</v>
      </c>
      <c r="E16" s="82"/>
      <c r="F16" s="82"/>
      <c r="G16" s="82"/>
      <c r="H16" s="123">
        <v>1064517</v>
      </c>
      <c r="I16" s="90" t="s">
        <v>368</v>
      </c>
      <c r="J16" s="138"/>
      <c r="K16" s="218"/>
    </row>
    <row r="17" spans="1:11" x14ac:dyDescent="0.25">
      <c r="A17" s="179">
        <v>46125</v>
      </c>
      <c r="B17" s="227" t="s">
        <v>9</v>
      </c>
      <c r="C17" s="124" t="s">
        <v>300</v>
      </c>
      <c r="D17" s="82">
        <v>420</v>
      </c>
      <c r="E17" s="82"/>
      <c r="F17" s="82">
        <v>34.97</v>
      </c>
      <c r="G17" s="82"/>
      <c r="H17" s="123">
        <v>619593</v>
      </c>
      <c r="I17" s="90" t="s">
        <v>257</v>
      </c>
      <c r="J17" s="138"/>
      <c r="K17" s="218"/>
    </row>
    <row r="18" spans="1:11" x14ac:dyDescent="0.25">
      <c r="A18" s="179">
        <v>46126</v>
      </c>
      <c r="B18" s="82" t="s">
        <v>300</v>
      </c>
      <c r="C18" s="124" t="s">
        <v>229</v>
      </c>
      <c r="D18" s="82">
        <v>150</v>
      </c>
      <c r="E18" s="82"/>
      <c r="F18" s="82"/>
      <c r="G18" s="82"/>
      <c r="H18" s="83" t="s">
        <v>66</v>
      </c>
      <c r="I18" s="90"/>
      <c r="J18" s="138"/>
      <c r="K18" s="218"/>
    </row>
    <row r="19" spans="1:11" x14ac:dyDescent="0.25">
      <c r="A19" s="179">
        <v>46126</v>
      </c>
      <c r="B19" s="82" t="s">
        <v>229</v>
      </c>
      <c r="C19" s="124" t="s">
        <v>9</v>
      </c>
      <c r="D19" s="82">
        <v>500</v>
      </c>
      <c r="E19" s="82"/>
      <c r="F19" s="82">
        <v>35.11</v>
      </c>
      <c r="G19" s="82"/>
      <c r="H19" s="123">
        <v>1065000</v>
      </c>
      <c r="I19" s="90" t="s">
        <v>368</v>
      </c>
      <c r="J19" s="138"/>
      <c r="K19" s="218"/>
    </row>
    <row r="20" spans="1:11" x14ac:dyDescent="0.25">
      <c r="A20" s="179">
        <v>46127</v>
      </c>
      <c r="B20" s="82" t="s">
        <v>9</v>
      </c>
      <c r="C20" s="124" t="s">
        <v>351</v>
      </c>
      <c r="D20" s="82">
        <v>1010</v>
      </c>
      <c r="E20" s="82"/>
      <c r="F20" s="82">
        <v>34.85</v>
      </c>
      <c r="G20" s="82"/>
      <c r="H20" s="90">
        <v>619731</v>
      </c>
      <c r="I20" s="90" t="s">
        <v>257</v>
      </c>
      <c r="J20" s="138"/>
      <c r="K20" s="218"/>
    </row>
    <row r="21" spans="1:11" x14ac:dyDescent="0.25">
      <c r="A21" s="179">
        <v>46129</v>
      </c>
      <c r="B21" s="82" t="s">
        <v>351</v>
      </c>
      <c r="C21" s="124" t="s">
        <v>227</v>
      </c>
      <c r="D21" s="82">
        <v>230</v>
      </c>
      <c r="E21" s="82"/>
      <c r="F21" s="82"/>
      <c r="G21" s="82"/>
      <c r="H21" s="83" t="s">
        <v>66</v>
      </c>
      <c r="I21" s="90"/>
      <c r="J21" s="138"/>
      <c r="K21" s="218"/>
    </row>
    <row r="22" spans="1:11" x14ac:dyDescent="0.25">
      <c r="A22" s="179">
        <v>46129</v>
      </c>
      <c r="B22" s="82" t="s">
        <v>296</v>
      </c>
      <c r="C22" s="124" t="s">
        <v>9</v>
      </c>
      <c r="D22" s="82">
        <v>820</v>
      </c>
      <c r="E22" s="82"/>
      <c r="F22" s="82">
        <v>34</v>
      </c>
      <c r="G22" s="82"/>
      <c r="H22" s="90">
        <v>189651</v>
      </c>
      <c r="I22" s="90" t="s">
        <v>304</v>
      </c>
      <c r="J22" s="138"/>
      <c r="K22" s="218"/>
    </row>
    <row r="23" spans="1:11" x14ac:dyDescent="0.25">
      <c r="A23" s="179">
        <v>46132</v>
      </c>
      <c r="B23" s="82" t="s">
        <v>9</v>
      </c>
      <c r="C23" s="124" t="s">
        <v>390</v>
      </c>
      <c r="D23" s="82">
        <v>410</v>
      </c>
      <c r="E23" s="82"/>
      <c r="F23" s="82">
        <v>34.74</v>
      </c>
      <c r="G23" s="82"/>
      <c r="H23" s="90">
        <v>294207</v>
      </c>
      <c r="I23" s="90" t="s">
        <v>344</v>
      </c>
      <c r="J23" s="138"/>
      <c r="K23" s="218"/>
    </row>
    <row r="24" spans="1:11" x14ac:dyDescent="0.25">
      <c r="A24" s="179">
        <v>46133</v>
      </c>
      <c r="B24" s="82" t="s">
        <v>352</v>
      </c>
      <c r="C24" s="124" t="s">
        <v>118</v>
      </c>
      <c r="D24" s="82">
        <v>150</v>
      </c>
      <c r="E24" s="82"/>
      <c r="F24" s="82"/>
      <c r="G24" s="82"/>
      <c r="H24" s="83" t="s">
        <v>66</v>
      </c>
      <c r="I24" s="90"/>
      <c r="J24" s="138"/>
      <c r="K24" s="218"/>
    </row>
    <row r="25" spans="1:11" x14ac:dyDescent="0.25">
      <c r="A25" s="179">
        <v>46134</v>
      </c>
      <c r="B25" s="82" t="s">
        <v>118</v>
      </c>
      <c r="C25" s="124" t="s">
        <v>146</v>
      </c>
      <c r="D25" s="82">
        <v>1430</v>
      </c>
      <c r="E25" s="82"/>
      <c r="F25" s="82"/>
      <c r="G25" s="82"/>
      <c r="H25" s="123">
        <v>122284</v>
      </c>
      <c r="I25" s="90" t="s">
        <v>147</v>
      </c>
      <c r="J25" s="138"/>
      <c r="K25" s="218"/>
    </row>
    <row r="26" spans="1:11" x14ac:dyDescent="0.25">
      <c r="A26" s="179">
        <v>46136</v>
      </c>
      <c r="B26" s="82" t="s">
        <v>146</v>
      </c>
      <c r="C26" s="82" t="s">
        <v>227</v>
      </c>
      <c r="D26" s="82">
        <v>160</v>
      </c>
      <c r="E26" s="82"/>
      <c r="F26" s="82"/>
      <c r="G26" s="82"/>
      <c r="H26" s="128" t="s">
        <v>66</v>
      </c>
      <c r="I26" s="90"/>
      <c r="J26" s="138"/>
      <c r="K26" s="218"/>
    </row>
    <row r="27" spans="1:11" x14ac:dyDescent="0.25">
      <c r="A27" s="179">
        <v>46136</v>
      </c>
      <c r="B27" s="82" t="s">
        <v>296</v>
      </c>
      <c r="C27" s="82" t="s">
        <v>9</v>
      </c>
      <c r="D27" s="82">
        <v>820</v>
      </c>
      <c r="E27" s="82"/>
      <c r="F27" s="82">
        <v>35.1</v>
      </c>
      <c r="G27" s="82"/>
      <c r="H27" s="123">
        <v>189846</v>
      </c>
      <c r="I27" s="90" t="s">
        <v>304</v>
      </c>
      <c r="J27" s="138"/>
      <c r="K27" s="218"/>
    </row>
    <row r="28" spans="1:11" x14ac:dyDescent="0.25">
      <c r="A28" s="179">
        <v>46139</v>
      </c>
      <c r="B28" s="82" t="s">
        <v>9</v>
      </c>
      <c r="C28" s="124" t="s">
        <v>300</v>
      </c>
      <c r="D28" s="82">
        <v>430</v>
      </c>
      <c r="E28" s="82"/>
      <c r="F28" s="82">
        <v>34.29</v>
      </c>
      <c r="G28" s="82"/>
      <c r="H28" s="90">
        <v>620391</v>
      </c>
      <c r="I28" s="90" t="s">
        <v>15</v>
      </c>
      <c r="J28" s="138"/>
      <c r="K28" s="218"/>
    </row>
    <row r="29" spans="1:11" x14ac:dyDescent="0.25">
      <c r="A29" s="179">
        <v>46140</v>
      </c>
      <c r="B29" s="82" t="s">
        <v>300</v>
      </c>
      <c r="C29" s="124" t="s">
        <v>118</v>
      </c>
      <c r="D29" s="82">
        <v>100</v>
      </c>
      <c r="E29" s="82"/>
      <c r="F29" s="82"/>
      <c r="G29" s="82"/>
      <c r="H29" s="128" t="s">
        <v>66</v>
      </c>
      <c r="I29" s="90"/>
      <c r="J29" s="138"/>
      <c r="K29" s="218"/>
    </row>
    <row r="30" spans="1:11" x14ac:dyDescent="0.25">
      <c r="A30" s="179">
        <v>46140</v>
      </c>
      <c r="B30" s="82" t="s">
        <v>118</v>
      </c>
      <c r="C30" s="124" t="s">
        <v>457</v>
      </c>
      <c r="D30" s="82">
        <v>380</v>
      </c>
      <c r="E30" s="82"/>
      <c r="F30" s="151" t="s">
        <v>345</v>
      </c>
      <c r="G30" s="151" t="s">
        <v>339</v>
      </c>
      <c r="H30" s="293" t="s">
        <v>496</v>
      </c>
      <c r="I30" s="275" t="s">
        <v>126</v>
      </c>
      <c r="J30" s="138"/>
      <c r="K30" s="218"/>
    </row>
    <row r="31" spans="1:11" x14ac:dyDescent="0.25">
      <c r="A31" s="179"/>
      <c r="B31" s="82"/>
      <c r="C31" s="124"/>
      <c r="D31" s="151" t="s">
        <v>500</v>
      </c>
      <c r="E31" s="82"/>
      <c r="F31" s="82"/>
      <c r="G31" s="82"/>
      <c r="H31" s="83"/>
      <c r="I31" s="90"/>
      <c r="J31" s="138"/>
      <c r="K31" s="218"/>
    </row>
    <row r="32" spans="1:11" x14ac:dyDescent="0.25">
      <c r="A32" s="5"/>
      <c r="B32" s="6"/>
      <c r="C32" s="6"/>
      <c r="D32" s="6"/>
      <c r="E32" s="6"/>
      <c r="F32" s="6"/>
      <c r="G32" s="6"/>
      <c r="H32" s="7"/>
      <c r="I32" s="7"/>
      <c r="J32" s="140"/>
      <c r="K32" s="218"/>
    </row>
    <row r="33" spans="2:11" x14ac:dyDescent="0.25">
      <c r="D33" s="17">
        <f>SUM(D3:D32)</f>
        <v>9230</v>
      </c>
      <c r="E33" s="13"/>
      <c r="F33" s="13">
        <f>AVERAGE(F3:F31)</f>
        <v>34.608000000000004</v>
      </c>
      <c r="G33" s="13"/>
      <c r="J33" s="139">
        <f>SUM(J3:J32)</f>
        <v>0</v>
      </c>
      <c r="K33" s="219">
        <f>SUM(K3:K32)</f>
        <v>0</v>
      </c>
    </row>
    <row r="35" spans="2:11" x14ac:dyDescent="0.25">
      <c r="B35">
        <v>-20000</v>
      </c>
      <c r="C35" s="11"/>
      <c r="D35" s="11"/>
      <c r="E35" s="11"/>
      <c r="F35" s="11"/>
      <c r="G35" s="11"/>
      <c r="K35" s="4"/>
    </row>
    <row r="36" spans="2:11" x14ac:dyDescent="0.25">
      <c r="B36">
        <v>5100</v>
      </c>
      <c r="C36" s="11" t="s">
        <v>12</v>
      </c>
      <c r="D36" s="11"/>
      <c r="H36" s="4"/>
    </row>
    <row r="37" spans="2:11" x14ac:dyDescent="0.25">
      <c r="B37">
        <v>-5100</v>
      </c>
      <c r="C37" s="11" t="s">
        <v>13</v>
      </c>
      <c r="D37" s="11">
        <v>45687</v>
      </c>
      <c r="H37" s="4"/>
    </row>
    <row r="38" spans="2:11" x14ac:dyDescent="0.25">
      <c r="B38">
        <v>3400</v>
      </c>
      <c r="C38" s="11" t="s">
        <v>12</v>
      </c>
      <c r="D38" s="11"/>
      <c r="H38" s="4"/>
    </row>
    <row r="39" spans="2:11" x14ac:dyDescent="0.25">
      <c r="B39">
        <v>-3500</v>
      </c>
      <c r="C39" s="11" t="s">
        <v>13</v>
      </c>
      <c r="D39" s="11">
        <v>45722</v>
      </c>
      <c r="H39" s="4"/>
    </row>
    <row r="40" spans="2:11" x14ac:dyDescent="0.25">
      <c r="B40">
        <v>1800</v>
      </c>
      <c r="C40" s="11" t="s">
        <v>12</v>
      </c>
      <c r="D40" s="11"/>
      <c r="H40" s="4"/>
    </row>
    <row r="41" spans="2:11" x14ac:dyDescent="0.25">
      <c r="B41">
        <v>-2000</v>
      </c>
      <c r="C41" s="11" t="s">
        <v>13</v>
      </c>
      <c r="D41" s="11">
        <v>45896</v>
      </c>
      <c r="H41" s="4"/>
    </row>
    <row r="42" spans="2:11" x14ac:dyDescent="0.25">
      <c r="B42">
        <v>-1000</v>
      </c>
      <c r="C42" s="11" t="s">
        <v>175</v>
      </c>
      <c r="D42" s="11">
        <v>46098</v>
      </c>
      <c r="H42" s="4"/>
    </row>
    <row r="43" spans="2:11" x14ac:dyDescent="0.25">
      <c r="B43" s="135">
        <f>SUM(B35:B42)</f>
        <v>-21300</v>
      </c>
      <c r="C43" s="11">
        <v>46098</v>
      </c>
      <c r="D43" s="11"/>
      <c r="E43" s="4"/>
      <c r="K43" s="4"/>
    </row>
    <row r="44" spans="2:11" x14ac:dyDescent="0.25">
      <c r="B44" s="11"/>
      <c r="D44" s="11"/>
      <c r="F44" s="11"/>
      <c r="G44" s="11"/>
      <c r="I44" s="173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C48" s="11"/>
      <c r="I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D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  <row r="80" spans="2:7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</sheetData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478A-6470-40E6-972B-C37BA7D07EF9}">
  <dimension ref="A1:K80"/>
  <sheetViews>
    <sheetView zoomScale="110" zoomScaleNormal="110" workbookViewId="0">
      <selection activeCell="A3" sqref="A3:D29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46112</v>
      </c>
      <c r="B3" s="82" t="s">
        <v>118</v>
      </c>
      <c r="C3" s="124" t="s">
        <v>358</v>
      </c>
      <c r="D3" s="82">
        <v>1490</v>
      </c>
      <c r="E3" s="82"/>
      <c r="F3" s="82"/>
      <c r="G3" s="82"/>
      <c r="H3" s="123">
        <v>118525</v>
      </c>
      <c r="I3" s="215" t="s">
        <v>418</v>
      </c>
      <c r="J3" s="278" t="s">
        <v>420</v>
      </c>
      <c r="K3" s="218"/>
    </row>
    <row r="4" spans="1:11" x14ac:dyDescent="0.25">
      <c r="A4" s="91">
        <v>46114</v>
      </c>
      <c r="B4" s="82" t="s">
        <v>358</v>
      </c>
      <c r="C4" s="124" t="s">
        <v>9</v>
      </c>
      <c r="D4" s="82">
        <v>970</v>
      </c>
      <c r="E4" s="82"/>
      <c r="F4" s="82"/>
      <c r="G4" s="82"/>
      <c r="H4" s="83" t="s">
        <v>66</v>
      </c>
      <c r="I4" s="90"/>
      <c r="J4" s="278"/>
      <c r="K4" s="218"/>
    </row>
    <row r="5" spans="1:11" x14ac:dyDescent="0.25">
      <c r="A5" s="91">
        <v>46116</v>
      </c>
      <c r="B5" s="227" t="s">
        <v>9</v>
      </c>
      <c r="C5" s="124" t="s">
        <v>300</v>
      </c>
      <c r="D5" s="82">
        <v>420</v>
      </c>
      <c r="E5" s="82"/>
      <c r="F5" s="82">
        <v>34.909999999999997</v>
      </c>
      <c r="G5" s="82"/>
      <c r="H5" s="123">
        <v>619002</v>
      </c>
      <c r="I5" s="90" t="s">
        <v>257</v>
      </c>
      <c r="J5" s="278"/>
      <c r="K5" s="218"/>
    </row>
    <row r="6" spans="1:11" x14ac:dyDescent="0.25">
      <c r="A6" s="91">
        <v>46118</v>
      </c>
      <c r="B6" s="82" t="s">
        <v>300</v>
      </c>
      <c r="C6" s="124" t="s">
        <v>229</v>
      </c>
      <c r="D6" s="82">
        <v>150</v>
      </c>
      <c r="E6" s="82"/>
      <c r="F6" s="82"/>
      <c r="G6" s="82"/>
      <c r="H6" s="83" t="s">
        <v>66</v>
      </c>
      <c r="I6" s="90"/>
      <c r="J6" s="278"/>
      <c r="K6" s="218"/>
    </row>
    <row r="7" spans="1:11" x14ac:dyDescent="0.25">
      <c r="A7" s="91">
        <v>46118</v>
      </c>
      <c r="B7" s="82" t="s">
        <v>229</v>
      </c>
      <c r="C7" s="124" t="s">
        <v>10</v>
      </c>
      <c r="D7" s="82">
        <v>10</v>
      </c>
      <c r="E7" s="82"/>
      <c r="F7" s="82"/>
      <c r="G7" s="82"/>
      <c r="H7" s="90">
        <v>1063486</v>
      </c>
      <c r="I7" s="90" t="s">
        <v>360</v>
      </c>
      <c r="J7" s="278"/>
      <c r="K7" s="218"/>
    </row>
    <row r="8" spans="1:11" x14ac:dyDescent="0.25">
      <c r="A8" s="91">
        <v>46118</v>
      </c>
      <c r="B8" s="82" t="s">
        <v>10</v>
      </c>
      <c r="C8" s="124" t="s">
        <v>229</v>
      </c>
      <c r="D8" s="82">
        <v>10</v>
      </c>
      <c r="E8" s="82"/>
      <c r="F8" s="82"/>
      <c r="G8" s="82"/>
      <c r="H8" s="128" t="s">
        <v>66</v>
      </c>
      <c r="I8" s="90"/>
      <c r="J8" s="278"/>
      <c r="K8" s="218"/>
    </row>
    <row r="9" spans="1:11" x14ac:dyDescent="0.25">
      <c r="A9" s="91">
        <v>46119</v>
      </c>
      <c r="B9" s="82" t="s">
        <v>229</v>
      </c>
      <c r="C9" s="124" t="s">
        <v>10</v>
      </c>
      <c r="D9" s="82">
        <v>10</v>
      </c>
      <c r="E9" s="82"/>
      <c r="F9" s="82"/>
      <c r="G9" s="82"/>
      <c r="H9" s="123">
        <v>1063591</v>
      </c>
      <c r="I9" s="90" t="s">
        <v>360</v>
      </c>
      <c r="J9" s="278"/>
      <c r="K9" s="218"/>
    </row>
    <row r="10" spans="1:11" x14ac:dyDescent="0.25">
      <c r="A10" s="91">
        <v>46119</v>
      </c>
      <c r="B10" s="82" t="s">
        <v>10</v>
      </c>
      <c r="C10" s="124" t="s">
        <v>229</v>
      </c>
      <c r="D10" s="82">
        <v>10</v>
      </c>
      <c r="E10" s="82"/>
      <c r="F10" s="82"/>
      <c r="G10" s="82"/>
      <c r="H10" s="128" t="s">
        <v>66</v>
      </c>
      <c r="I10" s="90"/>
      <c r="J10" s="278"/>
      <c r="K10" s="218"/>
    </row>
    <row r="11" spans="1:11" x14ac:dyDescent="0.25">
      <c r="A11" s="91">
        <v>46119</v>
      </c>
      <c r="B11" s="82" t="s">
        <v>229</v>
      </c>
      <c r="C11" s="124" t="s">
        <v>9</v>
      </c>
      <c r="D11" s="82">
        <v>500</v>
      </c>
      <c r="E11" s="82"/>
      <c r="F11" s="82"/>
      <c r="G11" s="82"/>
      <c r="H11" s="123">
        <v>1063661</v>
      </c>
      <c r="I11" s="90" t="s">
        <v>176</v>
      </c>
      <c r="J11" s="278"/>
      <c r="K11" s="218"/>
    </row>
    <row r="12" spans="1:11" x14ac:dyDescent="0.25">
      <c r="A12" s="91">
        <v>46121</v>
      </c>
      <c r="B12" s="227" t="s">
        <v>9</v>
      </c>
      <c r="C12" s="82" t="s">
        <v>300</v>
      </c>
      <c r="D12" s="82">
        <v>420</v>
      </c>
      <c r="E12" s="82"/>
      <c r="F12" s="82">
        <v>34.799999999999997</v>
      </c>
      <c r="G12" s="82"/>
      <c r="H12" s="123">
        <v>619298</v>
      </c>
      <c r="I12" s="90" t="s">
        <v>301</v>
      </c>
      <c r="J12" s="276" t="s">
        <v>419</v>
      </c>
      <c r="K12" s="218"/>
    </row>
    <row r="13" spans="1:11" x14ac:dyDescent="0.25">
      <c r="A13" s="91">
        <v>46122</v>
      </c>
      <c r="B13" s="227" t="s">
        <v>300</v>
      </c>
      <c r="C13" s="82" t="s">
        <v>118</v>
      </c>
      <c r="D13" s="82">
        <v>85</v>
      </c>
      <c r="E13" s="82"/>
      <c r="F13" s="82"/>
      <c r="G13" s="82"/>
      <c r="H13" s="128" t="s">
        <v>66</v>
      </c>
      <c r="I13" s="90"/>
      <c r="J13" s="276"/>
      <c r="K13" s="218"/>
    </row>
    <row r="14" spans="1:11" x14ac:dyDescent="0.25">
      <c r="A14" s="91">
        <v>46122</v>
      </c>
      <c r="B14" s="82" t="s">
        <v>118</v>
      </c>
      <c r="C14" s="82" t="s">
        <v>146</v>
      </c>
      <c r="D14" s="82">
        <v>1430</v>
      </c>
      <c r="E14" s="82"/>
      <c r="F14" s="82"/>
      <c r="G14" s="82"/>
      <c r="H14" s="123">
        <v>120308</v>
      </c>
      <c r="I14" s="90" t="s">
        <v>147</v>
      </c>
      <c r="J14" s="276"/>
      <c r="K14" s="218"/>
    </row>
    <row r="15" spans="1:11" x14ac:dyDescent="0.25">
      <c r="A15" s="91">
        <v>46125</v>
      </c>
      <c r="B15" s="82" t="s">
        <v>146</v>
      </c>
      <c r="C15" s="124" t="s">
        <v>227</v>
      </c>
      <c r="D15" s="82">
        <v>160</v>
      </c>
      <c r="E15" s="82"/>
      <c r="F15" s="82"/>
      <c r="G15" s="82"/>
      <c r="H15" s="83" t="s">
        <v>66</v>
      </c>
      <c r="I15" s="90"/>
      <c r="J15" s="276"/>
      <c r="K15" s="218"/>
    </row>
    <row r="16" spans="1:11" x14ac:dyDescent="0.25">
      <c r="A16" s="91">
        <v>46125</v>
      </c>
      <c r="B16" s="82" t="s">
        <v>296</v>
      </c>
      <c r="C16" s="124" t="s">
        <v>9</v>
      </c>
      <c r="D16" s="82">
        <v>820</v>
      </c>
      <c r="E16" s="82"/>
      <c r="F16" s="82">
        <v>35.5</v>
      </c>
      <c r="G16" s="82"/>
      <c r="H16" s="90">
        <v>189434</v>
      </c>
      <c r="I16" s="90" t="s">
        <v>304</v>
      </c>
      <c r="J16" s="276"/>
      <c r="K16" s="218"/>
    </row>
    <row r="17" spans="1:11" x14ac:dyDescent="0.25">
      <c r="A17" s="91">
        <v>46127</v>
      </c>
      <c r="B17" s="82" t="s">
        <v>9</v>
      </c>
      <c r="C17" s="124" t="s">
        <v>104</v>
      </c>
      <c r="D17" s="82">
        <v>320</v>
      </c>
      <c r="E17" s="82"/>
      <c r="F17" s="82"/>
      <c r="G17" s="82"/>
      <c r="H17" s="123">
        <v>766329</v>
      </c>
      <c r="I17" s="90"/>
      <c r="J17" s="276"/>
      <c r="K17" s="218"/>
    </row>
    <row r="18" spans="1:11" x14ac:dyDescent="0.25">
      <c r="A18" s="91">
        <v>46128</v>
      </c>
      <c r="B18" s="82" t="s">
        <v>367</v>
      </c>
      <c r="C18" s="124" t="s">
        <v>9</v>
      </c>
      <c r="D18" s="82">
        <v>320</v>
      </c>
      <c r="E18" s="82"/>
      <c r="F18" s="82"/>
      <c r="G18" s="82"/>
      <c r="H18" s="128" t="s">
        <v>66</v>
      </c>
      <c r="I18" s="90"/>
      <c r="J18" s="276"/>
      <c r="K18" s="218"/>
    </row>
    <row r="19" spans="1:11" x14ac:dyDescent="0.25">
      <c r="A19" s="91">
        <v>46128</v>
      </c>
      <c r="B19" s="82" t="s">
        <v>9</v>
      </c>
      <c r="C19" s="124" t="s">
        <v>300</v>
      </c>
      <c r="D19" s="82">
        <v>430</v>
      </c>
      <c r="E19" s="82"/>
      <c r="F19" s="82"/>
      <c r="G19" s="82"/>
      <c r="H19" s="90">
        <v>293989</v>
      </c>
      <c r="I19" s="90" t="s">
        <v>15</v>
      </c>
      <c r="J19" s="276"/>
      <c r="K19" s="218"/>
    </row>
    <row r="20" spans="1:11" x14ac:dyDescent="0.25">
      <c r="A20" s="91">
        <v>46129</v>
      </c>
      <c r="B20" s="82" t="s">
        <v>300</v>
      </c>
      <c r="C20" s="124" t="s">
        <v>118</v>
      </c>
      <c r="D20" s="82">
        <v>100</v>
      </c>
      <c r="E20" s="82"/>
      <c r="F20" s="82"/>
      <c r="G20" s="82"/>
      <c r="H20" s="83" t="s">
        <v>66</v>
      </c>
      <c r="I20" s="90"/>
      <c r="J20" s="276"/>
      <c r="K20" s="218"/>
    </row>
    <row r="21" spans="1:11" x14ac:dyDescent="0.25">
      <c r="A21" s="91">
        <v>46129</v>
      </c>
      <c r="B21" s="82" t="s">
        <v>118</v>
      </c>
      <c r="C21" s="124" t="s">
        <v>385</v>
      </c>
      <c r="D21" s="82">
        <v>1560</v>
      </c>
      <c r="E21" s="82"/>
      <c r="F21" s="82"/>
      <c r="G21" s="82"/>
      <c r="H21" s="90">
        <v>121465</v>
      </c>
      <c r="I21" s="90" t="s">
        <v>386</v>
      </c>
      <c r="J21" s="276"/>
      <c r="K21" s="218"/>
    </row>
    <row r="22" spans="1:11" x14ac:dyDescent="0.25">
      <c r="A22" s="91">
        <v>46132</v>
      </c>
      <c r="B22" s="124" t="s">
        <v>385</v>
      </c>
      <c r="C22" s="124" t="s">
        <v>227</v>
      </c>
      <c r="D22" s="82">
        <v>270</v>
      </c>
      <c r="E22" s="82"/>
      <c r="F22" s="82"/>
      <c r="G22" s="82"/>
      <c r="H22" s="83" t="s">
        <v>66</v>
      </c>
      <c r="I22" s="90"/>
      <c r="J22" s="276"/>
      <c r="K22" s="218"/>
    </row>
    <row r="23" spans="1:11" x14ac:dyDescent="0.25">
      <c r="A23" s="91">
        <v>46133</v>
      </c>
      <c r="B23" s="82" t="s">
        <v>296</v>
      </c>
      <c r="C23" s="124" t="s">
        <v>9</v>
      </c>
      <c r="D23" s="82">
        <v>820</v>
      </c>
      <c r="E23" s="82"/>
      <c r="F23" s="82">
        <v>34.5</v>
      </c>
      <c r="G23" s="82"/>
      <c r="H23" s="90">
        <v>189709</v>
      </c>
      <c r="I23" s="90" t="s">
        <v>304</v>
      </c>
      <c r="J23" s="276"/>
      <c r="K23" s="218"/>
    </row>
    <row r="24" spans="1:11" x14ac:dyDescent="0.25">
      <c r="A24" s="91">
        <v>46135</v>
      </c>
      <c r="B24" s="82" t="s">
        <v>9</v>
      </c>
      <c r="C24" s="124" t="s">
        <v>300</v>
      </c>
      <c r="D24" s="82">
        <v>430</v>
      </c>
      <c r="E24" s="82"/>
      <c r="F24" s="82"/>
      <c r="G24" s="82"/>
      <c r="H24" s="90" t="s">
        <v>252</v>
      </c>
      <c r="I24" s="90" t="s">
        <v>15</v>
      </c>
      <c r="J24" s="276"/>
      <c r="K24" s="218"/>
    </row>
    <row r="25" spans="1:11" x14ac:dyDescent="0.25">
      <c r="A25" s="91">
        <v>46136</v>
      </c>
      <c r="B25" s="82" t="s">
        <v>300</v>
      </c>
      <c r="C25" s="82" t="s">
        <v>118</v>
      </c>
      <c r="D25" s="82">
        <v>100</v>
      </c>
      <c r="E25" s="82"/>
      <c r="F25" s="82"/>
      <c r="G25" s="82"/>
      <c r="H25" s="128" t="s">
        <v>66</v>
      </c>
      <c r="I25" s="90"/>
      <c r="J25" s="276"/>
      <c r="K25" s="218"/>
    </row>
    <row r="26" spans="1:11" x14ac:dyDescent="0.25">
      <c r="A26" s="91">
        <v>46136</v>
      </c>
      <c r="B26" s="82" t="s">
        <v>118</v>
      </c>
      <c r="C26" s="82" t="s">
        <v>328</v>
      </c>
      <c r="D26" s="82">
        <v>480</v>
      </c>
      <c r="E26" s="82"/>
      <c r="F26" s="82"/>
      <c r="G26" s="151" t="s">
        <v>338</v>
      </c>
      <c r="H26" s="290" t="s">
        <v>473</v>
      </c>
      <c r="I26" s="90" t="s">
        <v>502</v>
      </c>
      <c r="J26" s="276"/>
      <c r="K26" s="218"/>
    </row>
    <row r="27" spans="1:11" x14ac:dyDescent="0.25">
      <c r="A27" s="91">
        <v>46139</v>
      </c>
      <c r="B27" s="82" t="s">
        <v>328</v>
      </c>
      <c r="C27" s="82" t="s">
        <v>300</v>
      </c>
      <c r="D27" s="82">
        <v>420</v>
      </c>
      <c r="E27" s="82"/>
      <c r="F27" s="82">
        <v>33.700000000000003</v>
      </c>
      <c r="G27" s="82"/>
      <c r="H27" s="123">
        <v>620392</v>
      </c>
      <c r="I27" s="90"/>
      <c r="J27" s="278" t="s">
        <v>420</v>
      </c>
      <c r="K27" s="218"/>
    </row>
    <row r="28" spans="1:11" x14ac:dyDescent="0.25">
      <c r="A28" s="91">
        <v>46140</v>
      </c>
      <c r="B28" s="82" t="s">
        <v>300</v>
      </c>
      <c r="C28" s="82" t="s">
        <v>118</v>
      </c>
      <c r="D28" s="82">
        <v>85</v>
      </c>
      <c r="E28" s="82"/>
      <c r="F28" s="82"/>
      <c r="G28" s="82"/>
      <c r="H28" s="128" t="s">
        <v>66</v>
      </c>
      <c r="I28" s="90"/>
      <c r="J28" s="278"/>
      <c r="K28" s="218"/>
    </row>
    <row r="29" spans="1:11" x14ac:dyDescent="0.25">
      <c r="A29" s="91">
        <v>46140</v>
      </c>
      <c r="B29" s="82" t="s">
        <v>118</v>
      </c>
      <c r="C29" s="82" t="s">
        <v>146</v>
      </c>
      <c r="D29" s="82">
        <v>1430</v>
      </c>
      <c r="E29" s="82"/>
      <c r="F29" s="82"/>
      <c r="G29" s="82"/>
      <c r="H29" s="123">
        <v>123586</v>
      </c>
      <c r="I29" s="90" t="s">
        <v>147</v>
      </c>
      <c r="J29" s="278"/>
      <c r="K29" s="218"/>
    </row>
    <row r="30" spans="1:11" x14ac:dyDescent="0.25">
      <c r="A30" s="91"/>
      <c r="B30" s="82"/>
      <c r="C30" s="82"/>
      <c r="D30" s="151" t="s">
        <v>479</v>
      </c>
      <c r="E30" s="82"/>
      <c r="F30" s="82"/>
      <c r="G30" s="82"/>
      <c r="H30" s="128"/>
      <c r="I30" s="90"/>
      <c r="J30" s="138"/>
      <c r="K30" s="218"/>
    </row>
    <row r="31" spans="1:11" x14ac:dyDescent="0.25">
      <c r="A31" s="5"/>
      <c r="B31" s="6"/>
      <c r="C31" s="6"/>
      <c r="D31" s="6"/>
      <c r="E31" s="6"/>
      <c r="F31" s="6"/>
      <c r="G31" s="6"/>
      <c r="H31" s="7"/>
      <c r="I31" s="7"/>
      <c r="J31" s="140"/>
      <c r="K31" s="218"/>
    </row>
    <row r="32" spans="1:11" x14ac:dyDescent="0.25">
      <c r="D32" s="17">
        <f>SUM(D3:D31)</f>
        <v>13250</v>
      </c>
      <c r="E32" s="13"/>
      <c r="F32" s="13">
        <f>AVERAGE(F3:F30)</f>
        <v>34.681999999999995</v>
      </c>
      <c r="G32" s="13"/>
      <c r="J32" s="139">
        <f>SUM(J3:J31)</f>
        <v>0</v>
      </c>
      <c r="K32" s="219">
        <f>SUM(K3:K31)</f>
        <v>0</v>
      </c>
    </row>
    <row r="34" spans="2:11" x14ac:dyDescent="0.25">
      <c r="B34">
        <v>-20000</v>
      </c>
      <c r="C34" s="11"/>
      <c r="D34" s="11">
        <v>45566</v>
      </c>
      <c r="E34" s="11"/>
      <c r="F34" s="11"/>
      <c r="G34" s="11"/>
      <c r="K34" s="4"/>
    </row>
    <row r="35" spans="2:11" x14ac:dyDescent="0.25">
      <c r="B35">
        <v>5100</v>
      </c>
      <c r="C35" s="11" t="s">
        <v>12</v>
      </c>
      <c r="D35" s="11">
        <v>45838</v>
      </c>
      <c r="E35" s="11"/>
      <c r="F35" s="11"/>
      <c r="G35" s="11"/>
      <c r="K35" s="4"/>
    </row>
    <row r="36" spans="2:11" x14ac:dyDescent="0.25">
      <c r="B36">
        <v>-5100</v>
      </c>
      <c r="C36" s="11" t="s">
        <v>13</v>
      </c>
      <c r="D36" s="11">
        <v>45838</v>
      </c>
      <c r="E36" s="11"/>
      <c r="F36" s="11"/>
      <c r="G36" s="11"/>
      <c r="K36" s="4"/>
    </row>
    <row r="37" spans="2:11" x14ac:dyDescent="0.25">
      <c r="B37">
        <v>-1000</v>
      </c>
      <c r="C37" s="11" t="s">
        <v>307</v>
      </c>
      <c r="D37" s="11">
        <v>45944</v>
      </c>
      <c r="H37" s="4"/>
    </row>
    <row r="38" spans="2:11" x14ac:dyDescent="0.25">
      <c r="B38">
        <v>2200</v>
      </c>
      <c r="C38" s="11" t="s">
        <v>12</v>
      </c>
      <c r="D38" s="11">
        <v>46091</v>
      </c>
      <c r="H38" s="4"/>
    </row>
    <row r="39" spans="2:11" x14ac:dyDescent="0.25">
      <c r="B39">
        <v>-2000</v>
      </c>
      <c r="C39" s="11" t="s">
        <v>13</v>
      </c>
      <c r="D39" s="11"/>
      <c r="H39" s="4"/>
    </row>
    <row r="40" spans="2:11" x14ac:dyDescent="0.25">
      <c r="B40" s="135">
        <f>SUM(B34:B39)</f>
        <v>-20800</v>
      </c>
      <c r="C40" s="11">
        <v>46091</v>
      </c>
      <c r="D40" s="11"/>
      <c r="E40" s="4"/>
      <c r="K40" s="4"/>
    </row>
    <row r="41" spans="2:11" x14ac:dyDescent="0.25">
      <c r="B41" s="11"/>
      <c r="D41" s="11"/>
      <c r="F41" s="11"/>
      <c r="G41" s="11"/>
      <c r="I41" s="173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C45" s="11"/>
      <c r="I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D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  <row r="80" spans="2:7" x14ac:dyDescent="0.25">
      <c r="B80" s="11"/>
      <c r="E80" s="11"/>
      <c r="F80" s="11"/>
      <c r="G80" s="11"/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2629-C90C-4E1A-96D2-0BF44AD4B8BB}">
  <dimension ref="A1:K74"/>
  <sheetViews>
    <sheetView topLeftCell="A13" zoomScale="110" zoomScaleNormal="110" workbookViewId="0">
      <selection activeCell="D7" sqref="D7"/>
    </sheetView>
  </sheetViews>
  <sheetFormatPr baseColWidth="10" defaultRowHeight="15" x14ac:dyDescent="0.25"/>
  <cols>
    <col min="2" max="2" width="12.7109375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179">
        <v>46112</v>
      </c>
      <c r="B3" s="82" t="s">
        <v>296</v>
      </c>
      <c r="C3" s="124" t="s">
        <v>9</v>
      </c>
      <c r="D3" s="82">
        <v>820</v>
      </c>
      <c r="E3" s="82"/>
      <c r="F3" s="227"/>
      <c r="G3" s="82"/>
      <c r="H3" s="90">
        <v>189344</v>
      </c>
      <c r="I3" s="90" t="s">
        <v>304</v>
      </c>
      <c r="J3" s="138"/>
      <c r="K3" s="218"/>
    </row>
    <row r="4" spans="1:11" x14ac:dyDescent="0.25">
      <c r="A4" s="179">
        <v>46116</v>
      </c>
      <c r="B4" s="227" t="s">
        <v>9</v>
      </c>
      <c r="C4" s="82" t="s">
        <v>300</v>
      </c>
      <c r="D4" s="82">
        <v>420</v>
      </c>
      <c r="E4" s="82"/>
      <c r="F4" s="82"/>
      <c r="G4" s="82"/>
      <c r="H4" s="123" t="s">
        <v>252</v>
      </c>
      <c r="I4" s="90" t="s">
        <v>301</v>
      </c>
      <c r="J4" s="138"/>
      <c r="K4" s="218"/>
    </row>
    <row r="5" spans="1:11" x14ac:dyDescent="0.25">
      <c r="A5" s="179">
        <v>46117</v>
      </c>
      <c r="B5" s="227" t="s">
        <v>300</v>
      </c>
      <c r="C5" s="82" t="s">
        <v>118</v>
      </c>
      <c r="D5" s="82">
        <v>85</v>
      </c>
      <c r="E5" s="82"/>
      <c r="F5" s="82"/>
      <c r="G5" s="82"/>
      <c r="H5" s="128" t="s">
        <v>66</v>
      </c>
      <c r="I5" s="90"/>
      <c r="J5" s="138"/>
      <c r="K5" s="218"/>
    </row>
    <row r="6" spans="1:11" x14ac:dyDescent="0.25">
      <c r="A6" s="179">
        <v>46117</v>
      </c>
      <c r="B6" s="82" t="s">
        <v>118</v>
      </c>
      <c r="C6" s="82" t="s">
        <v>146</v>
      </c>
      <c r="D6" s="82">
        <v>1310</v>
      </c>
      <c r="E6" s="82"/>
      <c r="F6" s="82"/>
      <c r="G6" s="82"/>
      <c r="H6" s="123">
        <v>81380</v>
      </c>
      <c r="I6" s="215" t="s">
        <v>258</v>
      </c>
      <c r="J6" s="138"/>
      <c r="K6" s="218"/>
    </row>
    <row r="7" spans="1:11" x14ac:dyDescent="0.25">
      <c r="A7" s="179">
        <v>46119</v>
      </c>
      <c r="B7" s="82" t="s">
        <v>146</v>
      </c>
      <c r="C7" s="82" t="s">
        <v>9</v>
      </c>
      <c r="D7" s="82">
        <v>940</v>
      </c>
      <c r="E7" s="82"/>
      <c r="F7" s="82"/>
      <c r="G7" s="82"/>
      <c r="H7" s="128" t="s">
        <v>66</v>
      </c>
      <c r="I7" s="90"/>
      <c r="J7" s="138"/>
      <c r="K7" s="218"/>
    </row>
    <row r="8" spans="1:11" x14ac:dyDescent="0.25">
      <c r="A8" s="179">
        <v>46121</v>
      </c>
      <c r="B8" s="227" t="s">
        <v>9</v>
      </c>
      <c r="C8" s="124" t="s">
        <v>300</v>
      </c>
      <c r="D8" s="82">
        <v>420</v>
      </c>
      <c r="E8" s="82"/>
      <c r="F8" s="82">
        <v>34.64</v>
      </c>
      <c r="G8" s="82"/>
      <c r="H8" s="123">
        <v>619309</v>
      </c>
      <c r="I8" s="90" t="s">
        <v>257</v>
      </c>
      <c r="J8" s="138"/>
      <c r="K8" s="218"/>
    </row>
    <row r="9" spans="1:11" x14ac:dyDescent="0.25">
      <c r="A9" s="179">
        <v>46122</v>
      </c>
      <c r="B9" s="82" t="s">
        <v>300</v>
      </c>
      <c r="C9" s="124" t="s">
        <v>229</v>
      </c>
      <c r="D9" s="82">
        <v>150</v>
      </c>
      <c r="E9" s="82"/>
      <c r="F9" s="82"/>
      <c r="G9" s="82"/>
      <c r="H9" s="83" t="s">
        <v>66</v>
      </c>
      <c r="I9" s="90"/>
      <c r="J9" s="138"/>
      <c r="K9" s="218"/>
    </row>
    <row r="10" spans="1:11" x14ac:dyDescent="0.25">
      <c r="A10" s="179">
        <v>46122</v>
      </c>
      <c r="B10" s="82" t="s">
        <v>229</v>
      </c>
      <c r="C10" s="124" t="s">
        <v>10</v>
      </c>
      <c r="D10" s="82">
        <v>10</v>
      </c>
      <c r="E10" s="82"/>
      <c r="F10" s="82"/>
      <c r="G10" s="82"/>
      <c r="H10" s="90">
        <v>1064532</v>
      </c>
      <c r="I10" s="90" t="s">
        <v>360</v>
      </c>
      <c r="J10" s="138"/>
      <c r="K10" s="218"/>
    </row>
    <row r="11" spans="1:11" x14ac:dyDescent="0.25">
      <c r="A11" s="179">
        <v>46122</v>
      </c>
      <c r="B11" s="82" t="s">
        <v>10</v>
      </c>
      <c r="C11" s="124" t="s">
        <v>229</v>
      </c>
      <c r="D11" s="82">
        <v>10</v>
      </c>
      <c r="E11" s="82"/>
      <c r="F11" s="82"/>
      <c r="G11" s="82"/>
      <c r="H11" s="128" t="s">
        <v>66</v>
      </c>
      <c r="I11" s="90"/>
      <c r="J11" s="138"/>
      <c r="K11" s="218"/>
    </row>
    <row r="12" spans="1:11" x14ac:dyDescent="0.25">
      <c r="A12" s="179">
        <v>46123</v>
      </c>
      <c r="B12" s="82" t="s">
        <v>229</v>
      </c>
      <c r="C12" s="124" t="s">
        <v>9</v>
      </c>
      <c r="D12" s="82">
        <v>500</v>
      </c>
      <c r="E12" s="82"/>
      <c r="F12" s="82">
        <v>34.799999999999997</v>
      </c>
      <c r="G12" s="82"/>
      <c r="H12" s="123">
        <v>1064626</v>
      </c>
      <c r="I12" s="90" t="s">
        <v>368</v>
      </c>
      <c r="J12" s="138"/>
      <c r="K12" s="218">
        <v>573111.54</v>
      </c>
    </row>
    <row r="13" spans="1:11" x14ac:dyDescent="0.25">
      <c r="A13" s="179">
        <v>46126</v>
      </c>
      <c r="B13" s="82" t="s">
        <v>9</v>
      </c>
      <c r="C13" s="124" t="s">
        <v>300</v>
      </c>
      <c r="D13" s="82">
        <v>430</v>
      </c>
      <c r="E13" s="82"/>
      <c r="F13" s="82"/>
      <c r="G13" s="82"/>
      <c r="H13" s="90">
        <v>293870</v>
      </c>
      <c r="I13" s="90" t="s">
        <v>15</v>
      </c>
      <c r="J13" s="138"/>
      <c r="K13" s="218"/>
    </row>
    <row r="14" spans="1:11" x14ac:dyDescent="0.25">
      <c r="A14" s="179">
        <v>46127</v>
      </c>
      <c r="B14" s="227" t="s">
        <v>300</v>
      </c>
      <c r="C14" s="82" t="s">
        <v>357</v>
      </c>
      <c r="D14" s="82">
        <v>10</v>
      </c>
      <c r="E14" s="82"/>
      <c r="F14" s="82"/>
      <c r="G14" s="82"/>
      <c r="H14" s="128" t="s">
        <v>66</v>
      </c>
      <c r="I14" s="90"/>
      <c r="J14" s="138"/>
      <c r="K14" s="218"/>
    </row>
    <row r="15" spans="1:11" x14ac:dyDescent="0.25">
      <c r="A15" s="179">
        <v>46127</v>
      </c>
      <c r="B15" s="82" t="s">
        <v>300</v>
      </c>
      <c r="C15" s="124" t="s">
        <v>356</v>
      </c>
      <c r="D15" s="82">
        <v>990</v>
      </c>
      <c r="E15" s="82"/>
      <c r="F15" s="82">
        <v>34.06</v>
      </c>
      <c r="G15" s="82"/>
      <c r="H15" s="90">
        <v>153223</v>
      </c>
      <c r="I15" s="90" t="s">
        <v>357</v>
      </c>
      <c r="J15" s="138"/>
      <c r="K15" s="218"/>
    </row>
    <row r="16" spans="1:11" x14ac:dyDescent="0.25">
      <c r="A16" s="179">
        <v>46128</v>
      </c>
      <c r="B16" s="82" t="s">
        <v>356</v>
      </c>
      <c r="C16" s="124" t="s">
        <v>421</v>
      </c>
      <c r="D16" s="82">
        <v>400</v>
      </c>
      <c r="E16" s="82"/>
      <c r="F16" s="82"/>
      <c r="G16" s="82"/>
      <c r="H16" s="90">
        <v>504113</v>
      </c>
      <c r="I16" s="90"/>
      <c r="J16" s="138"/>
      <c r="K16" s="218"/>
    </row>
    <row r="17" spans="1:11" x14ac:dyDescent="0.25">
      <c r="A17" s="179">
        <v>46129</v>
      </c>
      <c r="B17" s="82" t="s">
        <v>421</v>
      </c>
      <c r="C17" s="124" t="s">
        <v>347</v>
      </c>
      <c r="D17" s="82">
        <v>120</v>
      </c>
      <c r="E17" s="82"/>
      <c r="F17" s="82"/>
      <c r="G17" s="82"/>
      <c r="H17" s="128" t="s">
        <v>66</v>
      </c>
      <c r="I17" s="90"/>
      <c r="J17" s="138"/>
      <c r="K17" s="218"/>
    </row>
    <row r="18" spans="1:11" x14ac:dyDescent="0.25">
      <c r="A18" s="179">
        <v>46129</v>
      </c>
      <c r="B18" s="82" t="s">
        <v>347</v>
      </c>
      <c r="C18" s="124" t="s">
        <v>75</v>
      </c>
      <c r="D18" s="82">
        <v>340</v>
      </c>
      <c r="E18" s="82"/>
      <c r="F18" s="82">
        <v>34.78</v>
      </c>
      <c r="G18" s="82"/>
      <c r="H18" s="90" t="s">
        <v>422</v>
      </c>
      <c r="I18" s="90"/>
      <c r="J18" s="138"/>
      <c r="K18" s="218"/>
    </row>
    <row r="19" spans="1:11" x14ac:dyDescent="0.25">
      <c r="A19" s="179">
        <v>46130</v>
      </c>
      <c r="B19" s="82" t="s">
        <v>75</v>
      </c>
      <c r="C19" s="124" t="s">
        <v>10</v>
      </c>
      <c r="D19" s="82">
        <v>80</v>
      </c>
      <c r="E19" s="82"/>
      <c r="F19" s="82"/>
      <c r="G19" s="82"/>
      <c r="H19" s="128" t="s">
        <v>66</v>
      </c>
      <c r="I19" s="90"/>
      <c r="J19" s="138"/>
      <c r="K19" s="218"/>
    </row>
    <row r="20" spans="1:11" x14ac:dyDescent="0.25">
      <c r="A20" s="179">
        <v>46132</v>
      </c>
      <c r="B20" s="82" t="s">
        <v>10</v>
      </c>
      <c r="C20" s="124" t="s">
        <v>351</v>
      </c>
      <c r="D20" s="82">
        <v>1470</v>
      </c>
      <c r="E20" s="82"/>
      <c r="F20" s="82">
        <v>34.450000000000003</v>
      </c>
      <c r="G20" s="82"/>
      <c r="H20" s="123">
        <v>1065913</v>
      </c>
      <c r="I20" s="90" t="s">
        <v>368</v>
      </c>
      <c r="J20" s="138"/>
      <c r="K20" s="218"/>
    </row>
    <row r="21" spans="1:11" x14ac:dyDescent="0.25">
      <c r="A21" s="179">
        <v>46134</v>
      </c>
      <c r="B21" s="82" t="s">
        <v>351</v>
      </c>
      <c r="C21" s="124" t="s">
        <v>9</v>
      </c>
      <c r="D21" s="82">
        <v>1060</v>
      </c>
      <c r="E21" s="82"/>
      <c r="F21" s="82"/>
      <c r="G21" s="82"/>
      <c r="H21" s="123">
        <v>16429</v>
      </c>
      <c r="I21" s="90" t="s">
        <v>365</v>
      </c>
      <c r="J21" s="138"/>
      <c r="K21" s="218"/>
    </row>
    <row r="22" spans="1:11" x14ac:dyDescent="0.25">
      <c r="A22" s="179">
        <v>46136</v>
      </c>
      <c r="B22" s="82" t="s">
        <v>9</v>
      </c>
      <c r="C22" s="124" t="s">
        <v>351</v>
      </c>
      <c r="D22" s="82">
        <v>1010</v>
      </c>
      <c r="E22" s="82"/>
      <c r="F22" s="82">
        <v>35.119999999999997</v>
      </c>
      <c r="G22" s="82"/>
      <c r="H22" s="90">
        <v>620250</v>
      </c>
      <c r="I22" s="90" t="s">
        <v>257</v>
      </c>
      <c r="J22" s="138"/>
      <c r="K22" s="218"/>
    </row>
    <row r="23" spans="1:11" x14ac:dyDescent="0.25">
      <c r="A23" s="179">
        <v>46138</v>
      </c>
      <c r="B23" s="82" t="s">
        <v>351</v>
      </c>
      <c r="C23" s="124" t="s">
        <v>227</v>
      </c>
      <c r="D23" s="82">
        <v>240</v>
      </c>
      <c r="E23" s="82"/>
      <c r="F23" s="82"/>
      <c r="G23" s="82"/>
      <c r="H23" s="83" t="s">
        <v>66</v>
      </c>
      <c r="I23" s="90"/>
      <c r="J23" s="138"/>
      <c r="K23" s="218"/>
    </row>
    <row r="24" spans="1:11" x14ac:dyDescent="0.25">
      <c r="A24" s="179">
        <v>46139</v>
      </c>
      <c r="B24" s="82" t="s">
        <v>296</v>
      </c>
      <c r="C24" s="124" t="s">
        <v>9</v>
      </c>
      <c r="D24" s="82">
        <v>820</v>
      </c>
      <c r="E24" s="82"/>
      <c r="F24" s="82">
        <v>34.4</v>
      </c>
      <c r="G24" s="82"/>
      <c r="H24" s="90">
        <v>189969</v>
      </c>
      <c r="I24" s="90" t="s">
        <v>304</v>
      </c>
      <c r="J24" s="138"/>
      <c r="K24" s="218"/>
    </row>
    <row r="25" spans="1:11" x14ac:dyDescent="0.25">
      <c r="A25" s="179">
        <v>46141</v>
      </c>
      <c r="B25" s="82" t="s">
        <v>9</v>
      </c>
      <c r="C25" s="124" t="s">
        <v>351</v>
      </c>
      <c r="D25" s="82">
        <v>1010</v>
      </c>
      <c r="E25" s="82"/>
      <c r="F25" s="82"/>
      <c r="G25" s="82"/>
      <c r="H25" s="90" t="s">
        <v>252</v>
      </c>
      <c r="I25" s="90" t="s">
        <v>257</v>
      </c>
      <c r="J25" s="138"/>
      <c r="K25" s="218"/>
    </row>
    <row r="26" spans="1:11" x14ac:dyDescent="0.25">
      <c r="A26" s="179">
        <v>46142</v>
      </c>
      <c r="B26" s="82" t="s">
        <v>351</v>
      </c>
      <c r="C26" s="124" t="s">
        <v>227</v>
      </c>
      <c r="D26" s="82">
        <v>240</v>
      </c>
      <c r="E26" s="82"/>
      <c r="F26" s="82"/>
      <c r="G26" s="82"/>
      <c r="H26" s="83" t="s">
        <v>66</v>
      </c>
      <c r="I26" s="90"/>
      <c r="J26" s="138"/>
      <c r="K26" s="218"/>
    </row>
    <row r="27" spans="1:11" x14ac:dyDescent="0.25">
      <c r="A27" s="179"/>
      <c r="B27" s="82"/>
      <c r="C27" s="124"/>
      <c r="D27" s="151" t="s">
        <v>480</v>
      </c>
      <c r="E27" s="82"/>
      <c r="F27" s="82"/>
      <c r="G27" s="82"/>
      <c r="H27" s="90"/>
      <c r="I27" s="90"/>
      <c r="J27" s="138"/>
      <c r="K27" s="218"/>
    </row>
    <row r="28" spans="1:11" x14ac:dyDescent="0.25">
      <c r="A28" s="5" t="s">
        <v>54</v>
      </c>
      <c r="B28" s="6"/>
      <c r="C28" s="6"/>
      <c r="D28" s="6"/>
      <c r="E28" s="6"/>
      <c r="F28" s="6"/>
      <c r="G28" s="6"/>
      <c r="H28" s="7"/>
      <c r="I28" s="7"/>
      <c r="J28" s="140"/>
      <c r="K28" s="218"/>
    </row>
    <row r="29" spans="1:11" x14ac:dyDescent="0.25">
      <c r="D29" s="17">
        <f>SUM(D3:D28)</f>
        <v>12885</v>
      </c>
      <c r="E29" s="13"/>
      <c r="F29" s="13">
        <f>AVERAGE(F3:F27)</f>
        <v>34.607142857142861</v>
      </c>
      <c r="G29" s="13"/>
      <c r="J29" s="139">
        <f>SUM(J3:J28)</f>
        <v>0</v>
      </c>
      <c r="K29" s="219">
        <f>SUM(K3:K28)</f>
        <v>573111.54</v>
      </c>
    </row>
    <row r="31" spans="1:11" x14ac:dyDescent="0.25">
      <c r="B31">
        <v>-20000</v>
      </c>
      <c r="C31" s="11"/>
      <c r="D31" s="11"/>
      <c r="E31" s="11"/>
      <c r="F31" s="11"/>
      <c r="G31" s="11"/>
      <c r="K31" s="4"/>
    </row>
    <row r="32" spans="1:11" x14ac:dyDescent="0.25">
      <c r="B32" s="11"/>
      <c r="C32" s="11"/>
      <c r="D32" s="11"/>
      <c r="H32" s="4"/>
    </row>
    <row r="33" spans="2:11" x14ac:dyDescent="0.25">
      <c r="B33" s="11"/>
      <c r="C33" s="11"/>
      <c r="D33" s="11"/>
      <c r="H33" s="4"/>
    </row>
    <row r="34" spans="2:11" x14ac:dyDescent="0.25">
      <c r="B34" s="135">
        <f>SUM(B31:B31)</f>
        <v>-20000</v>
      </c>
      <c r="C34" s="11"/>
      <c r="D34" s="11"/>
      <c r="E34" s="4"/>
      <c r="K34" s="4"/>
    </row>
    <row r="35" spans="2:11" x14ac:dyDescent="0.25">
      <c r="B35" s="11"/>
      <c r="D35" s="11"/>
      <c r="F35" s="11"/>
      <c r="G35" s="11"/>
      <c r="I35" s="173"/>
      <c r="K35" s="4"/>
    </row>
    <row r="36" spans="2:11" x14ac:dyDescent="0.25">
      <c r="B36" s="11"/>
      <c r="E36" s="11"/>
      <c r="F36" s="11"/>
      <c r="G36" s="11"/>
      <c r="K36" s="4"/>
    </row>
    <row r="37" spans="2:11" x14ac:dyDescent="0.25">
      <c r="B37" s="11"/>
      <c r="K37" s="4"/>
    </row>
    <row r="38" spans="2:11" x14ac:dyDescent="0.25">
      <c r="B38" s="11"/>
      <c r="E38" s="11"/>
      <c r="F38" s="11"/>
      <c r="G38" s="11"/>
      <c r="K38" s="4"/>
    </row>
    <row r="39" spans="2:11" x14ac:dyDescent="0.25">
      <c r="B39" s="11"/>
      <c r="C39" s="11"/>
      <c r="I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E41" s="11"/>
      <c r="F41" s="11"/>
      <c r="G41" s="11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D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</row>
    <row r="53" spans="2:11" x14ac:dyDescent="0.25">
      <c r="B53" s="11"/>
      <c r="E53" s="11"/>
      <c r="F53" s="11"/>
      <c r="G53" s="11"/>
    </row>
    <row r="54" spans="2:11" x14ac:dyDescent="0.25">
      <c r="B54" s="11"/>
      <c r="E54" s="11"/>
      <c r="F54" s="11"/>
      <c r="G54" s="11"/>
    </row>
    <row r="55" spans="2:11" x14ac:dyDescent="0.25">
      <c r="B55" s="11"/>
      <c r="E55" s="11"/>
      <c r="F55" s="11"/>
      <c r="G55" s="11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4A34-3B99-49CF-B73D-2E115ED5F47E}">
  <dimension ref="A1:K86"/>
  <sheetViews>
    <sheetView zoomScale="110" zoomScaleNormal="110" workbookViewId="0">
      <selection activeCell="A3" sqref="A3:D29"/>
    </sheetView>
  </sheetViews>
  <sheetFormatPr baseColWidth="10" defaultRowHeight="15" x14ac:dyDescent="0.25"/>
  <cols>
    <col min="2" max="2" width="14.140625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46112</v>
      </c>
      <c r="B3" s="236" t="s">
        <v>10</v>
      </c>
      <c r="C3" s="124" t="s">
        <v>220</v>
      </c>
      <c r="D3" s="82">
        <v>300</v>
      </c>
      <c r="E3" s="82"/>
      <c r="F3" s="82"/>
      <c r="G3" s="82"/>
      <c r="H3" s="123">
        <v>278564</v>
      </c>
      <c r="I3" s="90" t="s">
        <v>176</v>
      </c>
      <c r="J3" s="138"/>
      <c r="K3" s="218"/>
    </row>
    <row r="4" spans="1:11" x14ac:dyDescent="0.25">
      <c r="A4" s="91">
        <v>46118</v>
      </c>
      <c r="B4" s="236" t="s">
        <v>220</v>
      </c>
      <c r="C4" s="124" t="s">
        <v>482</v>
      </c>
      <c r="D4" s="82">
        <v>900</v>
      </c>
      <c r="E4" s="227"/>
      <c r="F4" s="82">
        <v>33.340000000000003</v>
      </c>
      <c r="G4" s="82"/>
      <c r="H4" s="90">
        <v>694945</v>
      </c>
      <c r="I4" s="90"/>
      <c r="J4" s="138"/>
      <c r="K4" s="218"/>
    </row>
    <row r="5" spans="1:11" x14ac:dyDescent="0.25">
      <c r="A5" s="91">
        <v>46120</v>
      </c>
      <c r="B5" s="236" t="s">
        <v>482</v>
      </c>
      <c r="C5" s="124" t="s">
        <v>9</v>
      </c>
      <c r="D5" s="82">
        <v>650</v>
      </c>
      <c r="E5" s="227"/>
      <c r="F5" s="82"/>
      <c r="G5" s="82"/>
      <c r="H5" s="83" t="s">
        <v>66</v>
      </c>
      <c r="I5" s="90"/>
      <c r="J5" s="138"/>
      <c r="K5" s="218"/>
    </row>
    <row r="6" spans="1:11" x14ac:dyDescent="0.25">
      <c r="A6" s="91">
        <v>46120</v>
      </c>
      <c r="B6" s="236" t="s">
        <v>9</v>
      </c>
      <c r="C6" s="124" t="s">
        <v>298</v>
      </c>
      <c r="D6" s="82">
        <v>420</v>
      </c>
      <c r="E6" s="227"/>
      <c r="F6" s="82">
        <v>33.24</v>
      </c>
      <c r="G6" s="82"/>
      <c r="H6" s="90">
        <v>765304</v>
      </c>
      <c r="I6" s="90"/>
      <c r="J6" s="138"/>
      <c r="K6" s="218"/>
    </row>
    <row r="7" spans="1:11" x14ac:dyDescent="0.25">
      <c r="A7" s="91">
        <v>46121</v>
      </c>
      <c r="B7" s="236" t="s">
        <v>298</v>
      </c>
      <c r="C7" s="124" t="s">
        <v>220</v>
      </c>
      <c r="D7" s="82">
        <v>120</v>
      </c>
      <c r="E7" s="227"/>
      <c r="F7" s="82"/>
      <c r="G7" s="82"/>
      <c r="H7" s="83" t="s">
        <v>66</v>
      </c>
      <c r="I7" s="90"/>
      <c r="J7" s="138"/>
      <c r="K7" s="218"/>
    </row>
    <row r="8" spans="1:11" x14ac:dyDescent="0.25">
      <c r="A8" s="91">
        <v>46122</v>
      </c>
      <c r="B8" s="82" t="s">
        <v>220</v>
      </c>
      <c r="C8" s="124" t="s">
        <v>10</v>
      </c>
      <c r="D8" s="82">
        <v>300</v>
      </c>
      <c r="E8" s="82"/>
      <c r="F8" s="82"/>
      <c r="G8" s="82"/>
      <c r="H8" s="90">
        <v>859605</v>
      </c>
      <c r="I8" s="90"/>
      <c r="J8" s="138"/>
      <c r="K8" s="218"/>
    </row>
    <row r="9" spans="1:11" x14ac:dyDescent="0.25">
      <c r="A9" s="91">
        <v>46122</v>
      </c>
      <c r="B9" s="236" t="s">
        <v>10</v>
      </c>
      <c r="C9" s="124" t="s">
        <v>220</v>
      </c>
      <c r="D9" s="82">
        <v>300</v>
      </c>
      <c r="E9" s="82"/>
      <c r="F9" s="82"/>
      <c r="G9" s="82"/>
      <c r="H9" s="123">
        <v>278861</v>
      </c>
      <c r="I9" s="90" t="s">
        <v>176</v>
      </c>
      <c r="J9" s="138"/>
      <c r="K9" s="218"/>
    </row>
    <row r="10" spans="1:11" x14ac:dyDescent="0.25">
      <c r="A10" s="91">
        <v>46125</v>
      </c>
      <c r="B10" s="236" t="s">
        <v>220</v>
      </c>
      <c r="C10" s="124" t="s">
        <v>290</v>
      </c>
      <c r="D10" s="82">
        <v>140</v>
      </c>
      <c r="E10" s="82"/>
      <c r="F10" s="82">
        <v>33.619999999999997</v>
      </c>
      <c r="G10" s="82"/>
      <c r="H10" s="123">
        <v>895962</v>
      </c>
      <c r="I10" s="90"/>
      <c r="J10" s="138"/>
      <c r="K10" s="218"/>
    </row>
    <row r="11" spans="1:11" x14ac:dyDescent="0.25">
      <c r="A11" s="91">
        <v>46126</v>
      </c>
      <c r="B11" s="236" t="s">
        <v>290</v>
      </c>
      <c r="C11" s="124" t="s">
        <v>220</v>
      </c>
      <c r="D11" s="82">
        <v>140</v>
      </c>
      <c r="E11" s="82"/>
      <c r="F11" s="82"/>
      <c r="G11" s="82"/>
      <c r="H11" s="128" t="s">
        <v>66</v>
      </c>
      <c r="I11" s="90"/>
      <c r="J11" s="138"/>
      <c r="K11" s="218"/>
    </row>
    <row r="12" spans="1:11" x14ac:dyDescent="0.25">
      <c r="A12" s="91">
        <v>46127</v>
      </c>
      <c r="B12" s="82" t="s">
        <v>220</v>
      </c>
      <c r="C12" s="124" t="s">
        <v>10</v>
      </c>
      <c r="D12" s="82">
        <v>300</v>
      </c>
      <c r="E12" s="82"/>
      <c r="F12" s="82"/>
      <c r="G12" s="82"/>
      <c r="H12" s="90">
        <v>896302</v>
      </c>
      <c r="I12" s="90"/>
      <c r="J12" s="138"/>
      <c r="K12" s="218"/>
    </row>
    <row r="13" spans="1:11" x14ac:dyDescent="0.25">
      <c r="A13" s="91">
        <v>46127</v>
      </c>
      <c r="B13" s="236" t="s">
        <v>10</v>
      </c>
      <c r="C13" s="124" t="s">
        <v>220</v>
      </c>
      <c r="D13" s="82">
        <v>300</v>
      </c>
      <c r="E13" s="82"/>
      <c r="F13" s="82"/>
      <c r="G13" s="82"/>
      <c r="H13" s="123">
        <v>279019</v>
      </c>
      <c r="I13" s="90" t="s">
        <v>176</v>
      </c>
      <c r="J13" s="138"/>
      <c r="K13" s="218"/>
    </row>
    <row r="14" spans="1:11" x14ac:dyDescent="0.25">
      <c r="A14" s="91">
        <v>46128</v>
      </c>
      <c r="B14" s="236" t="s">
        <v>220</v>
      </c>
      <c r="C14" s="124" t="s">
        <v>9</v>
      </c>
      <c r="D14" s="82">
        <v>300</v>
      </c>
      <c r="E14" s="227"/>
      <c r="F14" s="82"/>
      <c r="G14" s="82"/>
      <c r="H14" s="83" t="s">
        <v>66</v>
      </c>
      <c r="I14" s="90"/>
      <c r="J14" s="138"/>
      <c r="K14" s="218"/>
    </row>
    <row r="15" spans="1:11" x14ac:dyDescent="0.25">
      <c r="A15" s="91">
        <v>46129</v>
      </c>
      <c r="B15" s="236" t="s">
        <v>9</v>
      </c>
      <c r="C15" s="124" t="s">
        <v>355</v>
      </c>
      <c r="D15" s="82">
        <v>400</v>
      </c>
      <c r="E15" s="227"/>
      <c r="F15" s="82">
        <v>29.36</v>
      </c>
      <c r="G15" s="82"/>
      <c r="H15" s="90">
        <v>766649</v>
      </c>
      <c r="I15" s="90"/>
      <c r="J15" s="138"/>
      <c r="K15" s="218"/>
    </row>
    <row r="16" spans="1:11" x14ac:dyDescent="0.25">
      <c r="A16" s="91">
        <v>46129</v>
      </c>
      <c r="B16" s="236" t="s">
        <v>355</v>
      </c>
      <c r="C16" s="124" t="s">
        <v>220</v>
      </c>
      <c r="D16" s="82">
        <v>130</v>
      </c>
      <c r="E16" s="227"/>
      <c r="F16" s="82"/>
      <c r="G16" s="82"/>
      <c r="H16" s="83" t="s">
        <v>66</v>
      </c>
      <c r="I16" s="90"/>
      <c r="J16" s="138"/>
      <c r="K16" s="218"/>
    </row>
    <row r="17" spans="1:11" x14ac:dyDescent="0.25">
      <c r="A17" s="91">
        <v>46129</v>
      </c>
      <c r="B17" s="82" t="s">
        <v>220</v>
      </c>
      <c r="C17" s="124" t="s">
        <v>10</v>
      </c>
      <c r="D17" s="82">
        <v>300</v>
      </c>
      <c r="E17" s="227"/>
      <c r="F17" s="82"/>
      <c r="G17" s="82"/>
      <c r="H17" s="90">
        <v>896755</v>
      </c>
      <c r="I17" s="90"/>
      <c r="J17" s="138"/>
      <c r="K17" s="218"/>
    </row>
    <row r="18" spans="1:11" x14ac:dyDescent="0.25">
      <c r="A18" s="91">
        <v>46132</v>
      </c>
      <c r="B18" s="236" t="s">
        <v>10</v>
      </c>
      <c r="C18" s="124" t="s">
        <v>242</v>
      </c>
      <c r="D18" s="82">
        <v>185</v>
      </c>
      <c r="E18" s="227"/>
      <c r="F18" s="82">
        <v>34.06</v>
      </c>
      <c r="G18" s="82"/>
      <c r="H18" s="90">
        <v>279193</v>
      </c>
      <c r="I18" s="90"/>
      <c r="J18" s="138"/>
      <c r="K18" s="218"/>
    </row>
    <row r="19" spans="1:11" x14ac:dyDescent="0.25">
      <c r="A19" s="91">
        <v>46133</v>
      </c>
      <c r="B19" s="236" t="s">
        <v>242</v>
      </c>
      <c r="C19" s="124" t="s">
        <v>220</v>
      </c>
      <c r="D19" s="82">
        <v>140</v>
      </c>
      <c r="E19" s="227"/>
      <c r="F19" s="82"/>
      <c r="G19" s="82"/>
      <c r="H19" s="83" t="s">
        <v>66</v>
      </c>
      <c r="I19" s="90"/>
      <c r="J19" s="138"/>
      <c r="K19" s="218"/>
    </row>
    <row r="20" spans="1:11" x14ac:dyDescent="0.25">
      <c r="A20" s="91">
        <v>46133</v>
      </c>
      <c r="B20" s="236" t="s">
        <v>220</v>
      </c>
      <c r="C20" s="124" t="s">
        <v>290</v>
      </c>
      <c r="D20" s="82">
        <v>140</v>
      </c>
      <c r="E20" s="82"/>
      <c r="F20" s="82">
        <v>33.79</v>
      </c>
      <c r="G20" s="82"/>
      <c r="H20" s="123">
        <v>897246</v>
      </c>
      <c r="I20" s="90"/>
      <c r="J20" s="138"/>
      <c r="K20" s="218"/>
    </row>
    <row r="21" spans="1:11" x14ac:dyDescent="0.25">
      <c r="A21" s="91">
        <v>46133</v>
      </c>
      <c r="B21" s="236" t="s">
        <v>290</v>
      </c>
      <c r="C21" s="124" t="s">
        <v>220</v>
      </c>
      <c r="D21" s="82">
        <v>140</v>
      </c>
      <c r="E21" s="82"/>
      <c r="F21" s="82"/>
      <c r="G21" s="82"/>
      <c r="H21" s="128" t="s">
        <v>66</v>
      </c>
      <c r="I21" s="90"/>
      <c r="J21" s="138"/>
      <c r="K21" s="218"/>
    </row>
    <row r="22" spans="1:11" x14ac:dyDescent="0.25">
      <c r="A22" s="91">
        <v>46135</v>
      </c>
      <c r="B22" s="236" t="s">
        <v>220</v>
      </c>
      <c r="C22" s="124" t="s">
        <v>290</v>
      </c>
      <c r="D22" s="82">
        <v>140</v>
      </c>
      <c r="E22" s="82"/>
      <c r="F22" s="82">
        <v>34.08</v>
      </c>
      <c r="G22" s="82"/>
      <c r="H22" s="123">
        <v>897610</v>
      </c>
      <c r="I22" s="90"/>
      <c r="J22" s="138"/>
      <c r="K22" s="218"/>
    </row>
    <row r="23" spans="1:11" x14ac:dyDescent="0.25">
      <c r="A23" s="91">
        <v>46135</v>
      </c>
      <c r="B23" s="236" t="s">
        <v>290</v>
      </c>
      <c r="C23" s="124" t="s">
        <v>220</v>
      </c>
      <c r="D23" s="82">
        <v>140</v>
      </c>
      <c r="E23" s="82"/>
      <c r="F23" s="82"/>
      <c r="G23" s="82"/>
      <c r="H23" s="128" t="s">
        <v>66</v>
      </c>
      <c r="I23" s="90"/>
      <c r="J23" s="138"/>
      <c r="K23" s="218"/>
    </row>
    <row r="24" spans="1:11" x14ac:dyDescent="0.25">
      <c r="A24" s="91">
        <v>46139</v>
      </c>
      <c r="B24" s="82" t="s">
        <v>220</v>
      </c>
      <c r="C24" s="124" t="s">
        <v>10</v>
      </c>
      <c r="D24" s="82">
        <v>300</v>
      </c>
      <c r="E24" s="82"/>
      <c r="F24" s="82"/>
      <c r="G24" s="82"/>
      <c r="H24" s="90">
        <v>898059</v>
      </c>
      <c r="I24" s="90"/>
      <c r="J24" s="138"/>
      <c r="K24" s="218"/>
    </row>
    <row r="25" spans="1:11" x14ac:dyDescent="0.25">
      <c r="A25" s="91">
        <v>46139</v>
      </c>
      <c r="B25" s="236" t="s">
        <v>10</v>
      </c>
      <c r="C25" s="124" t="s">
        <v>220</v>
      </c>
      <c r="D25" s="82">
        <v>300</v>
      </c>
      <c r="E25" s="82"/>
      <c r="F25" s="82"/>
      <c r="G25" s="82"/>
      <c r="H25" s="123">
        <v>279448</v>
      </c>
      <c r="I25" s="90" t="s">
        <v>176</v>
      </c>
      <c r="J25" s="138"/>
      <c r="K25" s="218"/>
    </row>
    <row r="26" spans="1:11" x14ac:dyDescent="0.25">
      <c r="A26" s="91">
        <v>46140</v>
      </c>
      <c r="B26" s="236" t="s">
        <v>220</v>
      </c>
      <c r="C26" s="124" t="s">
        <v>290</v>
      </c>
      <c r="D26" s="82">
        <v>140</v>
      </c>
      <c r="E26" s="82"/>
      <c r="F26" s="82">
        <v>33.75</v>
      </c>
      <c r="G26" s="82"/>
      <c r="H26" s="123">
        <v>898410</v>
      </c>
      <c r="I26" s="90"/>
      <c r="J26" s="138"/>
      <c r="K26" s="218"/>
    </row>
    <row r="27" spans="1:11" x14ac:dyDescent="0.25">
      <c r="A27" s="91">
        <v>46141</v>
      </c>
      <c r="B27" s="236" t="s">
        <v>290</v>
      </c>
      <c r="C27" s="124" t="s">
        <v>9</v>
      </c>
      <c r="D27" s="82">
        <v>400</v>
      </c>
      <c r="E27" s="82"/>
      <c r="F27" s="82"/>
      <c r="G27" s="82"/>
      <c r="H27" s="128" t="s">
        <v>66</v>
      </c>
      <c r="I27" s="90"/>
      <c r="J27" s="138"/>
      <c r="K27" s="218"/>
    </row>
    <row r="28" spans="1:11" x14ac:dyDescent="0.25">
      <c r="A28" s="91">
        <v>46142</v>
      </c>
      <c r="B28" s="236" t="s">
        <v>9</v>
      </c>
      <c r="C28" s="124" t="s">
        <v>242</v>
      </c>
      <c r="D28" s="82">
        <v>430</v>
      </c>
      <c r="E28" s="82"/>
      <c r="F28" s="82">
        <v>33.46</v>
      </c>
      <c r="G28" s="82"/>
      <c r="H28" s="123">
        <v>768902</v>
      </c>
      <c r="I28" s="90"/>
      <c r="J28" s="138"/>
      <c r="K28" s="218"/>
    </row>
    <row r="29" spans="1:11" x14ac:dyDescent="0.25">
      <c r="A29" s="91">
        <v>46142</v>
      </c>
      <c r="B29" s="236" t="s">
        <v>242</v>
      </c>
      <c r="C29" s="124" t="s">
        <v>220</v>
      </c>
      <c r="D29" s="82">
        <v>140</v>
      </c>
      <c r="E29" s="227"/>
      <c r="F29" s="82"/>
      <c r="G29" s="82"/>
      <c r="H29" s="83" t="s">
        <v>66</v>
      </c>
      <c r="I29" s="90"/>
      <c r="J29" s="138"/>
      <c r="K29" s="218"/>
    </row>
    <row r="30" spans="1:11" x14ac:dyDescent="0.25">
      <c r="A30" s="91"/>
      <c r="B30" s="236"/>
      <c r="C30" s="124"/>
      <c r="D30" s="151" t="s">
        <v>451</v>
      </c>
      <c r="E30" s="227"/>
      <c r="F30" s="82"/>
      <c r="G30" s="82"/>
      <c r="H30" s="83"/>
      <c r="I30" s="90"/>
      <c r="J30" s="138"/>
      <c r="K30" s="218"/>
    </row>
    <row r="31" spans="1:11" x14ac:dyDescent="0.25">
      <c r="A31" s="5"/>
      <c r="B31" s="6"/>
      <c r="C31" s="6"/>
      <c r="D31" s="6"/>
      <c r="E31" s="6"/>
      <c r="F31" s="6"/>
      <c r="G31" s="6"/>
      <c r="H31" s="7"/>
      <c r="I31" s="7"/>
      <c r="J31" s="140"/>
      <c r="K31" s="218"/>
    </row>
    <row r="32" spans="1:11" x14ac:dyDescent="0.25">
      <c r="D32" s="17">
        <f>SUM(D3:D31)</f>
        <v>7595</v>
      </c>
      <c r="E32" s="13"/>
      <c r="F32" s="13">
        <f>AVERAGE(F3:F30)</f>
        <v>33.18888888888889</v>
      </c>
      <c r="G32" s="13"/>
      <c r="J32" s="139">
        <f>SUM(J3:J31)</f>
        <v>0</v>
      </c>
      <c r="K32" s="219">
        <f>SUM(K3:K31)</f>
        <v>0</v>
      </c>
    </row>
    <row r="34" spans="2:11" x14ac:dyDescent="0.25">
      <c r="B34">
        <v>-20000</v>
      </c>
      <c r="C34" s="11"/>
      <c r="D34" s="11">
        <v>45705</v>
      </c>
      <c r="E34" s="11"/>
      <c r="F34" s="11"/>
      <c r="G34" s="11"/>
      <c r="K34" s="4"/>
    </row>
    <row r="35" spans="2:11" x14ac:dyDescent="0.25">
      <c r="B35" s="89">
        <v>-200000</v>
      </c>
      <c r="C35" s="11" t="s">
        <v>277</v>
      </c>
      <c r="D35" s="11">
        <v>45705</v>
      </c>
      <c r="H35" s="4"/>
    </row>
    <row r="36" spans="2:11" x14ac:dyDescent="0.25">
      <c r="B36" s="89">
        <v>183230</v>
      </c>
      <c r="C36" s="11" t="s">
        <v>279</v>
      </c>
      <c r="D36" s="11"/>
      <c r="H36" s="4"/>
    </row>
    <row r="37" spans="2:11" x14ac:dyDescent="0.25">
      <c r="B37" s="89">
        <v>-400000</v>
      </c>
      <c r="C37" s="11" t="s">
        <v>13</v>
      </c>
      <c r="D37" s="11">
        <v>45712</v>
      </c>
      <c r="H37" s="4"/>
    </row>
    <row r="38" spans="2:11" x14ac:dyDescent="0.25">
      <c r="B38" s="89">
        <v>434477.03</v>
      </c>
      <c r="C38" s="11" t="s">
        <v>279</v>
      </c>
      <c r="D38" s="11">
        <v>45742</v>
      </c>
      <c r="H38" s="4"/>
    </row>
    <row r="39" spans="2:11" x14ac:dyDescent="0.25">
      <c r="B39" s="89">
        <v>491381</v>
      </c>
      <c r="C39" s="11" t="s">
        <v>280</v>
      </c>
      <c r="D39" s="11"/>
      <c r="H39" s="4"/>
    </row>
    <row r="40" spans="2:11" x14ac:dyDescent="0.25">
      <c r="B40" s="89">
        <v>-900000</v>
      </c>
      <c r="C40" s="11" t="s">
        <v>13</v>
      </c>
      <c r="D40" s="11"/>
      <c r="H40" s="4"/>
    </row>
    <row r="41" spans="2:11" x14ac:dyDescent="0.25">
      <c r="B41" s="254">
        <v>410911.97</v>
      </c>
      <c r="C41" s="239" t="s">
        <v>286</v>
      </c>
      <c r="D41" s="11"/>
      <c r="H41" s="4"/>
    </row>
    <row r="42" spans="2:11" x14ac:dyDescent="0.25">
      <c r="B42" s="254">
        <v>185219.97</v>
      </c>
      <c r="C42" s="239" t="s">
        <v>287</v>
      </c>
      <c r="D42" s="11"/>
      <c r="H42" s="4"/>
    </row>
    <row r="43" spans="2:11" x14ac:dyDescent="0.25">
      <c r="B43" s="254">
        <v>616480</v>
      </c>
      <c r="C43" s="239" t="s">
        <v>280</v>
      </c>
      <c r="D43" s="11"/>
      <c r="H43" s="4"/>
    </row>
    <row r="44" spans="2:11" x14ac:dyDescent="0.25">
      <c r="B44" s="254">
        <v>-780000</v>
      </c>
      <c r="C44" s="239" t="s">
        <v>13</v>
      </c>
      <c r="D44" s="11"/>
      <c r="H44" s="4"/>
    </row>
    <row r="45" spans="2:11" x14ac:dyDescent="0.25">
      <c r="B45" s="89">
        <v>1000</v>
      </c>
      <c r="C45" s="11" t="s">
        <v>311</v>
      </c>
      <c r="D45" s="11">
        <v>45974</v>
      </c>
      <c r="H45" s="4"/>
    </row>
    <row r="46" spans="2:11" x14ac:dyDescent="0.25">
      <c r="B46" s="135">
        <f>SUM(B34:B45)</f>
        <v>22699.969999999972</v>
      </c>
      <c r="C46" s="11">
        <v>45974</v>
      </c>
      <c r="D46" s="11"/>
      <c r="E46" s="4"/>
      <c r="K46" s="4"/>
    </row>
    <row r="47" spans="2:11" x14ac:dyDescent="0.25">
      <c r="B47" s="11"/>
      <c r="D47" s="11"/>
      <c r="F47" s="11"/>
      <c r="G47" s="11"/>
      <c r="I47" s="173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C51" s="11"/>
      <c r="I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  <c r="K59" s="4"/>
    </row>
    <row r="60" spans="2:11" x14ac:dyDescent="0.25">
      <c r="B60" s="11"/>
      <c r="E60" s="11"/>
      <c r="F60" s="11"/>
      <c r="G60" s="11"/>
      <c r="K60" s="4"/>
    </row>
    <row r="61" spans="2:11" x14ac:dyDescent="0.25">
      <c r="B61" s="11"/>
      <c r="E61" s="11"/>
      <c r="F61" s="11"/>
      <c r="G61" s="11"/>
      <c r="K61" s="4"/>
    </row>
    <row r="62" spans="2:11" x14ac:dyDescent="0.25">
      <c r="B62" s="11"/>
      <c r="E62" s="11"/>
      <c r="F62" s="11"/>
      <c r="G62" s="11"/>
      <c r="K62" s="4"/>
    </row>
    <row r="63" spans="2:11" x14ac:dyDescent="0.25">
      <c r="B63" s="11"/>
      <c r="D63" s="11"/>
      <c r="E63" s="11"/>
      <c r="F63" s="11"/>
      <c r="G63" s="11"/>
      <c r="K63" s="4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  <row r="80" spans="2:7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  <row r="82" spans="2:7" x14ac:dyDescent="0.25">
      <c r="B82" s="11"/>
      <c r="E82" s="11"/>
      <c r="F82" s="11"/>
      <c r="G82" s="11"/>
    </row>
    <row r="83" spans="2:7" x14ac:dyDescent="0.25">
      <c r="B83" s="11"/>
      <c r="E83" s="11"/>
      <c r="F83" s="11"/>
      <c r="G83" s="11"/>
    </row>
    <row r="84" spans="2:7" x14ac:dyDescent="0.25">
      <c r="B84" s="11"/>
      <c r="E84" s="11"/>
      <c r="F84" s="11"/>
      <c r="G84" s="11"/>
    </row>
    <row r="85" spans="2:7" x14ac:dyDescent="0.25">
      <c r="B85" s="11"/>
      <c r="E85" s="11"/>
      <c r="F85" s="11"/>
      <c r="G85" s="11"/>
    </row>
    <row r="86" spans="2:7" x14ac:dyDescent="0.25">
      <c r="B86" s="11"/>
      <c r="E86" s="11"/>
      <c r="F86" s="11"/>
      <c r="G86" s="11"/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CDAE-291C-4769-A488-900E88E83E31}">
  <dimension ref="A1:K75"/>
  <sheetViews>
    <sheetView zoomScale="110" zoomScaleNormal="110" workbookViewId="0">
      <selection activeCell="K12" sqref="K12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46118</v>
      </c>
      <c r="B3" s="82" t="s">
        <v>9</v>
      </c>
      <c r="C3" s="124" t="s">
        <v>104</v>
      </c>
      <c r="D3" s="82">
        <v>320</v>
      </c>
      <c r="E3" s="82"/>
      <c r="F3" s="82"/>
      <c r="G3" s="82"/>
      <c r="H3" s="123">
        <v>764998</v>
      </c>
      <c r="I3" s="90"/>
      <c r="J3" s="138"/>
      <c r="K3" s="218">
        <v>857189.3</v>
      </c>
    </row>
    <row r="4" spans="1:11" x14ac:dyDescent="0.25">
      <c r="A4" s="91">
        <v>46119</v>
      </c>
      <c r="B4" s="82" t="s">
        <v>367</v>
      </c>
      <c r="C4" s="124" t="s">
        <v>9</v>
      </c>
      <c r="D4" s="82">
        <v>320</v>
      </c>
      <c r="E4" s="82"/>
      <c r="F4" s="82"/>
      <c r="G4" s="82"/>
      <c r="H4" s="123" t="s">
        <v>102</v>
      </c>
      <c r="I4" s="90" t="s">
        <v>306</v>
      </c>
      <c r="J4" s="138"/>
      <c r="K4" s="218"/>
    </row>
    <row r="5" spans="1:11" x14ac:dyDescent="0.25">
      <c r="A5" s="91">
        <v>46120</v>
      </c>
      <c r="B5" s="227" t="s">
        <v>9</v>
      </c>
      <c r="C5" s="124" t="s">
        <v>300</v>
      </c>
      <c r="D5" s="82">
        <v>420</v>
      </c>
      <c r="E5" s="82"/>
      <c r="F5" s="82">
        <v>35.54</v>
      </c>
      <c r="G5" s="82"/>
      <c r="H5" s="123">
        <v>619229</v>
      </c>
      <c r="I5" s="90" t="s">
        <v>257</v>
      </c>
      <c r="J5" s="138"/>
      <c r="K5" s="218"/>
    </row>
    <row r="6" spans="1:11" x14ac:dyDescent="0.25">
      <c r="A6" s="91">
        <v>46121</v>
      </c>
      <c r="B6" s="82" t="s">
        <v>300</v>
      </c>
      <c r="C6" s="124" t="s">
        <v>229</v>
      </c>
      <c r="D6" s="82">
        <v>150</v>
      </c>
      <c r="E6" s="82"/>
      <c r="F6" s="82"/>
      <c r="G6" s="82"/>
      <c r="H6" s="83" t="s">
        <v>66</v>
      </c>
      <c r="I6" s="90"/>
      <c r="J6" s="138"/>
      <c r="K6" s="218"/>
    </row>
    <row r="7" spans="1:11" x14ac:dyDescent="0.25">
      <c r="A7" s="91">
        <v>46121</v>
      </c>
      <c r="B7" s="82" t="s">
        <v>229</v>
      </c>
      <c r="C7" s="124" t="s">
        <v>10</v>
      </c>
      <c r="D7" s="82">
        <v>10</v>
      </c>
      <c r="E7" s="82"/>
      <c r="F7" s="82"/>
      <c r="G7" s="82"/>
      <c r="H7" s="90">
        <v>1064287</v>
      </c>
      <c r="I7" s="90" t="s">
        <v>360</v>
      </c>
      <c r="J7" s="138"/>
      <c r="K7" s="218"/>
    </row>
    <row r="8" spans="1:11" x14ac:dyDescent="0.25">
      <c r="A8" s="91">
        <v>46122</v>
      </c>
      <c r="B8" s="82" t="s">
        <v>10</v>
      </c>
      <c r="C8" s="124" t="s">
        <v>229</v>
      </c>
      <c r="D8" s="82">
        <v>10</v>
      </c>
      <c r="E8" s="82"/>
      <c r="F8" s="82"/>
      <c r="G8" s="82"/>
      <c r="H8" s="128" t="s">
        <v>66</v>
      </c>
      <c r="I8" s="90"/>
      <c r="J8" s="138"/>
      <c r="K8" s="218"/>
    </row>
    <row r="9" spans="1:11" x14ac:dyDescent="0.25">
      <c r="A9" s="91">
        <v>46122</v>
      </c>
      <c r="B9" s="82" t="s">
        <v>229</v>
      </c>
      <c r="C9" s="124" t="s">
        <v>10</v>
      </c>
      <c r="D9" s="82">
        <v>10</v>
      </c>
      <c r="E9" s="82"/>
      <c r="F9" s="82"/>
      <c r="G9" s="82"/>
      <c r="H9" s="123">
        <v>1064352</v>
      </c>
      <c r="I9" s="90" t="s">
        <v>360</v>
      </c>
      <c r="J9" s="138"/>
      <c r="K9" s="218"/>
    </row>
    <row r="10" spans="1:11" x14ac:dyDescent="0.25">
      <c r="A10" s="91">
        <v>46122</v>
      </c>
      <c r="B10" s="82" t="s">
        <v>10</v>
      </c>
      <c r="C10" s="124" t="s">
        <v>229</v>
      </c>
      <c r="D10" s="82">
        <v>10</v>
      </c>
      <c r="E10" s="82"/>
      <c r="F10" s="82"/>
      <c r="G10" s="82"/>
      <c r="H10" s="128" t="s">
        <v>66</v>
      </c>
      <c r="I10" s="90"/>
      <c r="J10" s="138"/>
      <c r="K10" s="218"/>
    </row>
    <row r="11" spans="1:11" x14ac:dyDescent="0.25">
      <c r="A11" s="91">
        <v>46122</v>
      </c>
      <c r="B11" s="82" t="s">
        <v>229</v>
      </c>
      <c r="C11" s="124" t="s">
        <v>9</v>
      </c>
      <c r="D11" s="82">
        <v>500</v>
      </c>
      <c r="E11" s="82"/>
      <c r="F11" s="82">
        <v>35.69</v>
      </c>
      <c r="G11" s="82"/>
      <c r="H11" s="123">
        <v>1064433</v>
      </c>
      <c r="I11" s="90" t="s">
        <v>176</v>
      </c>
      <c r="J11" s="138"/>
      <c r="K11" s="218">
        <v>586420.61</v>
      </c>
    </row>
    <row r="12" spans="1:11" x14ac:dyDescent="0.25">
      <c r="A12" s="91">
        <v>46125</v>
      </c>
      <c r="B12" s="82" t="s">
        <v>9</v>
      </c>
      <c r="C12" s="124" t="s">
        <v>351</v>
      </c>
      <c r="D12" s="82">
        <v>1010</v>
      </c>
      <c r="E12" s="82"/>
      <c r="F12" s="82">
        <v>35.479999999999997</v>
      </c>
      <c r="G12" s="82"/>
      <c r="H12" s="90">
        <v>619565</v>
      </c>
      <c r="I12" s="90" t="s">
        <v>257</v>
      </c>
      <c r="J12" s="138"/>
      <c r="K12" s="218">
        <v>2330181.64</v>
      </c>
    </row>
    <row r="13" spans="1:11" x14ac:dyDescent="0.25">
      <c r="A13" s="91">
        <v>46127</v>
      </c>
      <c r="B13" s="82" t="s">
        <v>351</v>
      </c>
      <c r="C13" s="124" t="s">
        <v>227</v>
      </c>
      <c r="D13" s="82">
        <v>240</v>
      </c>
      <c r="E13" s="82"/>
      <c r="F13" s="82"/>
      <c r="G13" s="82"/>
      <c r="H13" s="83" t="s">
        <v>66</v>
      </c>
      <c r="I13" s="90"/>
      <c r="J13" s="138"/>
      <c r="K13" s="218"/>
    </row>
    <row r="14" spans="1:11" x14ac:dyDescent="0.25">
      <c r="A14" s="91">
        <v>46127</v>
      </c>
      <c r="B14" s="82" t="s">
        <v>296</v>
      </c>
      <c r="C14" s="124" t="s">
        <v>9</v>
      </c>
      <c r="D14" s="82">
        <v>820</v>
      </c>
      <c r="E14" s="82"/>
      <c r="F14" s="82">
        <v>35.799999999999997</v>
      </c>
      <c r="G14" s="82"/>
      <c r="H14" s="90">
        <v>189540</v>
      </c>
      <c r="I14" s="90" t="s">
        <v>304</v>
      </c>
      <c r="J14" s="138"/>
      <c r="K14" s="218">
        <v>996974.49</v>
      </c>
    </row>
    <row r="15" spans="1:11" x14ac:dyDescent="0.25">
      <c r="A15" s="91">
        <v>46129</v>
      </c>
      <c r="B15" s="82" t="s">
        <v>9</v>
      </c>
      <c r="C15" s="124" t="s">
        <v>351</v>
      </c>
      <c r="D15" s="82">
        <v>1010</v>
      </c>
      <c r="E15" s="82"/>
      <c r="F15" s="82">
        <v>35.6</v>
      </c>
      <c r="G15" s="82"/>
      <c r="H15" s="90">
        <v>619862</v>
      </c>
      <c r="I15" s="90" t="s">
        <v>257</v>
      </c>
      <c r="J15" s="138"/>
      <c r="K15" s="218"/>
    </row>
    <row r="16" spans="1:11" x14ac:dyDescent="0.25">
      <c r="A16" s="91">
        <v>46133</v>
      </c>
      <c r="B16" s="82" t="s">
        <v>351</v>
      </c>
      <c r="C16" s="124" t="s">
        <v>227</v>
      </c>
      <c r="D16" s="82">
        <v>240</v>
      </c>
      <c r="E16" s="82"/>
      <c r="F16" s="82"/>
      <c r="G16" s="82"/>
      <c r="H16" s="83" t="s">
        <v>66</v>
      </c>
      <c r="I16" s="90"/>
      <c r="J16" s="138"/>
      <c r="K16" s="218"/>
    </row>
    <row r="17" spans="1:11" x14ac:dyDescent="0.25">
      <c r="A17" s="91">
        <v>46133</v>
      </c>
      <c r="B17" s="82" t="s">
        <v>296</v>
      </c>
      <c r="C17" s="124" t="s">
        <v>9</v>
      </c>
      <c r="D17" s="82">
        <v>820</v>
      </c>
      <c r="E17" s="82"/>
      <c r="F17" s="82">
        <v>35</v>
      </c>
      <c r="G17" s="82"/>
      <c r="H17" s="90">
        <v>189802</v>
      </c>
      <c r="I17" s="90" t="s">
        <v>304</v>
      </c>
      <c r="J17" s="138"/>
      <c r="K17" s="218"/>
    </row>
    <row r="18" spans="1:11" x14ac:dyDescent="0.25">
      <c r="A18" s="91">
        <v>46135</v>
      </c>
      <c r="B18" s="82" t="s">
        <v>9</v>
      </c>
      <c r="C18" s="124" t="s">
        <v>300</v>
      </c>
      <c r="D18" s="82">
        <v>430</v>
      </c>
      <c r="E18" s="82"/>
      <c r="F18" s="82">
        <v>35.9</v>
      </c>
      <c r="G18" s="82"/>
      <c r="H18" s="90">
        <v>294379</v>
      </c>
      <c r="I18" s="90" t="s">
        <v>15</v>
      </c>
      <c r="J18" s="138"/>
      <c r="K18" s="218"/>
    </row>
    <row r="19" spans="1:11" x14ac:dyDescent="0.25">
      <c r="A19" s="91">
        <v>46136</v>
      </c>
      <c r="B19" s="82" t="s">
        <v>300</v>
      </c>
      <c r="C19" s="124" t="s">
        <v>229</v>
      </c>
      <c r="D19" s="82">
        <v>150</v>
      </c>
      <c r="E19" s="82"/>
      <c r="F19" s="82"/>
      <c r="G19" s="82"/>
      <c r="H19" s="83" t="s">
        <v>66</v>
      </c>
      <c r="I19" s="90"/>
      <c r="J19" s="138"/>
      <c r="K19" s="218"/>
    </row>
    <row r="20" spans="1:11" x14ac:dyDescent="0.25">
      <c r="A20" s="91">
        <v>46136</v>
      </c>
      <c r="B20" s="82" t="s">
        <v>229</v>
      </c>
      <c r="C20" s="124" t="s">
        <v>9</v>
      </c>
      <c r="D20" s="82">
        <v>500</v>
      </c>
      <c r="E20" s="82"/>
      <c r="F20" s="286">
        <v>32.799999999999997</v>
      </c>
      <c r="G20" s="286" t="s">
        <v>436</v>
      </c>
      <c r="H20" s="90">
        <v>1066972</v>
      </c>
      <c r="I20" s="90" t="s">
        <v>368</v>
      </c>
      <c r="J20" s="138"/>
      <c r="K20" s="218"/>
    </row>
    <row r="21" spans="1:11" x14ac:dyDescent="0.25">
      <c r="A21" s="91">
        <v>46137</v>
      </c>
      <c r="B21" s="227" t="s">
        <v>9</v>
      </c>
      <c r="C21" s="82" t="s">
        <v>300</v>
      </c>
      <c r="D21" s="82">
        <v>420</v>
      </c>
      <c r="E21" s="82"/>
      <c r="F21" s="82"/>
      <c r="G21" s="82"/>
      <c r="H21" s="123" t="s">
        <v>252</v>
      </c>
      <c r="I21" s="90" t="s">
        <v>301</v>
      </c>
      <c r="J21" s="138"/>
      <c r="K21" s="218"/>
    </row>
    <row r="22" spans="1:11" x14ac:dyDescent="0.25">
      <c r="A22" s="91">
        <v>46140</v>
      </c>
      <c r="B22" s="227" t="s">
        <v>300</v>
      </c>
      <c r="C22" s="124" t="s">
        <v>118</v>
      </c>
      <c r="D22" s="82">
        <v>85</v>
      </c>
      <c r="E22" s="82"/>
      <c r="F22" s="82"/>
      <c r="G22" s="82"/>
      <c r="H22" s="128" t="s">
        <v>66</v>
      </c>
      <c r="I22" s="90"/>
      <c r="J22" s="138"/>
      <c r="K22" s="218"/>
    </row>
    <row r="23" spans="1:11" x14ac:dyDescent="0.25">
      <c r="A23" s="91">
        <v>46141</v>
      </c>
      <c r="B23" s="82" t="s">
        <v>118</v>
      </c>
      <c r="C23" s="124" t="s">
        <v>385</v>
      </c>
      <c r="D23" s="82">
        <v>1560</v>
      </c>
      <c r="E23" s="82"/>
      <c r="F23" s="82"/>
      <c r="G23" s="82"/>
      <c r="H23" s="90">
        <v>123728</v>
      </c>
      <c r="I23" s="90" t="s">
        <v>386</v>
      </c>
      <c r="J23" s="138"/>
      <c r="K23" s="218"/>
    </row>
    <row r="24" spans="1:11" x14ac:dyDescent="0.25">
      <c r="A24" s="91"/>
      <c r="B24" s="82"/>
      <c r="C24" s="124"/>
      <c r="D24" s="151" t="s">
        <v>481</v>
      </c>
      <c r="E24" s="82"/>
      <c r="F24" s="82"/>
      <c r="G24" s="82"/>
      <c r="H24" s="128"/>
      <c r="I24" s="90"/>
      <c r="J24" s="138"/>
      <c r="K24" s="218"/>
    </row>
    <row r="25" spans="1:11" x14ac:dyDescent="0.25">
      <c r="A25" s="5"/>
      <c r="B25" s="6"/>
      <c r="C25" s="6"/>
      <c r="D25" s="6"/>
      <c r="E25" s="6"/>
      <c r="F25" s="6"/>
      <c r="G25" s="6"/>
      <c r="H25" s="7"/>
      <c r="I25" s="7"/>
      <c r="J25" s="140"/>
      <c r="K25" s="218"/>
    </row>
    <row r="26" spans="1:11" x14ac:dyDescent="0.25">
      <c r="D26" s="17">
        <f>SUM(D3:D25)</f>
        <v>9035</v>
      </c>
      <c r="E26" s="13"/>
      <c r="F26" s="13">
        <f>AVERAGE(F3:F24)</f>
        <v>35.22625</v>
      </c>
      <c r="G26" s="13"/>
      <c r="J26" s="139">
        <f>SUM(J3:J25)</f>
        <v>0</v>
      </c>
      <c r="K26" s="219">
        <f>SUM(K3:K25)</f>
        <v>4770766.04</v>
      </c>
    </row>
    <row r="28" spans="1:11" x14ac:dyDescent="0.25">
      <c r="B28">
        <v>-20000</v>
      </c>
      <c r="C28" s="11"/>
      <c r="D28" s="11"/>
      <c r="E28" s="11"/>
      <c r="F28" s="11"/>
      <c r="G28" s="11"/>
      <c r="K28" s="4"/>
    </row>
    <row r="29" spans="1:11" x14ac:dyDescent="0.25">
      <c r="B29">
        <v>5100</v>
      </c>
      <c r="C29" s="11" t="s">
        <v>12</v>
      </c>
      <c r="D29" s="11"/>
      <c r="H29" s="4"/>
    </row>
    <row r="30" spans="1:11" x14ac:dyDescent="0.25">
      <c r="B30">
        <v>-5100</v>
      </c>
      <c r="C30" s="11" t="s">
        <v>13</v>
      </c>
      <c r="D30" s="11">
        <v>45930</v>
      </c>
      <c r="H30" s="4"/>
    </row>
    <row r="31" spans="1:11" x14ac:dyDescent="0.25">
      <c r="B31" s="89">
        <v>-1000</v>
      </c>
      <c r="C31" s="11" t="s">
        <v>312</v>
      </c>
      <c r="D31" s="11"/>
      <c r="H31" s="4"/>
    </row>
    <row r="32" spans="1:11" x14ac:dyDescent="0.25">
      <c r="B32" s="89"/>
      <c r="C32" s="11"/>
      <c r="D32" s="11"/>
      <c r="H32" s="4"/>
    </row>
    <row r="33" spans="2:11" x14ac:dyDescent="0.25">
      <c r="B33" s="89"/>
      <c r="C33" s="11"/>
      <c r="D33" s="11"/>
      <c r="H33" s="4"/>
    </row>
    <row r="34" spans="2:11" x14ac:dyDescent="0.25">
      <c r="B34" s="89"/>
      <c r="C34" s="11"/>
      <c r="D34" s="11"/>
      <c r="H34" s="4"/>
    </row>
    <row r="35" spans="2:11" x14ac:dyDescent="0.25">
      <c r="B35" s="135">
        <f>SUM(B28:B34)</f>
        <v>-21000</v>
      </c>
      <c r="C35" s="11">
        <v>45930</v>
      </c>
      <c r="D35" s="11"/>
      <c r="E35" s="4"/>
      <c r="K35" s="4"/>
    </row>
    <row r="36" spans="2:11" x14ac:dyDescent="0.25">
      <c r="B36" s="11"/>
      <c r="D36" s="11"/>
      <c r="F36" s="11"/>
      <c r="G36" s="11"/>
      <c r="I36" s="173"/>
      <c r="K36" s="4"/>
    </row>
    <row r="37" spans="2:11" x14ac:dyDescent="0.25">
      <c r="B37" s="11"/>
      <c r="E37" s="11"/>
      <c r="F37" s="11"/>
      <c r="G37" s="11"/>
      <c r="K37" s="4"/>
    </row>
    <row r="38" spans="2:11" x14ac:dyDescent="0.25">
      <c r="B38" s="11"/>
      <c r="K38" s="4"/>
    </row>
    <row r="39" spans="2:11" x14ac:dyDescent="0.25">
      <c r="B39" s="11"/>
      <c r="E39" s="11"/>
      <c r="F39" s="11"/>
      <c r="G39" s="11"/>
      <c r="K39" s="4"/>
    </row>
    <row r="40" spans="2:11" x14ac:dyDescent="0.25">
      <c r="B40" s="11"/>
      <c r="C40" s="11"/>
      <c r="I40" s="4"/>
    </row>
    <row r="41" spans="2:11" x14ac:dyDescent="0.25">
      <c r="B41" s="11"/>
      <c r="E41" s="11"/>
      <c r="F41" s="11"/>
      <c r="G41" s="11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D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</row>
    <row r="54" spans="2:11" x14ac:dyDescent="0.25">
      <c r="B54" s="11"/>
      <c r="E54" s="11"/>
      <c r="F54" s="11"/>
      <c r="G54" s="11"/>
    </row>
    <row r="55" spans="2:11" x14ac:dyDescent="0.25">
      <c r="B55" s="11"/>
      <c r="E55" s="11"/>
      <c r="F55" s="11"/>
      <c r="G55" s="11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</sheetData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4301-8BF3-4244-82A6-D9375DF83D2E}">
  <dimension ref="A1:K76"/>
  <sheetViews>
    <sheetView topLeftCell="A4" zoomScale="110" zoomScaleNormal="110" workbookViewId="0">
      <selection activeCell="H13" sqref="H13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9</v>
      </c>
      <c r="C3" s="82" t="s">
        <v>343</v>
      </c>
      <c r="D3" s="82">
        <v>340</v>
      </c>
      <c r="E3" s="82"/>
      <c r="F3" s="82">
        <v>34.159999999999997</v>
      </c>
      <c r="G3" s="82"/>
      <c r="H3" s="123">
        <v>293323</v>
      </c>
      <c r="I3" s="90"/>
      <c r="J3" s="138"/>
      <c r="K3" s="218">
        <v>614880</v>
      </c>
    </row>
    <row r="4" spans="1:11" x14ac:dyDescent="0.25">
      <c r="A4" s="91">
        <v>46118</v>
      </c>
      <c r="B4" s="82" t="s">
        <v>343</v>
      </c>
      <c r="C4" s="82" t="s">
        <v>118</v>
      </c>
      <c r="D4" s="82">
        <v>190</v>
      </c>
      <c r="E4" s="82"/>
      <c r="F4" s="82"/>
      <c r="G4" s="82"/>
      <c r="H4" s="128" t="s">
        <v>66</v>
      </c>
      <c r="I4" s="90"/>
      <c r="J4" s="138"/>
      <c r="K4" s="218"/>
    </row>
    <row r="5" spans="1:11" x14ac:dyDescent="0.25">
      <c r="A5" s="91">
        <v>46119</v>
      </c>
      <c r="B5" s="82" t="s">
        <v>118</v>
      </c>
      <c r="C5" s="82" t="s">
        <v>146</v>
      </c>
      <c r="D5" s="82">
        <v>1310</v>
      </c>
      <c r="E5" s="82"/>
      <c r="F5" s="82"/>
      <c r="G5" s="82"/>
      <c r="H5" s="123">
        <v>119616</v>
      </c>
      <c r="I5" s="215" t="s">
        <v>258</v>
      </c>
      <c r="J5" s="138"/>
      <c r="K5" s="218"/>
    </row>
    <row r="6" spans="1:11" x14ac:dyDescent="0.25">
      <c r="A6" s="91">
        <v>46121</v>
      </c>
      <c r="B6" s="82" t="s">
        <v>146</v>
      </c>
      <c r="C6" s="82" t="s">
        <v>9</v>
      </c>
      <c r="D6" s="82">
        <v>940</v>
      </c>
      <c r="E6" s="82"/>
      <c r="F6" s="82"/>
      <c r="G6" s="82"/>
      <c r="H6" s="128" t="s">
        <v>66</v>
      </c>
      <c r="I6" s="90"/>
      <c r="J6" s="138"/>
      <c r="K6" s="218"/>
    </row>
    <row r="7" spans="1:11" x14ac:dyDescent="0.25">
      <c r="A7" s="91">
        <v>46122</v>
      </c>
      <c r="B7" s="82" t="s">
        <v>9</v>
      </c>
      <c r="C7" s="124" t="s">
        <v>326</v>
      </c>
      <c r="D7" s="82">
        <v>380</v>
      </c>
      <c r="E7" s="82"/>
      <c r="F7" s="82"/>
      <c r="G7" s="82"/>
      <c r="H7" s="90">
        <v>61940</v>
      </c>
      <c r="I7" s="90" t="s">
        <v>327</v>
      </c>
      <c r="J7" s="138"/>
      <c r="K7" s="218"/>
    </row>
    <row r="8" spans="1:11" x14ac:dyDescent="0.25">
      <c r="A8" s="91">
        <v>46125</v>
      </c>
      <c r="B8" s="82" t="s">
        <v>326</v>
      </c>
      <c r="C8" s="124" t="s">
        <v>220</v>
      </c>
      <c r="D8" s="82">
        <v>120</v>
      </c>
      <c r="E8" s="82"/>
      <c r="F8" s="82"/>
      <c r="G8" s="82"/>
      <c r="H8" s="83" t="s">
        <v>66</v>
      </c>
      <c r="I8" s="90"/>
      <c r="J8" s="138"/>
      <c r="K8" s="218"/>
    </row>
    <row r="9" spans="1:11" x14ac:dyDescent="0.25">
      <c r="A9" s="91">
        <v>46125</v>
      </c>
      <c r="B9" s="82" t="s">
        <v>220</v>
      </c>
      <c r="C9" s="124" t="s">
        <v>10</v>
      </c>
      <c r="D9" s="82">
        <v>300</v>
      </c>
      <c r="E9" s="227"/>
      <c r="F9" s="82"/>
      <c r="G9" s="82"/>
      <c r="H9" s="123">
        <v>895979</v>
      </c>
      <c r="I9" s="90"/>
      <c r="J9" s="138"/>
      <c r="K9" s="218"/>
    </row>
    <row r="10" spans="1:11" x14ac:dyDescent="0.25">
      <c r="A10" s="91">
        <v>46126</v>
      </c>
      <c r="B10" s="82" t="s">
        <v>10</v>
      </c>
      <c r="C10" s="124" t="s">
        <v>9</v>
      </c>
      <c r="D10" s="82">
        <v>500</v>
      </c>
      <c r="E10" s="227"/>
      <c r="F10" s="82">
        <v>35.15</v>
      </c>
      <c r="G10" s="82"/>
      <c r="H10" s="123">
        <v>1064985</v>
      </c>
      <c r="I10" s="90" t="s">
        <v>368</v>
      </c>
      <c r="J10" s="138"/>
      <c r="K10" s="218"/>
    </row>
    <row r="11" spans="1:11" x14ac:dyDescent="0.25">
      <c r="A11" s="91">
        <v>46127</v>
      </c>
      <c r="B11" s="82" t="s">
        <v>9</v>
      </c>
      <c r="C11" s="124" t="s">
        <v>351</v>
      </c>
      <c r="D11" s="82">
        <v>1010</v>
      </c>
      <c r="E11" s="82"/>
      <c r="F11" s="82">
        <v>34.42</v>
      </c>
      <c r="G11" s="82"/>
      <c r="H11" s="90">
        <v>619732</v>
      </c>
      <c r="I11" s="90" t="s">
        <v>257</v>
      </c>
      <c r="J11" s="138"/>
      <c r="K11" s="218"/>
    </row>
    <row r="12" spans="1:11" x14ac:dyDescent="0.25">
      <c r="A12" s="91">
        <v>46129</v>
      </c>
      <c r="B12" s="82" t="s">
        <v>351</v>
      </c>
      <c r="C12" s="124" t="s">
        <v>227</v>
      </c>
      <c r="D12" s="82">
        <v>230</v>
      </c>
      <c r="E12" s="82"/>
      <c r="F12" s="82"/>
      <c r="G12" s="82"/>
      <c r="H12" s="83" t="s">
        <v>66</v>
      </c>
      <c r="I12" s="90"/>
      <c r="J12" s="138"/>
      <c r="K12" s="218"/>
    </row>
    <row r="13" spans="1:11" x14ac:dyDescent="0.25">
      <c r="A13" s="91">
        <v>46129</v>
      </c>
      <c r="B13" s="82" t="s">
        <v>296</v>
      </c>
      <c r="C13" s="124" t="s">
        <v>9</v>
      </c>
      <c r="D13" s="82">
        <v>820</v>
      </c>
      <c r="E13" s="82"/>
      <c r="F13" s="82">
        <v>34.4</v>
      </c>
      <c r="G13" s="82"/>
      <c r="H13" s="90">
        <v>189652</v>
      </c>
      <c r="I13" s="90" t="s">
        <v>304</v>
      </c>
      <c r="J13" s="138"/>
      <c r="K13" s="218"/>
    </row>
    <row r="14" spans="1:11" x14ac:dyDescent="0.25">
      <c r="A14" s="91">
        <v>46132</v>
      </c>
      <c r="B14" s="82" t="s">
        <v>9</v>
      </c>
      <c r="C14" s="124" t="s">
        <v>352</v>
      </c>
      <c r="D14" s="82">
        <v>420</v>
      </c>
      <c r="E14" s="82"/>
      <c r="F14" s="82">
        <v>34.96</v>
      </c>
      <c r="G14" s="82"/>
      <c r="H14" s="90">
        <v>294209</v>
      </c>
      <c r="I14" s="90" t="s">
        <v>344</v>
      </c>
      <c r="J14" s="138"/>
      <c r="K14" s="218"/>
    </row>
    <row r="15" spans="1:11" x14ac:dyDescent="0.25">
      <c r="A15" s="91">
        <v>46133</v>
      </c>
      <c r="B15" s="82" t="s">
        <v>352</v>
      </c>
      <c r="C15" s="124" t="s">
        <v>118</v>
      </c>
      <c r="D15" s="82">
        <v>150</v>
      </c>
      <c r="E15" s="227"/>
      <c r="F15" s="82"/>
      <c r="G15" s="82"/>
      <c r="H15" s="128" t="s">
        <v>66</v>
      </c>
      <c r="I15" s="90"/>
      <c r="J15" s="138"/>
      <c r="K15" s="218"/>
    </row>
    <row r="16" spans="1:11" x14ac:dyDescent="0.25">
      <c r="A16" s="91">
        <v>46134</v>
      </c>
      <c r="B16" s="82" t="s">
        <v>118</v>
      </c>
      <c r="C16" s="82" t="s">
        <v>146</v>
      </c>
      <c r="D16" s="82">
        <v>1430</v>
      </c>
      <c r="E16" s="227"/>
      <c r="F16" s="82"/>
      <c r="G16" s="82"/>
      <c r="H16" s="123">
        <v>122283</v>
      </c>
      <c r="I16" s="90" t="s">
        <v>437</v>
      </c>
      <c r="J16" s="138"/>
      <c r="K16" s="218"/>
    </row>
    <row r="17" spans="1:11" x14ac:dyDescent="0.25">
      <c r="A17" s="91">
        <v>46136</v>
      </c>
      <c r="B17" s="82" t="s">
        <v>146</v>
      </c>
      <c r="C17" s="82" t="s">
        <v>9</v>
      </c>
      <c r="D17" s="82">
        <v>940</v>
      </c>
      <c r="E17" s="227"/>
      <c r="F17" s="82"/>
      <c r="G17" s="82"/>
      <c r="H17" s="128" t="s">
        <v>66</v>
      </c>
      <c r="I17" s="90"/>
      <c r="J17" s="138"/>
      <c r="K17" s="218"/>
    </row>
    <row r="18" spans="1:11" x14ac:dyDescent="0.25">
      <c r="A18" s="91">
        <v>46140</v>
      </c>
      <c r="B18" s="227" t="s">
        <v>9</v>
      </c>
      <c r="C18" s="124" t="s">
        <v>300</v>
      </c>
      <c r="D18" s="82">
        <v>420</v>
      </c>
      <c r="E18" s="82"/>
      <c r="F18" s="82">
        <v>35.270000000000003</v>
      </c>
      <c r="G18" s="82"/>
      <c r="H18" s="123">
        <v>620419</v>
      </c>
      <c r="I18" s="90" t="s">
        <v>257</v>
      </c>
      <c r="J18" s="138"/>
      <c r="K18" s="218"/>
    </row>
    <row r="19" spans="1:11" x14ac:dyDescent="0.25">
      <c r="A19" s="91">
        <v>46140</v>
      </c>
      <c r="B19" s="82" t="s">
        <v>300</v>
      </c>
      <c r="C19" s="124" t="s">
        <v>229</v>
      </c>
      <c r="D19" s="82">
        <v>150</v>
      </c>
      <c r="E19" s="82"/>
      <c r="F19" s="82"/>
      <c r="G19" s="82"/>
      <c r="H19" s="83" t="s">
        <v>66</v>
      </c>
      <c r="I19" s="90"/>
      <c r="J19" s="138"/>
      <c r="K19" s="218"/>
    </row>
    <row r="20" spans="1:11" x14ac:dyDescent="0.25">
      <c r="A20" s="91">
        <v>46140</v>
      </c>
      <c r="B20" s="82" t="s">
        <v>229</v>
      </c>
      <c r="C20" s="124" t="s">
        <v>10</v>
      </c>
      <c r="D20" s="82">
        <v>10</v>
      </c>
      <c r="E20" s="82"/>
      <c r="F20" s="82"/>
      <c r="G20" s="82"/>
      <c r="H20" s="90">
        <v>1067564</v>
      </c>
      <c r="I20" s="90" t="s">
        <v>360</v>
      </c>
      <c r="J20" s="138"/>
      <c r="K20" s="218"/>
    </row>
    <row r="21" spans="1:11" x14ac:dyDescent="0.25">
      <c r="A21" s="91">
        <v>46141</v>
      </c>
      <c r="B21" s="82" t="s">
        <v>10</v>
      </c>
      <c r="C21" s="124" t="s">
        <v>229</v>
      </c>
      <c r="D21" s="82">
        <v>10</v>
      </c>
      <c r="E21" s="82"/>
      <c r="F21" s="82"/>
      <c r="G21" s="82"/>
      <c r="H21" s="128" t="s">
        <v>66</v>
      </c>
      <c r="I21" s="90"/>
      <c r="J21" s="138"/>
      <c r="K21" s="218"/>
    </row>
    <row r="22" spans="1:11" x14ac:dyDescent="0.25">
      <c r="A22" s="91">
        <v>46141</v>
      </c>
      <c r="B22" s="82" t="s">
        <v>229</v>
      </c>
      <c r="C22" s="124" t="s">
        <v>10</v>
      </c>
      <c r="D22" s="82">
        <v>10</v>
      </c>
      <c r="E22" s="82"/>
      <c r="F22" s="82"/>
      <c r="G22" s="82"/>
      <c r="H22" s="123">
        <v>1067583</v>
      </c>
      <c r="I22" s="90" t="s">
        <v>360</v>
      </c>
      <c r="J22" s="138"/>
      <c r="K22" s="218"/>
    </row>
    <row r="23" spans="1:11" x14ac:dyDescent="0.25">
      <c r="A23" s="91">
        <v>46141</v>
      </c>
      <c r="B23" s="82" t="s">
        <v>10</v>
      </c>
      <c r="C23" s="124" t="s">
        <v>229</v>
      </c>
      <c r="D23" s="82">
        <v>10</v>
      </c>
      <c r="E23" s="82"/>
      <c r="F23" s="82"/>
      <c r="G23" s="82"/>
      <c r="H23" s="128" t="s">
        <v>66</v>
      </c>
      <c r="I23" s="90"/>
      <c r="J23" s="138"/>
      <c r="K23" s="218"/>
    </row>
    <row r="24" spans="1:11" x14ac:dyDescent="0.25">
      <c r="A24" s="91">
        <v>46141</v>
      </c>
      <c r="B24" s="82" t="s">
        <v>229</v>
      </c>
      <c r="C24" s="124" t="s">
        <v>9</v>
      </c>
      <c r="D24" s="82">
        <v>500</v>
      </c>
      <c r="E24" s="82"/>
      <c r="F24" s="82">
        <v>35.35</v>
      </c>
      <c r="G24" s="82"/>
      <c r="H24" s="123">
        <v>1067679</v>
      </c>
      <c r="I24" s="90" t="s">
        <v>176</v>
      </c>
      <c r="J24" s="138"/>
      <c r="K24" s="218"/>
    </row>
    <row r="25" spans="1:11" x14ac:dyDescent="0.25">
      <c r="A25" s="91"/>
      <c r="B25" s="82"/>
      <c r="C25" s="124"/>
      <c r="D25" s="151" t="s">
        <v>483</v>
      </c>
      <c r="E25" s="227"/>
      <c r="F25" s="82"/>
      <c r="G25" s="82"/>
      <c r="H25" s="123"/>
      <c r="I25" s="90"/>
      <c r="J25" s="138"/>
      <c r="K25" s="218"/>
    </row>
    <row r="26" spans="1:11" x14ac:dyDescent="0.25">
      <c r="A26" s="5"/>
      <c r="B26" s="6"/>
      <c r="C26" s="6"/>
      <c r="D26" s="6"/>
      <c r="E26" s="6"/>
      <c r="F26" s="6"/>
      <c r="G26" s="6"/>
      <c r="H26" s="7"/>
      <c r="I26" s="7"/>
      <c r="J26" s="140"/>
      <c r="K26" s="218"/>
    </row>
    <row r="27" spans="1:11" x14ac:dyDescent="0.25">
      <c r="D27" s="17">
        <f>SUM(D3:D26)</f>
        <v>10190</v>
      </c>
      <c r="E27" s="13"/>
      <c r="F27" s="13">
        <f>AVERAGE(F3:F25)</f>
        <v>34.815714285714286</v>
      </c>
      <c r="G27" s="13"/>
      <c r="J27" s="139">
        <f>SUM(J3:J26)</f>
        <v>0</v>
      </c>
      <c r="K27" s="219">
        <f>SUM(K3:K26)</f>
        <v>614880</v>
      </c>
    </row>
    <row r="29" spans="1:11" x14ac:dyDescent="0.25">
      <c r="B29">
        <v>-20000</v>
      </c>
      <c r="C29" s="11"/>
      <c r="D29" s="11"/>
      <c r="E29" s="11"/>
      <c r="F29" s="11"/>
      <c r="G29" s="11"/>
      <c r="K29" s="4"/>
    </row>
    <row r="30" spans="1:11" x14ac:dyDescent="0.25">
      <c r="B30" s="89">
        <v>-1000</v>
      </c>
      <c r="C30" s="11" t="s">
        <v>175</v>
      </c>
      <c r="D30" s="11">
        <v>45826</v>
      </c>
      <c r="H30" s="4"/>
    </row>
    <row r="31" spans="1:11" x14ac:dyDescent="0.25">
      <c r="B31" s="89"/>
      <c r="C31" s="11"/>
      <c r="D31" s="11"/>
      <c r="H31" s="4"/>
    </row>
    <row r="32" spans="1:11" x14ac:dyDescent="0.25">
      <c r="B32" s="89"/>
      <c r="C32" s="11"/>
      <c r="D32" s="11"/>
      <c r="H32" s="4"/>
    </row>
    <row r="33" spans="2:11" x14ac:dyDescent="0.25">
      <c r="B33" s="89"/>
      <c r="C33" s="11"/>
      <c r="D33" s="11"/>
      <c r="H33" s="4"/>
    </row>
    <row r="34" spans="2:11" x14ac:dyDescent="0.25">
      <c r="B34" s="89"/>
      <c r="C34" s="11"/>
      <c r="D34" s="11"/>
      <c r="H34" s="4"/>
    </row>
    <row r="35" spans="2:11" x14ac:dyDescent="0.25">
      <c r="B35" s="89"/>
      <c r="C35" s="11"/>
      <c r="D35" s="11"/>
      <c r="H35" s="4"/>
    </row>
    <row r="36" spans="2:11" x14ac:dyDescent="0.25">
      <c r="B36" s="135">
        <f>SUM(B29:B35)</f>
        <v>-21000</v>
      </c>
      <c r="C36" s="11">
        <v>45826</v>
      </c>
      <c r="D36" s="11"/>
      <c r="E36" s="4"/>
      <c r="K36" s="4"/>
    </row>
    <row r="37" spans="2:11" x14ac:dyDescent="0.25">
      <c r="B37" s="11"/>
      <c r="D37" s="11"/>
      <c r="F37" s="11"/>
      <c r="G37" s="11"/>
      <c r="I37" s="173"/>
      <c r="K37" s="4"/>
    </row>
    <row r="38" spans="2:11" x14ac:dyDescent="0.25">
      <c r="B38" s="11"/>
      <c r="E38" s="11"/>
      <c r="F38" s="11"/>
      <c r="G38" s="11"/>
      <c r="K38" s="4"/>
    </row>
    <row r="39" spans="2:11" x14ac:dyDescent="0.25">
      <c r="B39" s="11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C41" s="11"/>
      <c r="I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D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</row>
    <row r="55" spans="2:11" x14ac:dyDescent="0.25">
      <c r="B55" s="11"/>
      <c r="E55" s="11"/>
      <c r="F55" s="11"/>
      <c r="G55" s="11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</sheetData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62DB-F27D-4C38-B596-BF3D488F5A8F}">
  <dimension ref="A1:K76"/>
  <sheetViews>
    <sheetView topLeftCell="A4" zoomScale="110" zoomScaleNormal="110" workbookViewId="0">
      <selection activeCell="K4" sqref="K4"/>
    </sheetView>
  </sheetViews>
  <sheetFormatPr baseColWidth="10" defaultRowHeight="15" x14ac:dyDescent="0.25"/>
  <cols>
    <col min="2" max="2" width="11.85546875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174" t="s">
        <v>3</v>
      </c>
      <c r="E2" s="174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9</v>
      </c>
      <c r="C3" s="82" t="s">
        <v>343</v>
      </c>
      <c r="D3" s="82">
        <v>340</v>
      </c>
      <c r="E3" s="82"/>
      <c r="F3" s="82">
        <v>35.020000000000003</v>
      </c>
      <c r="G3" s="82"/>
      <c r="H3" s="123">
        <v>293226</v>
      </c>
      <c r="I3" s="90"/>
      <c r="J3" s="138"/>
      <c r="K3" s="218">
        <v>630360</v>
      </c>
    </row>
    <row r="4" spans="1:11" x14ac:dyDescent="0.25">
      <c r="A4" s="91">
        <v>46118</v>
      </c>
      <c r="B4" s="82" t="s">
        <v>343</v>
      </c>
      <c r="C4" s="82" t="s">
        <v>118</v>
      </c>
      <c r="D4" s="82">
        <v>190</v>
      </c>
      <c r="E4" s="82"/>
      <c r="F4" s="82"/>
      <c r="G4" s="82"/>
      <c r="H4" s="128" t="s">
        <v>66</v>
      </c>
      <c r="I4" s="90"/>
      <c r="J4" s="138"/>
      <c r="K4" s="218"/>
    </row>
    <row r="5" spans="1:11" x14ac:dyDescent="0.25">
      <c r="A5" s="91">
        <v>46118</v>
      </c>
      <c r="B5" s="82" t="s">
        <v>118</v>
      </c>
      <c r="C5" s="124" t="s">
        <v>146</v>
      </c>
      <c r="D5" s="82">
        <v>1430</v>
      </c>
      <c r="E5" s="82"/>
      <c r="F5" s="82"/>
      <c r="G5" s="82"/>
      <c r="H5" s="123">
        <v>119479</v>
      </c>
      <c r="I5" s="90" t="s">
        <v>147</v>
      </c>
      <c r="J5" s="138"/>
      <c r="K5" s="218"/>
    </row>
    <row r="6" spans="1:11" x14ac:dyDescent="0.25">
      <c r="A6" s="91">
        <v>46120</v>
      </c>
      <c r="B6" s="82" t="s">
        <v>146</v>
      </c>
      <c r="C6" s="124" t="s">
        <v>9</v>
      </c>
      <c r="D6" s="82">
        <v>940</v>
      </c>
      <c r="E6" s="82"/>
      <c r="F6" s="82"/>
      <c r="G6" s="82"/>
      <c r="H6" s="83" t="s">
        <v>66</v>
      </c>
      <c r="I6" s="90"/>
      <c r="J6" s="138"/>
      <c r="K6" s="218"/>
    </row>
    <row r="7" spans="1:11" x14ac:dyDescent="0.25">
      <c r="A7" s="91">
        <v>46121</v>
      </c>
      <c r="B7" s="82" t="s">
        <v>9</v>
      </c>
      <c r="C7" s="124" t="s">
        <v>104</v>
      </c>
      <c r="D7" s="82">
        <v>320</v>
      </c>
      <c r="E7" s="82"/>
      <c r="F7" s="82"/>
      <c r="G7" s="82"/>
      <c r="H7" s="123">
        <v>765444</v>
      </c>
      <c r="I7" s="90"/>
      <c r="J7" s="138"/>
      <c r="K7" s="218"/>
    </row>
    <row r="8" spans="1:11" x14ac:dyDescent="0.25">
      <c r="A8" s="91">
        <v>46122</v>
      </c>
      <c r="B8" s="82" t="s">
        <v>104</v>
      </c>
      <c r="C8" s="124" t="s">
        <v>103</v>
      </c>
      <c r="D8" s="82">
        <v>230</v>
      </c>
      <c r="E8" s="82"/>
      <c r="F8" s="82"/>
      <c r="G8" s="82"/>
      <c r="H8" s="128" t="s">
        <v>66</v>
      </c>
      <c r="I8" s="90"/>
      <c r="J8" s="138"/>
      <c r="K8" s="218"/>
    </row>
    <row r="9" spans="1:11" x14ac:dyDescent="0.25">
      <c r="A9" s="91">
        <v>46122</v>
      </c>
      <c r="B9" s="82" t="s">
        <v>103</v>
      </c>
      <c r="C9" s="124" t="s">
        <v>9</v>
      </c>
      <c r="D9" s="82">
        <v>220</v>
      </c>
      <c r="E9" s="82"/>
      <c r="F9" s="82"/>
      <c r="G9" s="82"/>
      <c r="H9" s="123">
        <v>182578</v>
      </c>
      <c r="I9" s="90" t="s">
        <v>259</v>
      </c>
      <c r="J9" s="138"/>
      <c r="K9" s="218"/>
    </row>
    <row r="10" spans="1:11" x14ac:dyDescent="0.25">
      <c r="A10" s="91">
        <v>46123</v>
      </c>
      <c r="B10" s="82" t="s">
        <v>9</v>
      </c>
      <c r="C10" s="124" t="s">
        <v>242</v>
      </c>
      <c r="D10" s="82">
        <v>430</v>
      </c>
      <c r="E10" s="82"/>
      <c r="F10" s="82"/>
      <c r="G10" s="82"/>
      <c r="H10" s="90">
        <v>765824</v>
      </c>
      <c r="I10" s="90"/>
      <c r="J10" s="138"/>
      <c r="K10" s="218"/>
    </row>
    <row r="11" spans="1:11" x14ac:dyDescent="0.25">
      <c r="A11" s="91">
        <v>46125</v>
      </c>
      <c r="B11" s="82" t="s">
        <v>242</v>
      </c>
      <c r="C11" s="124" t="s">
        <v>220</v>
      </c>
      <c r="D11" s="82">
        <v>140</v>
      </c>
      <c r="E11" s="82"/>
      <c r="F11" s="82"/>
      <c r="G11" s="82"/>
      <c r="H11" s="83" t="s">
        <v>66</v>
      </c>
      <c r="I11" s="90"/>
      <c r="J11" s="138"/>
      <c r="K11" s="218"/>
    </row>
    <row r="12" spans="1:11" x14ac:dyDescent="0.25">
      <c r="A12" s="91">
        <v>46125</v>
      </c>
      <c r="B12" s="82" t="s">
        <v>220</v>
      </c>
      <c r="C12" s="124" t="s">
        <v>423</v>
      </c>
      <c r="D12" s="82">
        <v>140</v>
      </c>
      <c r="E12" s="82"/>
      <c r="F12" s="82"/>
      <c r="G12" s="82"/>
      <c r="H12" s="90">
        <v>895961</v>
      </c>
      <c r="I12" s="90"/>
      <c r="J12" s="138"/>
      <c r="K12" s="218"/>
    </row>
    <row r="13" spans="1:11" x14ac:dyDescent="0.25">
      <c r="A13" s="91">
        <v>46126</v>
      </c>
      <c r="B13" s="82" t="s">
        <v>423</v>
      </c>
      <c r="C13" s="124" t="s">
        <v>10</v>
      </c>
      <c r="D13" s="82">
        <v>210</v>
      </c>
      <c r="E13" s="82"/>
      <c r="F13" s="82"/>
      <c r="G13" s="82"/>
      <c r="H13" s="83" t="s">
        <v>66</v>
      </c>
      <c r="I13" s="90"/>
      <c r="J13" s="138"/>
      <c r="K13" s="218"/>
    </row>
    <row r="14" spans="1:11" x14ac:dyDescent="0.25">
      <c r="A14" s="91">
        <v>46127</v>
      </c>
      <c r="B14" s="82" t="s">
        <v>10</v>
      </c>
      <c r="C14" s="124" t="s">
        <v>9</v>
      </c>
      <c r="D14" s="82">
        <v>500</v>
      </c>
      <c r="E14" s="82"/>
      <c r="F14" s="82">
        <v>34.17</v>
      </c>
      <c r="G14" s="82"/>
      <c r="H14" s="90">
        <v>1065198</v>
      </c>
      <c r="I14" s="90" t="s">
        <v>176</v>
      </c>
      <c r="J14" s="138"/>
      <c r="K14" s="218"/>
    </row>
    <row r="15" spans="1:11" x14ac:dyDescent="0.25">
      <c r="A15" s="91">
        <v>46128</v>
      </c>
      <c r="B15" s="227" t="s">
        <v>9</v>
      </c>
      <c r="C15" s="82" t="s">
        <v>300</v>
      </c>
      <c r="D15" s="82">
        <v>420</v>
      </c>
      <c r="E15" s="82"/>
      <c r="F15" s="82">
        <v>34.04</v>
      </c>
      <c r="G15" s="82"/>
      <c r="H15" s="123">
        <v>619801</v>
      </c>
      <c r="I15" s="90" t="s">
        <v>301</v>
      </c>
      <c r="J15" s="138"/>
      <c r="K15" s="218"/>
    </row>
    <row r="16" spans="1:11" x14ac:dyDescent="0.25">
      <c r="A16" s="91">
        <v>46129</v>
      </c>
      <c r="B16" s="227" t="s">
        <v>300</v>
      </c>
      <c r="C16" s="82" t="s">
        <v>10</v>
      </c>
      <c r="D16" s="82">
        <v>150</v>
      </c>
      <c r="E16" s="82"/>
      <c r="F16" s="82"/>
      <c r="G16" s="82"/>
      <c r="H16" s="128" t="s">
        <v>66</v>
      </c>
      <c r="I16" s="90"/>
      <c r="J16" s="138"/>
      <c r="K16" s="218"/>
    </row>
    <row r="17" spans="1:11" x14ac:dyDescent="0.25">
      <c r="A17" s="91">
        <v>46130</v>
      </c>
      <c r="B17" s="82" t="s">
        <v>10</v>
      </c>
      <c r="C17" s="124" t="s">
        <v>351</v>
      </c>
      <c r="D17" s="82">
        <v>1470</v>
      </c>
      <c r="E17" s="82"/>
      <c r="F17" s="82">
        <v>34.119999999999997</v>
      </c>
      <c r="G17" s="82"/>
      <c r="H17" s="90">
        <v>1065756</v>
      </c>
      <c r="I17" s="90" t="s">
        <v>368</v>
      </c>
      <c r="J17" s="138"/>
      <c r="K17" s="218"/>
    </row>
    <row r="18" spans="1:11" x14ac:dyDescent="0.25">
      <c r="A18" s="91">
        <v>46134</v>
      </c>
      <c r="B18" s="82" t="s">
        <v>351</v>
      </c>
      <c r="C18" s="124" t="s">
        <v>9</v>
      </c>
      <c r="D18" s="82">
        <v>1060</v>
      </c>
      <c r="E18" s="82"/>
      <c r="F18" s="82"/>
      <c r="G18" s="82"/>
      <c r="H18" s="90">
        <v>16427</v>
      </c>
      <c r="I18" s="90" t="s">
        <v>365</v>
      </c>
      <c r="J18" s="138"/>
      <c r="K18" s="218"/>
    </row>
    <row r="19" spans="1:11" x14ac:dyDescent="0.25">
      <c r="A19" s="91">
        <v>46135</v>
      </c>
      <c r="B19" s="82" t="s">
        <v>9</v>
      </c>
      <c r="C19" s="124" t="s">
        <v>351</v>
      </c>
      <c r="D19" s="82">
        <v>1010</v>
      </c>
      <c r="E19" s="82"/>
      <c r="F19" s="82">
        <v>34.619999999999997</v>
      </c>
      <c r="G19" s="82"/>
      <c r="H19" s="90">
        <v>620199</v>
      </c>
      <c r="I19" s="90" t="s">
        <v>257</v>
      </c>
      <c r="J19" s="138"/>
      <c r="K19" s="218"/>
    </row>
    <row r="20" spans="1:11" x14ac:dyDescent="0.25">
      <c r="A20" s="91">
        <v>46136</v>
      </c>
      <c r="B20" s="82" t="s">
        <v>351</v>
      </c>
      <c r="C20" s="124" t="s">
        <v>227</v>
      </c>
      <c r="D20" s="82">
        <v>240</v>
      </c>
      <c r="E20" s="82"/>
      <c r="F20" s="82"/>
      <c r="G20" s="82"/>
      <c r="H20" s="83" t="s">
        <v>66</v>
      </c>
      <c r="I20" s="90"/>
      <c r="J20" s="138"/>
      <c r="K20" s="218"/>
    </row>
    <row r="21" spans="1:11" x14ac:dyDescent="0.25">
      <c r="A21" s="91">
        <v>46136</v>
      </c>
      <c r="B21" s="82" t="s">
        <v>296</v>
      </c>
      <c r="C21" s="124" t="s">
        <v>9</v>
      </c>
      <c r="D21" s="82">
        <v>820</v>
      </c>
      <c r="E21" s="82"/>
      <c r="F21" s="82">
        <v>34.200000000000003</v>
      </c>
      <c r="G21" s="82"/>
      <c r="H21" s="90">
        <v>189910</v>
      </c>
      <c r="I21" s="90" t="s">
        <v>304</v>
      </c>
      <c r="J21" s="138"/>
      <c r="K21" s="218"/>
    </row>
    <row r="22" spans="1:11" x14ac:dyDescent="0.25">
      <c r="A22" s="91">
        <v>46139</v>
      </c>
      <c r="B22" s="82" t="s">
        <v>9</v>
      </c>
      <c r="C22" s="124" t="s">
        <v>276</v>
      </c>
      <c r="D22" s="82">
        <v>400</v>
      </c>
      <c r="E22" s="82"/>
      <c r="F22" s="82"/>
      <c r="G22" s="82"/>
      <c r="H22" s="123">
        <v>294622</v>
      </c>
      <c r="I22" s="90"/>
      <c r="J22" s="138"/>
      <c r="K22" s="218"/>
    </row>
    <row r="23" spans="1:11" x14ac:dyDescent="0.25">
      <c r="A23" s="91">
        <v>46140</v>
      </c>
      <c r="B23" s="82" t="s">
        <v>424</v>
      </c>
      <c r="C23" s="124" t="s">
        <v>118</v>
      </c>
      <c r="D23" s="82">
        <v>150</v>
      </c>
      <c r="E23" s="82"/>
      <c r="F23" s="82"/>
      <c r="G23" s="82"/>
      <c r="H23" s="128" t="s">
        <v>66</v>
      </c>
      <c r="I23" s="90"/>
      <c r="J23" s="138"/>
      <c r="K23" s="218"/>
    </row>
    <row r="24" spans="1:11" x14ac:dyDescent="0.25">
      <c r="A24" s="91">
        <v>46141</v>
      </c>
      <c r="B24" s="82" t="s">
        <v>118</v>
      </c>
      <c r="C24" s="124" t="s">
        <v>385</v>
      </c>
      <c r="D24" s="82">
        <v>1560</v>
      </c>
      <c r="E24" s="82"/>
      <c r="F24" s="82"/>
      <c r="G24" s="82"/>
      <c r="H24" s="90">
        <v>123726</v>
      </c>
      <c r="I24" s="90" t="s">
        <v>386</v>
      </c>
      <c r="J24" s="138"/>
      <c r="K24" s="218"/>
    </row>
    <row r="25" spans="1:11" x14ac:dyDescent="0.25">
      <c r="A25" s="91"/>
      <c r="B25" s="82"/>
      <c r="C25" s="124"/>
      <c r="D25" s="151" t="s">
        <v>484</v>
      </c>
      <c r="E25" s="82"/>
      <c r="F25" s="82"/>
      <c r="G25" s="82"/>
      <c r="H25" s="83"/>
      <c r="I25" s="90"/>
      <c r="J25" s="138"/>
      <c r="K25" s="218"/>
    </row>
    <row r="26" spans="1:11" x14ac:dyDescent="0.25">
      <c r="A26" s="5"/>
      <c r="B26" s="6"/>
      <c r="C26" s="6"/>
      <c r="D26" s="6"/>
      <c r="E26" s="6"/>
      <c r="F26" s="6"/>
      <c r="G26" s="6"/>
      <c r="H26" s="7"/>
      <c r="I26" s="7"/>
      <c r="J26" s="140"/>
      <c r="K26" s="218"/>
    </row>
    <row r="27" spans="1:11" x14ac:dyDescent="0.25">
      <c r="D27" s="17">
        <f>SUM(D3:D26)</f>
        <v>12370</v>
      </c>
      <c r="E27" s="13"/>
      <c r="F27" s="13">
        <f>AVERAGE(F3:F25)</f>
        <v>34.361666666666672</v>
      </c>
      <c r="G27" s="13"/>
      <c r="J27" s="139">
        <f>SUM(J3:J26)</f>
        <v>0</v>
      </c>
      <c r="K27" s="219">
        <f>SUM(K3:K26)</f>
        <v>630360</v>
      </c>
    </row>
    <row r="29" spans="1:11" x14ac:dyDescent="0.25">
      <c r="B29">
        <v>-20000</v>
      </c>
      <c r="C29" s="11"/>
      <c r="D29" s="11"/>
      <c r="E29" s="11"/>
      <c r="F29" s="11"/>
      <c r="G29" s="11"/>
      <c r="K29" s="4"/>
    </row>
    <row r="30" spans="1:11" x14ac:dyDescent="0.25">
      <c r="B30" s="89"/>
      <c r="C30" s="11"/>
      <c r="D30" s="11"/>
      <c r="H30" s="4"/>
    </row>
    <row r="31" spans="1:11" x14ac:dyDescent="0.25">
      <c r="B31" s="89"/>
      <c r="C31" s="11"/>
      <c r="D31" s="11"/>
      <c r="H31" s="4"/>
    </row>
    <row r="32" spans="1:11" x14ac:dyDescent="0.25">
      <c r="B32" s="89"/>
      <c r="C32" s="11"/>
      <c r="D32" s="11"/>
      <c r="H32" s="4"/>
    </row>
    <row r="33" spans="2:11" x14ac:dyDescent="0.25">
      <c r="B33" s="89"/>
      <c r="C33" s="11"/>
      <c r="D33" s="11"/>
      <c r="H33" s="4"/>
    </row>
    <row r="34" spans="2:11" x14ac:dyDescent="0.25">
      <c r="B34" s="89"/>
      <c r="C34" s="11"/>
      <c r="D34" s="11"/>
      <c r="H34" s="4"/>
    </row>
    <row r="35" spans="2:11" x14ac:dyDescent="0.25">
      <c r="B35" s="89"/>
      <c r="C35" s="11"/>
      <c r="D35" s="11"/>
      <c r="H35" s="4"/>
    </row>
    <row r="36" spans="2:11" x14ac:dyDescent="0.25">
      <c r="B36" s="135">
        <f>SUM(B29:B35)</f>
        <v>-20000</v>
      </c>
      <c r="C36" s="11"/>
      <c r="D36" s="11"/>
      <c r="E36" s="4"/>
      <c r="K36" s="4"/>
    </row>
    <row r="37" spans="2:11" x14ac:dyDescent="0.25">
      <c r="B37" s="11"/>
      <c r="D37" s="11"/>
      <c r="F37" s="11"/>
      <c r="G37" s="11"/>
      <c r="I37" s="173"/>
      <c r="K37" s="4"/>
    </row>
    <row r="38" spans="2:11" x14ac:dyDescent="0.25">
      <c r="B38" s="11"/>
      <c r="E38" s="11"/>
      <c r="F38" s="11"/>
      <c r="G38" s="11"/>
      <c r="K38" s="4"/>
    </row>
    <row r="39" spans="2:11" x14ac:dyDescent="0.25">
      <c r="B39" s="11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C41" s="11"/>
      <c r="I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D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</row>
    <row r="55" spans="2:11" x14ac:dyDescent="0.25">
      <c r="B55" s="11"/>
      <c r="E55" s="11"/>
      <c r="F55" s="11"/>
      <c r="G55" s="11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03EF-DC7B-43A5-AA28-C78056E93464}">
  <dimension ref="A1:K78"/>
  <sheetViews>
    <sheetView topLeftCell="A4" zoomScale="110" zoomScaleNormal="110" workbookViewId="0">
      <selection activeCell="H29" sqref="H29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9</v>
      </c>
      <c r="C3" s="82" t="s">
        <v>343</v>
      </c>
      <c r="D3" s="82">
        <v>340</v>
      </c>
      <c r="E3" s="82"/>
      <c r="F3" s="82">
        <v>34.68</v>
      </c>
      <c r="G3" s="82"/>
      <c r="H3" s="123">
        <v>293225</v>
      </c>
      <c r="I3" s="90"/>
      <c r="J3" s="138"/>
      <c r="K3" s="218">
        <v>624240</v>
      </c>
    </row>
    <row r="4" spans="1:11" x14ac:dyDescent="0.25">
      <c r="A4" s="91">
        <v>46118</v>
      </c>
      <c r="B4" s="82" t="s">
        <v>343</v>
      </c>
      <c r="C4" s="82" t="s">
        <v>118</v>
      </c>
      <c r="D4" s="82">
        <v>190</v>
      </c>
      <c r="E4" s="82"/>
      <c r="F4" s="82"/>
      <c r="G4" s="82"/>
      <c r="H4" s="128" t="s">
        <v>66</v>
      </c>
      <c r="I4" s="90"/>
      <c r="J4" s="138"/>
      <c r="K4" s="218"/>
    </row>
    <row r="5" spans="1:11" x14ac:dyDescent="0.25">
      <c r="A5" s="91">
        <v>46118</v>
      </c>
      <c r="B5" s="82" t="s">
        <v>118</v>
      </c>
      <c r="C5" s="124" t="s">
        <v>146</v>
      </c>
      <c r="D5" s="82">
        <v>1430</v>
      </c>
      <c r="E5" s="82"/>
      <c r="F5" s="82"/>
      <c r="G5" s="82"/>
      <c r="H5" s="123">
        <v>119478</v>
      </c>
      <c r="I5" s="90" t="s">
        <v>147</v>
      </c>
      <c r="J5" s="138"/>
      <c r="K5" s="218"/>
    </row>
    <row r="6" spans="1:11" x14ac:dyDescent="0.25">
      <c r="A6" s="91">
        <v>46120</v>
      </c>
      <c r="B6" s="82" t="s">
        <v>146</v>
      </c>
      <c r="C6" s="124" t="s">
        <v>9</v>
      </c>
      <c r="D6" s="82">
        <v>940</v>
      </c>
      <c r="E6" s="82"/>
      <c r="F6" s="82"/>
      <c r="G6" s="82"/>
      <c r="H6" s="83" t="s">
        <v>66</v>
      </c>
      <c r="I6" s="90"/>
      <c r="J6" s="138"/>
      <c r="K6" s="218"/>
    </row>
    <row r="7" spans="1:11" x14ac:dyDescent="0.25">
      <c r="A7" s="91">
        <v>46121</v>
      </c>
      <c r="B7" s="82" t="s">
        <v>9</v>
      </c>
      <c r="C7" s="124" t="s">
        <v>104</v>
      </c>
      <c r="D7" s="82">
        <v>320</v>
      </c>
      <c r="E7" s="82"/>
      <c r="F7" s="82"/>
      <c r="G7" s="82"/>
      <c r="H7" s="123">
        <v>765443</v>
      </c>
      <c r="I7" s="90"/>
      <c r="J7" s="138"/>
      <c r="K7" s="218"/>
    </row>
    <row r="8" spans="1:11" x14ac:dyDescent="0.25">
      <c r="A8" s="91">
        <v>46122</v>
      </c>
      <c r="B8" s="82" t="s">
        <v>104</v>
      </c>
      <c r="C8" s="124" t="s">
        <v>103</v>
      </c>
      <c r="D8" s="82">
        <v>230</v>
      </c>
      <c r="E8" s="82"/>
      <c r="F8" s="82"/>
      <c r="G8" s="82"/>
      <c r="H8" s="128" t="s">
        <v>66</v>
      </c>
      <c r="I8" s="90"/>
      <c r="J8" s="138"/>
      <c r="K8" s="218"/>
    </row>
    <row r="9" spans="1:11" x14ac:dyDescent="0.25">
      <c r="A9" s="91">
        <v>46122</v>
      </c>
      <c r="B9" s="82" t="s">
        <v>103</v>
      </c>
      <c r="C9" s="124" t="s">
        <v>9</v>
      </c>
      <c r="D9" s="82">
        <v>200</v>
      </c>
      <c r="E9" s="82"/>
      <c r="F9" s="82"/>
      <c r="G9" s="82"/>
      <c r="H9" s="123">
        <v>182577</v>
      </c>
      <c r="I9" s="90" t="s">
        <v>259</v>
      </c>
      <c r="J9" s="138"/>
      <c r="K9" s="218"/>
    </row>
    <row r="10" spans="1:11" x14ac:dyDescent="0.25">
      <c r="A10" s="91">
        <v>46123</v>
      </c>
      <c r="B10" s="82" t="s">
        <v>9</v>
      </c>
      <c r="C10" s="124" t="s">
        <v>276</v>
      </c>
      <c r="D10" s="82">
        <v>400</v>
      </c>
      <c r="E10" s="82"/>
      <c r="F10" s="82"/>
      <c r="G10" s="82"/>
      <c r="H10" s="123">
        <v>765826</v>
      </c>
      <c r="I10" s="90"/>
      <c r="J10" s="138"/>
      <c r="K10" s="218"/>
    </row>
    <row r="11" spans="1:11" x14ac:dyDescent="0.25">
      <c r="A11" s="91">
        <v>46125</v>
      </c>
      <c r="B11" s="82" t="s">
        <v>424</v>
      </c>
      <c r="C11" s="124" t="s">
        <v>220</v>
      </c>
      <c r="D11" s="82">
        <v>140</v>
      </c>
      <c r="E11" s="82"/>
      <c r="F11" s="82"/>
      <c r="G11" s="82"/>
      <c r="H11" s="128" t="s">
        <v>66</v>
      </c>
      <c r="I11" s="90"/>
      <c r="J11" s="138"/>
      <c r="K11" s="218"/>
    </row>
    <row r="12" spans="1:11" x14ac:dyDescent="0.25">
      <c r="A12" s="91">
        <v>46125</v>
      </c>
      <c r="B12" s="82" t="s">
        <v>220</v>
      </c>
      <c r="C12" s="124" t="s">
        <v>423</v>
      </c>
      <c r="D12" s="82">
        <v>140</v>
      </c>
      <c r="E12" s="82"/>
      <c r="F12" s="82"/>
      <c r="G12" s="82"/>
      <c r="H12" s="90">
        <v>895957</v>
      </c>
      <c r="I12" s="90"/>
      <c r="J12" s="138"/>
      <c r="K12" s="218"/>
    </row>
    <row r="13" spans="1:11" x14ac:dyDescent="0.25">
      <c r="A13" s="91">
        <v>46126</v>
      </c>
      <c r="B13" s="82" t="s">
        <v>423</v>
      </c>
      <c r="C13" s="124" t="s">
        <v>300</v>
      </c>
      <c r="D13" s="82">
        <v>50</v>
      </c>
      <c r="E13" s="82"/>
      <c r="F13" s="82"/>
      <c r="G13" s="82"/>
      <c r="H13" s="83" t="s">
        <v>66</v>
      </c>
      <c r="I13" s="90"/>
      <c r="J13" s="138"/>
      <c r="K13" s="218"/>
    </row>
    <row r="14" spans="1:11" x14ac:dyDescent="0.25">
      <c r="A14" s="91">
        <v>46126</v>
      </c>
      <c r="B14" s="82" t="s">
        <v>300</v>
      </c>
      <c r="C14" s="124" t="s">
        <v>356</v>
      </c>
      <c r="D14" s="82">
        <v>990</v>
      </c>
      <c r="E14" s="82"/>
      <c r="F14" s="82">
        <v>34.119999999999997</v>
      </c>
      <c r="G14" s="82"/>
      <c r="H14" s="90">
        <v>153191</v>
      </c>
      <c r="I14" s="90" t="s">
        <v>357</v>
      </c>
      <c r="J14" s="138"/>
      <c r="K14" s="218"/>
    </row>
    <row r="15" spans="1:11" x14ac:dyDescent="0.25">
      <c r="A15" s="91">
        <v>46127</v>
      </c>
      <c r="B15" s="82" t="s">
        <v>356</v>
      </c>
      <c r="C15" s="124" t="s">
        <v>421</v>
      </c>
      <c r="D15" s="82">
        <v>390</v>
      </c>
      <c r="E15" s="82"/>
      <c r="F15" s="82"/>
      <c r="G15" s="82"/>
      <c r="H15" s="90">
        <v>504113</v>
      </c>
      <c r="I15" s="90"/>
      <c r="J15" s="138"/>
      <c r="K15" s="218"/>
    </row>
    <row r="16" spans="1:11" x14ac:dyDescent="0.25">
      <c r="A16" s="179">
        <v>46128</v>
      </c>
      <c r="B16" s="82" t="s">
        <v>421</v>
      </c>
      <c r="C16" s="124" t="s">
        <v>347</v>
      </c>
      <c r="D16" s="82">
        <v>120</v>
      </c>
      <c r="E16" s="82"/>
      <c r="F16" s="82"/>
      <c r="G16" s="82"/>
      <c r="H16" s="128" t="s">
        <v>66</v>
      </c>
      <c r="I16" s="90"/>
      <c r="J16" s="138"/>
      <c r="K16" s="218"/>
    </row>
    <row r="17" spans="1:11" x14ac:dyDescent="0.25">
      <c r="A17" s="179">
        <v>46129</v>
      </c>
      <c r="B17" s="82" t="s">
        <v>347</v>
      </c>
      <c r="C17" s="124" t="s">
        <v>75</v>
      </c>
      <c r="D17" s="82">
        <v>340</v>
      </c>
      <c r="E17" s="82"/>
      <c r="F17" s="82">
        <v>36.880000000000003</v>
      </c>
      <c r="G17" s="82"/>
      <c r="H17" s="90" t="s">
        <v>425</v>
      </c>
      <c r="I17" s="90"/>
      <c r="J17" s="138"/>
      <c r="K17" s="218"/>
    </row>
    <row r="18" spans="1:11" x14ac:dyDescent="0.25">
      <c r="A18" s="91">
        <v>46129</v>
      </c>
      <c r="B18" s="82" t="s">
        <v>75</v>
      </c>
      <c r="C18" s="124" t="s">
        <v>10</v>
      </c>
      <c r="D18" s="82">
        <v>80</v>
      </c>
      <c r="E18" s="82"/>
      <c r="F18" s="82"/>
      <c r="G18" s="82"/>
      <c r="H18" s="128" t="s">
        <v>66</v>
      </c>
      <c r="I18" s="90"/>
      <c r="J18" s="138"/>
      <c r="K18" s="218"/>
    </row>
    <row r="19" spans="1:11" x14ac:dyDescent="0.25">
      <c r="A19" s="91">
        <v>46129</v>
      </c>
      <c r="B19" s="82" t="s">
        <v>10</v>
      </c>
      <c r="C19" s="82" t="s">
        <v>9</v>
      </c>
      <c r="D19" s="82">
        <v>500</v>
      </c>
      <c r="E19" s="82"/>
      <c r="F19" s="82">
        <v>34.25</v>
      </c>
      <c r="G19" s="82"/>
      <c r="H19" s="123">
        <v>1065643</v>
      </c>
      <c r="I19" s="90" t="s">
        <v>176</v>
      </c>
      <c r="J19" s="138"/>
      <c r="K19" s="218"/>
    </row>
    <row r="20" spans="1:11" x14ac:dyDescent="0.25">
      <c r="A20" s="91">
        <v>46133</v>
      </c>
      <c r="B20" s="82" t="s">
        <v>9</v>
      </c>
      <c r="C20" s="124" t="s">
        <v>300</v>
      </c>
      <c r="D20" s="82">
        <v>430</v>
      </c>
      <c r="E20" s="82"/>
      <c r="F20" s="82">
        <v>34.42</v>
      </c>
      <c r="G20" s="82"/>
      <c r="H20" s="90">
        <v>294288</v>
      </c>
      <c r="I20" s="90" t="s">
        <v>15</v>
      </c>
      <c r="J20" s="138"/>
      <c r="K20" s="218"/>
    </row>
    <row r="21" spans="1:11" x14ac:dyDescent="0.25">
      <c r="A21" s="91">
        <v>46134</v>
      </c>
      <c r="B21" s="82" t="s">
        <v>300</v>
      </c>
      <c r="C21" s="124" t="s">
        <v>118</v>
      </c>
      <c r="D21" s="82">
        <v>100</v>
      </c>
      <c r="E21" s="82"/>
      <c r="F21" s="82"/>
      <c r="G21" s="82"/>
      <c r="H21" s="83" t="s">
        <v>66</v>
      </c>
      <c r="I21" s="90"/>
      <c r="J21" s="138"/>
      <c r="K21" s="218"/>
    </row>
    <row r="22" spans="1:11" x14ac:dyDescent="0.25">
      <c r="A22" s="91">
        <v>46134</v>
      </c>
      <c r="B22" s="82" t="s">
        <v>118</v>
      </c>
      <c r="C22" s="124" t="s">
        <v>385</v>
      </c>
      <c r="D22" s="82">
        <v>1560</v>
      </c>
      <c r="E22" s="82"/>
      <c r="F22" s="82"/>
      <c r="G22" s="82"/>
      <c r="H22" s="90">
        <v>122403</v>
      </c>
      <c r="I22" s="90" t="s">
        <v>386</v>
      </c>
      <c r="J22" s="138"/>
      <c r="K22" s="218"/>
    </row>
    <row r="23" spans="1:11" x14ac:dyDescent="0.25">
      <c r="A23" s="91">
        <v>46136</v>
      </c>
      <c r="B23" s="124" t="s">
        <v>385</v>
      </c>
      <c r="C23" s="124" t="s">
        <v>9</v>
      </c>
      <c r="D23" s="82">
        <v>1070</v>
      </c>
      <c r="E23" s="82"/>
      <c r="F23" s="82"/>
      <c r="G23" s="82"/>
      <c r="H23" s="83" t="s">
        <v>66</v>
      </c>
      <c r="I23" s="90"/>
      <c r="J23" s="138"/>
      <c r="K23" s="218"/>
    </row>
    <row r="24" spans="1:11" x14ac:dyDescent="0.25">
      <c r="A24" s="91">
        <v>46139</v>
      </c>
      <c r="B24" s="82" t="s">
        <v>9</v>
      </c>
      <c r="C24" s="124" t="s">
        <v>276</v>
      </c>
      <c r="D24" s="82">
        <v>400</v>
      </c>
      <c r="E24" s="82"/>
      <c r="F24" s="82">
        <v>34.340000000000003</v>
      </c>
      <c r="G24" s="82"/>
      <c r="H24" s="123">
        <v>294623</v>
      </c>
      <c r="I24" s="90"/>
      <c r="J24" s="138"/>
      <c r="K24" s="218"/>
    </row>
    <row r="25" spans="1:11" x14ac:dyDescent="0.25">
      <c r="A25" s="91">
        <v>46140</v>
      </c>
      <c r="B25" s="82" t="s">
        <v>424</v>
      </c>
      <c r="C25" s="124" t="s">
        <v>118</v>
      </c>
      <c r="D25" s="82">
        <v>150</v>
      </c>
      <c r="E25" s="82"/>
      <c r="F25" s="82"/>
      <c r="G25" s="82"/>
      <c r="H25" s="128" t="s">
        <v>66</v>
      </c>
      <c r="I25" s="90"/>
      <c r="J25" s="138"/>
      <c r="K25" s="218"/>
    </row>
    <row r="26" spans="1:11" x14ac:dyDescent="0.25">
      <c r="A26" s="91">
        <v>46141</v>
      </c>
      <c r="B26" s="82" t="s">
        <v>118</v>
      </c>
      <c r="C26" s="124" t="s">
        <v>385</v>
      </c>
      <c r="D26" s="82">
        <v>1560</v>
      </c>
      <c r="E26" s="82"/>
      <c r="F26" s="82"/>
      <c r="G26" s="82"/>
      <c r="H26" s="90">
        <v>123725</v>
      </c>
      <c r="I26" s="90" t="s">
        <v>386</v>
      </c>
      <c r="J26" s="138"/>
      <c r="K26" s="218"/>
    </row>
    <row r="27" spans="1:11" x14ac:dyDescent="0.25">
      <c r="A27" s="91"/>
      <c r="B27" s="82"/>
      <c r="C27" s="124"/>
      <c r="D27" s="151" t="s">
        <v>484</v>
      </c>
      <c r="E27" s="82"/>
      <c r="F27" s="82"/>
      <c r="G27" s="82"/>
      <c r="H27" s="83"/>
      <c r="I27" s="90"/>
      <c r="J27" s="138"/>
      <c r="K27" s="218"/>
    </row>
    <row r="28" spans="1:11" x14ac:dyDescent="0.25">
      <c r="A28" s="5"/>
      <c r="B28" s="6"/>
      <c r="C28" s="6"/>
      <c r="D28" s="6"/>
      <c r="E28" s="6"/>
      <c r="F28" s="6"/>
      <c r="G28" s="6"/>
      <c r="H28" s="7"/>
      <c r="I28" s="7"/>
      <c r="J28" s="140"/>
      <c r="K28" s="218"/>
    </row>
    <row r="29" spans="1:11" x14ac:dyDescent="0.25">
      <c r="D29" s="17">
        <f>SUM(D3:D28)</f>
        <v>12070</v>
      </c>
      <c r="E29" s="13"/>
      <c r="F29" s="13">
        <f>AVERAGE(F3:F27)</f>
        <v>34.781666666666673</v>
      </c>
      <c r="G29" s="13"/>
      <c r="J29" s="139">
        <f>SUM(J3:J28)</f>
        <v>0</v>
      </c>
      <c r="K29" s="219">
        <f>SUM(K3:K28)</f>
        <v>624240</v>
      </c>
    </row>
    <row r="31" spans="1:11" x14ac:dyDescent="0.25">
      <c r="B31">
        <v>-20000</v>
      </c>
      <c r="C31" s="11"/>
      <c r="D31" s="11"/>
      <c r="E31" s="11"/>
      <c r="F31" s="11"/>
      <c r="G31" s="11"/>
      <c r="K31" s="4"/>
    </row>
    <row r="32" spans="1:11" x14ac:dyDescent="0.25">
      <c r="B32" s="89"/>
      <c r="C32" s="11"/>
      <c r="D32" s="11"/>
      <c r="H32" s="4"/>
    </row>
    <row r="33" spans="2:11" x14ac:dyDescent="0.25">
      <c r="B33" s="89"/>
      <c r="C33" s="11"/>
      <c r="D33" s="11"/>
      <c r="H33" s="4"/>
    </row>
    <row r="34" spans="2:11" x14ac:dyDescent="0.25">
      <c r="B34" s="89"/>
      <c r="C34" s="11"/>
      <c r="D34" s="11"/>
      <c r="H34" s="4"/>
    </row>
    <row r="35" spans="2:11" x14ac:dyDescent="0.25">
      <c r="B35" s="89"/>
      <c r="C35" s="11"/>
      <c r="D35" s="11"/>
      <c r="H35" s="4"/>
    </row>
    <row r="36" spans="2:11" x14ac:dyDescent="0.25">
      <c r="B36" s="89"/>
      <c r="C36" s="11"/>
      <c r="D36" s="11"/>
      <c r="H36" s="4"/>
    </row>
    <row r="37" spans="2:11" x14ac:dyDescent="0.25">
      <c r="B37" s="89"/>
      <c r="C37" s="11"/>
      <c r="D37" s="11"/>
      <c r="H37" s="4"/>
    </row>
    <row r="38" spans="2:11" x14ac:dyDescent="0.25">
      <c r="B38" s="135">
        <f>SUM(B31:B37)</f>
        <v>-20000</v>
      </c>
      <c r="C38" s="11"/>
      <c r="D38" s="11"/>
      <c r="E38" s="4"/>
      <c r="K38" s="4"/>
    </row>
    <row r="39" spans="2:11" x14ac:dyDescent="0.25">
      <c r="B39" s="11"/>
      <c r="D39" s="11"/>
      <c r="F39" s="11"/>
      <c r="G39" s="11"/>
      <c r="I39" s="173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C43" s="11"/>
      <c r="I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D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E232-E54D-4A99-B2E7-EE875252524E}">
  <dimension ref="A1:K78"/>
  <sheetViews>
    <sheetView topLeftCell="A10" zoomScale="110" zoomScaleNormal="110" workbookViewId="0">
      <selection activeCell="B35" sqref="B35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46112</v>
      </c>
      <c r="B3" s="236" t="s">
        <v>10</v>
      </c>
      <c r="C3" s="124" t="s">
        <v>220</v>
      </c>
      <c r="D3" s="82">
        <v>300</v>
      </c>
      <c r="E3" s="82"/>
      <c r="F3" s="82"/>
      <c r="G3" s="82"/>
      <c r="H3" s="90">
        <v>278559</v>
      </c>
      <c r="I3" s="90" t="s">
        <v>176</v>
      </c>
      <c r="J3" s="138"/>
      <c r="K3" s="218"/>
    </row>
    <row r="4" spans="1:11" x14ac:dyDescent="0.25">
      <c r="A4" s="91">
        <v>46116</v>
      </c>
      <c r="B4" s="236" t="s">
        <v>220</v>
      </c>
      <c r="C4" s="124" t="s">
        <v>290</v>
      </c>
      <c r="D4" s="82">
        <v>140</v>
      </c>
      <c r="E4" s="82"/>
      <c r="F4" s="82">
        <v>34.76</v>
      </c>
      <c r="G4" s="82"/>
      <c r="H4" s="123">
        <v>894839</v>
      </c>
      <c r="I4" s="90"/>
      <c r="J4" s="138"/>
      <c r="K4" s="218">
        <v>387346.67</v>
      </c>
    </row>
    <row r="5" spans="1:11" x14ac:dyDescent="0.25">
      <c r="A5" s="91">
        <v>46118</v>
      </c>
      <c r="B5" s="236" t="s">
        <v>290</v>
      </c>
      <c r="C5" s="124" t="s">
        <v>220</v>
      </c>
      <c r="D5" s="82">
        <v>140</v>
      </c>
      <c r="E5" s="82"/>
      <c r="F5" s="82"/>
      <c r="G5" s="82"/>
      <c r="H5" s="128" t="s">
        <v>66</v>
      </c>
      <c r="I5" s="90"/>
      <c r="J5" s="138"/>
      <c r="K5" s="218"/>
    </row>
    <row r="6" spans="1:11" x14ac:dyDescent="0.25">
      <c r="A6" s="91">
        <v>46119</v>
      </c>
      <c r="B6" s="236" t="s">
        <v>220</v>
      </c>
      <c r="C6" s="124" t="s">
        <v>290</v>
      </c>
      <c r="D6" s="82">
        <v>140</v>
      </c>
      <c r="E6" s="82"/>
      <c r="F6" s="82"/>
      <c r="G6" s="82"/>
      <c r="H6" s="123">
        <v>895079</v>
      </c>
      <c r="I6" s="90"/>
      <c r="J6" s="138"/>
      <c r="K6" s="218">
        <v>386232.32000000001</v>
      </c>
    </row>
    <row r="7" spans="1:11" x14ac:dyDescent="0.25">
      <c r="A7" s="91">
        <v>46119</v>
      </c>
      <c r="B7" s="236" t="s">
        <v>290</v>
      </c>
      <c r="C7" s="124" t="s">
        <v>220</v>
      </c>
      <c r="D7" s="82">
        <v>140</v>
      </c>
      <c r="E7" s="82"/>
      <c r="F7" s="82"/>
      <c r="G7" s="82"/>
      <c r="H7" s="128" t="s">
        <v>66</v>
      </c>
      <c r="I7" s="90"/>
      <c r="J7" s="138"/>
      <c r="K7" s="218"/>
    </row>
    <row r="8" spans="1:11" x14ac:dyDescent="0.25">
      <c r="A8" s="91">
        <v>46120</v>
      </c>
      <c r="B8" s="82" t="s">
        <v>220</v>
      </c>
      <c r="C8" s="124" t="s">
        <v>10</v>
      </c>
      <c r="D8" s="82">
        <v>300</v>
      </c>
      <c r="E8" s="82"/>
      <c r="F8" s="82"/>
      <c r="G8" s="82"/>
      <c r="H8" s="90">
        <v>895236</v>
      </c>
      <c r="I8" s="90"/>
      <c r="J8" s="138"/>
      <c r="K8" s="218"/>
    </row>
    <row r="9" spans="1:11" x14ac:dyDescent="0.25">
      <c r="A9" s="91">
        <v>46120</v>
      </c>
      <c r="B9" s="236" t="s">
        <v>10</v>
      </c>
      <c r="C9" s="124" t="s">
        <v>220</v>
      </c>
      <c r="D9" s="82">
        <v>300</v>
      </c>
      <c r="E9" s="82"/>
      <c r="F9" s="82"/>
      <c r="G9" s="82"/>
      <c r="H9" s="90">
        <v>278750</v>
      </c>
      <c r="I9" s="90" t="s">
        <v>176</v>
      </c>
      <c r="J9" s="138"/>
      <c r="K9" s="218"/>
    </row>
    <row r="10" spans="1:11" x14ac:dyDescent="0.25">
      <c r="A10" s="91">
        <v>46121</v>
      </c>
      <c r="B10" s="236" t="s">
        <v>220</v>
      </c>
      <c r="C10" s="124" t="s">
        <v>276</v>
      </c>
      <c r="D10" s="82">
        <v>140</v>
      </c>
      <c r="E10" s="82"/>
      <c r="F10" s="82">
        <v>34.340000000000003</v>
      </c>
      <c r="G10" s="82"/>
      <c r="H10" s="90">
        <v>895518</v>
      </c>
      <c r="I10" s="90"/>
      <c r="J10" s="138"/>
      <c r="K10" s="218"/>
    </row>
    <row r="11" spans="1:11" x14ac:dyDescent="0.25">
      <c r="A11" s="91">
        <v>46122</v>
      </c>
      <c r="B11" s="236" t="s">
        <v>276</v>
      </c>
      <c r="C11" s="124" t="s">
        <v>9</v>
      </c>
      <c r="D11" s="82">
        <v>400</v>
      </c>
      <c r="E11" s="82"/>
      <c r="F11" s="82"/>
      <c r="G11" s="82"/>
      <c r="H11" s="83" t="s">
        <v>66</v>
      </c>
      <c r="I11" s="90"/>
      <c r="J11" s="138"/>
      <c r="K11" s="218"/>
    </row>
    <row r="12" spans="1:11" x14ac:dyDescent="0.25">
      <c r="A12" s="91">
        <v>46125</v>
      </c>
      <c r="B12" s="236" t="s">
        <v>9</v>
      </c>
      <c r="C12" s="124" t="s">
        <v>485</v>
      </c>
      <c r="D12" s="82">
        <v>380</v>
      </c>
      <c r="E12" s="82"/>
      <c r="F12" s="82">
        <v>34.44</v>
      </c>
      <c r="G12" s="82"/>
      <c r="H12" s="90">
        <v>766173</v>
      </c>
      <c r="I12" s="90"/>
      <c r="J12" s="138"/>
      <c r="K12" s="218"/>
    </row>
    <row r="13" spans="1:11" x14ac:dyDescent="0.25">
      <c r="A13" s="91">
        <v>46127</v>
      </c>
      <c r="B13" s="236" t="s">
        <v>485</v>
      </c>
      <c r="C13" s="124" t="s">
        <v>220</v>
      </c>
      <c r="D13" s="82">
        <v>190</v>
      </c>
      <c r="E13" s="82"/>
      <c r="F13" s="82"/>
      <c r="G13" s="82"/>
      <c r="H13" s="83" t="s">
        <v>66</v>
      </c>
      <c r="I13" s="90"/>
      <c r="J13" s="138"/>
      <c r="K13" s="218"/>
    </row>
    <row r="14" spans="1:11" x14ac:dyDescent="0.25">
      <c r="A14" s="91">
        <v>46128</v>
      </c>
      <c r="B14" s="236" t="s">
        <v>220</v>
      </c>
      <c r="C14" s="124" t="s">
        <v>290</v>
      </c>
      <c r="D14" s="82">
        <v>140</v>
      </c>
      <c r="E14" s="82"/>
      <c r="F14" s="82">
        <v>34.479999999999997</v>
      </c>
      <c r="G14" s="82"/>
      <c r="H14" s="123">
        <v>896482</v>
      </c>
      <c r="I14" s="90"/>
      <c r="J14" s="138"/>
      <c r="K14" s="218"/>
    </row>
    <row r="15" spans="1:11" x14ac:dyDescent="0.25">
      <c r="A15" s="91">
        <v>46128</v>
      </c>
      <c r="B15" s="236" t="s">
        <v>290</v>
      </c>
      <c r="C15" s="124" t="s">
        <v>220</v>
      </c>
      <c r="D15" s="82">
        <v>140</v>
      </c>
      <c r="E15" s="82"/>
      <c r="F15" s="82"/>
      <c r="G15" s="82"/>
      <c r="H15" s="128" t="s">
        <v>66</v>
      </c>
      <c r="I15" s="90"/>
      <c r="J15" s="138"/>
      <c r="K15" s="218"/>
    </row>
    <row r="16" spans="1:11" x14ac:dyDescent="0.25">
      <c r="A16" s="91">
        <v>46129</v>
      </c>
      <c r="B16" s="82" t="s">
        <v>220</v>
      </c>
      <c r="C16" s="124" t="s">
        <v>10</v>
      </c>
      <c r="D16" s="82">
        <v>300</v>
      </c>
      <c r="E16" s="82"/>
      <c r="F16" s="82"/>
      <c r="G16" s="82"/>
      <c r="H16" s="90">
        <v>896701</v>
      </c>
      <c r="I16" s="90"/>
      <c r="J16" s="138"/>
      <c r="K16" s="218"/>
    </row>
    <row r="17" spans="1:11" x14ac:dyDescent="0.25">
      <c r="A17" s="91">
        <v>46129</v>
      </c>
      <c r="B17" s="236" t="s">
        <v>10</v>
      </c>
      <c r="C17" s="124" t="s">
        <v>220</v>
      </c>
      <c r="D17" s="82">
        <v>300</v>
      </c>
      <c r="E17" s="82"/>
      <c r="F17" s="82"/>
      <c r="G17" s="82"/>
      <c r="H17" s="90">
        <v>279148</v>
      </c>
      <c r="I17" s="90" t="s">
        <v>176</v>
      </c>
      <c r="J17" s="138"/>
      <c r="K17" s="218"/>
    </row>
    <row r="18" spans="1:11" x14ac:dyDescent="0.25">
      <c r="A18" s="91">
        <v>46132</v>
      </c>
      <c r="B18" s="236" t="s">
        <v>220</v>
      </c>
      <c r="C18" s="124" t="s">
        <v>274</v>
      </c>
      <c r="D18" s="82">
        <v>340</v>
      </c>
      <c r="E18" s="82"/>
      <c r="F18" s="82">
        <v>34.75</v>
      </c>
      <c r="G18" s="82"/>
      <c r="H18" s="90">
        <v>897021</v>
      </c>
      <c r="I18" s="90"/>
      <c r="J18" s="138"/>
      <c r="K18" s="218"/>
    </row>
    <row r="19" spans="1:11" x14ac:dyDescent="0.25">
      <c r="A19" s="91">
        <v>46134</v>
      </c>
      <c r="B19" s="236" t="s">
        <v>274</v>
      </c>
      <c r="C19" s="124" t="s">
        <v>10</v>
      </c>
      <c r="D19" s="82">
        <v>80</v>
      </c>
      <c r="E19" s="82"/>
      <c r="F19" s="82"/>
      <c r="G19" s="82"/>
      <c r="H19" s="83" t="s">
        <v>66</v>
      </c>
      <c r="I19" s="90"/>
      <c r="J19" s="138"/>
      <c r="K19" s="218"/>
    </row>
    <row r="20" spans="1:11" x14ac:dyDescent="0.25">
      <c r="A20" s="91">
        <v>46134</v>
      </c>
      <c r="B20" s="236" t="s">
        <v>10</v>
      </c>
      <c r="C20" s="124" t="s">
        <v>220</v>
      </c>
      <c r="D20" s="82">
        <v>300</v>
      </c>
      <c r="E20" s="82"/>
      <c r="F20" s="82"/>
      <c r="G20" s="82"/>
      <c r="H20" s="90">
        <v>279293</v>
      </c>
      <c r="I20" s="90" t="s">
        <v>176</v>
      </c>
      <c r="J20" s="138"/>
      <c r="K20" s="218"/>
    </row>
    <row r="21" spans="1:11" x14ac:dyDescent="0.25">
      <c r="A21" s="91">
        <v>46136</v>
      </c>
      <c r="B21" s="236" t="s">
        <v>220</v>
      </c>
      <c r="C21" s="124" t="s">
        <v>290</v>
      </c>
      <c r="D21" s="82">
        <v>140</v>
      </c>
      <c r="E21" s="82"/>
      <c r="F21" s="82">
        <v>34.75</v>
      </c>
      <c r="G21" s="82"/>
      <c r="H21" s="123">
        <v>897834</v>
      </c>
      <c r="I21" s="90"/>
      <c r="J21" s="138"/>
      <c r="K21" s="218"/>
    </row>
    <row r="22" spans="1:11" x14ac:dyDescent="0.25">
      <c r="A22" s="91">
        <v>46139</v>
      </c>
      <c r="B22" s="236" t="s">
        <v>290</v>
      </c>
      <c r="C22" s="124" t="s">
        <v>220</v>
      </c>
      <c r="D22" s="82">
        <v>140</v>
      </c>
      <c r="E22" s="82"/>
      <c r="F22" s="82"/>
      <c r="G22" s="82"/>
      <c r="H22" s="128" t="s">
        <v>66</v>
      </c>
      <c r="I22" s="90"/>
      <c r="J22" s="138"/>
      <c r="K22" s="218"/>
    </row>
    <row r="23" spans="1:11" x14ac:dyDescent="0.25">
      <c r="A23" s="91">
        <v>46140</v>
      </c>
      <c r="B23" s="82" t="s">
        <v>220</v>
      </c>
      <c r="C23" s="124" t="s">
        <v>10</v>
      </c>
      <c r="D23" s="82">
        <v>300</v>
      </c>
      <c r="E23" s="82"/>
      <c r="F23" s="82"/>
      <c r="G23" s="82"/>
      <c r="H23" s="90">
        <v>898274</v>
      </c>
      <c r="I23" s="90"/>
      <c r="J23" s="138"/>
      <c r="K23" s="218"/>
    </row>
    <row r="24" spans="1:11" x14ac:dyDescent="0.25">
      <c r="A24" s="91">
        <v>46140</v>
      </c>
      <c r="B24" s="236" t="s">
        <v>10</v>
      </c>
      <c r="C24" s="124" t="s">
        <v>220</v>
      </c>
      <c r="D24" s="82">
        <v>300</v>
      </c>
      <c r="E24" s="82"/>
      <c r="F24" s="82"/>
      <c r="G24" s="82"/>
      <c r="H24" s="90">
        <v>279499</v>
      </c>
      <c r="I24" s="90" t="s">
        <v>176</v>
      </c>
      <c r="J24" s="138"/>
      <c r="K24" s="218"/>
    </row>
    <row r="25" spans="1:11" x14ac:dyDescent="0.25">
      <c r="A25" s="91">
        <v>46141</v>
      </c>
      <c r="B25" s="82" t="s">
        <v>220</v>
      </c>
      <c r="C25" s="124" t="s">
        <v>10</v>
      </c>
      <c r="D25" s="82">
        <v>300</v>
      </c>
      <c r="E25" s="82"/>
      <c r="F25" s="82"/>
      <c r="G25" s="82"/>
      <c r="H25" s="90">
        <v>898502</v>
      </c>
      <c r="I25" s="90"/>
      <c r="J25" s="138"/>
      <c r="K25" s="218"/>
    </row>
    <row r="26" spans="1:11" x14ac:dyDescent="0.25">
      <c r="A26" s="91">
        <v>46141</v>
      </c>
      <c r="B26" s="236" t="s">
        <v>10</v>
      </c>
      <c r="C26" s="124" t="s">
        <v>220</v>
      </c>
      <c r="D26" s="82">
        <v>300</v>
      </c>
      <c r="E26" s="82"/>
      <c r="F26" s="82"/>
      <c r="G26" s="82"/>
      <c r="H26" s="90">
        <v>279566</v>
      </c>
      <c r="I26" s="90" t="s">
        <v>176</v>
      </c>
      <c r="J26" s="138"/>
      <c r="K26" s="218"/>
    </row>
    <row r="27" spans="1:11" x14ac:dyDescent="0.25">
      <c r="A27" s="91"/>
      <c r="B27" s="236"/>
      <c r="C27" s="124"/>
      <c r="D27" s="151" t="s">
        <v>375</v>
      </c>
      <c r="E27" s="82"/>
      <c r="F27" s="82"/>
      <c r="G27" s="82"/>
      <c r="H27" s="90"/>
      <c r="I27" s="90"/>
      <c r="J27" s="138"/>
      <c r="K27" s="218"/>
    </row>
    <row r="28" spans="1:11" x14ac:dyDescent="0.25">
      <c r="A28" s="5"/>
      <c r="B28" s="6"/>
      <c r="C28" s="6"/>
      <c r="D28" s="6"/>
      <c r="E28" s="6"/>
      <c r="F28" s="6"/>
      <c r="G28" s="6"/>
      <c r="H28" s="7"/>
      <c r="I28" s="7"/>
      <c r="J28" s="140"/>
      <c r="K28" s="218"/>
    </row>
    <row r="29" spans="1:11" x14ac:dyDescent="0.25">
      <c r="D29" s="17">
        <f>SUM(D3:D28)</f>
        <v>5650</v>
      </c>
      <c r="E29" s="13"/>
      <c r="F29" s="13">
        <f>AVERAGE(F3:F27)</f>
        <v>34.586666666666666</v>
      </c>
      <c r="G29" s="13"/>
      <c r="J29" s="139">
        <f>SUM(J3:J28)</f>
        <v>0</v>
      </c>
      <c r="K29" s="219">
        <f>SUM(K3:K28)</f>
        <v>773578.99</v>
      </c>
    </row>
    <row r="31" spans="1:11" x14ac:dyDescent="0.25">
      <c r="B31">
        <v>-20000</v>
      </c>
      <c r="C31" s="11"/>
      <c r="D31" s="11"/>
      <c r="E31" s="11"/>
      <c r="F31" s="11"/>
      <c r="G31" s="11"/>
      <c r="K31" s="4"/>
    </row>
    <row r="32" spans="1:11" x14ac:dyDescent="0.25">
      <c r="B32" s="89">
        <v>10200</v>
      </c>
      <c r="C32" s="11">
        <v>45835</v>
      </c>
      <c r="D32" s="11"/>
      <c r="H32" s="4"/>
    </row>
    <row r="33" spans="2:11" x14ac:dyDescent="0.25">
      <c r="B33" s="89">
        <v>-10200</v>
      </c>
      <c r="C33" s="11">
        <v>45835</v>
      </c>
      <c r="D33" s="11"/>
      <c r="H33" s="4"/>
    </row>
    <row r="34" spans="2:11" x14ac:dyDescent="0.25">
      <c r="B34" s="89">
        <v>-200000</v>
      </c>
      <c r="C34" s="11" t="s">
        <v>504</v>
      </c>
      <c r="D34" s="11">
        <v>46161</v>
      </c>
      <c r="H34" s="4"/>
    </row>
    <row r="35" spans="2:11" x14ac:dyDescent="0.25">
      <c r="B35" s="89"/>
      <c r="C35" s="11"/>
      <c r="D35" s="11"/>
      <c r="H35" s="4"/>
    </row>
    <row r="36" spans="2:11" x14ac:dyDescent="0.25">
      <c r="B36" s="89"/>
      <c r="C36" s="11"/>
      <c r="D36" s="11"/>
      <c r="H36" s="4"/>
    </row>
    <row r="37" spans="2:11" x14ac:dyDescent="0.25">
      <c r="B37" s="89"/>
      <c r="C37" s="11"/>
      <c r="D37" s="11"/>
      <c r="H37" s="4"/>
    </row>
    <row r="38" spans="2:11" x14ac:dyDescent="0.25">
      <c r="B38" s="135">
        <f>SUM(B31:B37)</f>
        <v>-220000</v>
      </c>
      <c r="C38" s="11">
        <v>46161</v>
      </c>
      <c r="D38" s="11"/>
      <c r="E38" s="4"/>
      <c r="K38" s="4"/>
    </row>
    <row r="39" spans="2:11" x14ac:dyDescent="0.25">
      <c r="B39" s="11"/>
      <c r="D39" s="11"/>
      <c r="F39" s="11"/>
      <c r="G39" s="11"/>
      <c r="I39" s="173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C43" s="11"/>
      <c r="I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D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9C24-64E0-4285-A03D-406A189A6E10}">
  <dimension ref="A1:K80"/>
  <sheetViews>
    <sheetView zoomScale="110" zoomScaleNormal="110" workbookViewId="0">
      <selection activeCell="K6" sqref="K6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46116</v>
      </c>
      <c r="B3" s="227" t="s">
        <v>9</v>
      </c>
      <c r="C3" s="124" t="s">
        <v>300</v>
      </c>
      <c r="D3" s="82">
        <v>420</v>
      </c>
      <c r="E3" s="82"/>
      <c r="F3" s="82"/>
      <c r="G3" s="82">
        <v>36.840000000000003</v>
      </c>
      <c r="H3" s="123">
        <v>618967</v>
      </c>
      <c r="I3" s="90" t="s">
        <v>257</v>
      </c>
      <c r="J3" s="138"/>
      <c r="K3" s="218"/>
    </row>
    <row r="4" spans="1:11" x14ac:dyDescent="0.25">
      <c r="A4" s="91">
        <v>46118</v>
      </c>
      <c r="B4" s="227" t="s">
        <v>300</v>
      </c>
      <c r="C4" s="82" t="s">
        <v>357</v>
      </c>
      <c r="D4" s="82">
        <v>10</v>
      </c>
      <c r="E4" s="82"/>
      <c r="F4" s="82"/>
      <c r="G4" s="82"/>
      <c r="H4" s="128" t="s">
        <v>66</v>
      </c>
      <c r="I4" s="90"/>
      <c r="J4" s="138"/>
      <c r="K4" s="218"/>
    </row>
    <row r="5" spans="1:11" x14ac:dyDescent="0.25">
      <c r="A5" s="91">
        <v>46119</v>
      </c>
      <c r="B5" s="82" t="s">
        <v>300</v>
      </c>
      <c r="C5" s="124" t="s">
        <v>356</v>
      </c>
      <c r="D5" s="82">
        <v>990</v>
      </c>
      <c r="E5" s="82"/>
      <c r="F5" s="82"/>
      <c r="G5" s="82"/>
      <c r="H5" s="90">
        <v>153048</v>
      </c>
      <c r="I5" s="90" t="s">
        <v>357</v>
      </c>
      <c r="J5" s="138"/>
      <c r="K5" s="218">
        <v>1762572.93</v>
      </c>
    </row>
    <row r="6" spans="1:11" x14ac:dyDescent="0.25">
      <c r="A6" s="91">
        <v>46120</v>
      </c>
      <c r="B6" s="82" t="s">
        <v>356</v>
      </c>
      <c r="C6" s="124" t="s">
        <v>340</v>
      </c>
      <c r="D6" s="82">
        <v>380</v>
      </c>
      <c r="E6" s="82"/>
      <c r="F6" s="82"/>
      <c r="G6" s="82"/>
      <c r="H6" s="90">
        <v>503423</v>
      </c>
      <c r="I6" s="90"/>
      <c r="J6" s="138"/>
      <c r="K6" s="218">
        <v>1119388.32</v>
      </c>
    </row>
    <row r="7" spans="1:11" x14ac:dyDescent="0.25">
      <c r="A7" s="91">
        <v>46121</v>
      </c>
      <c r="B7" s="227" t="s">
        <v>340</v>
      </c>
      <c r="C7" s="82" t="s">
        <v>337</v>
      </c>
      <c r="D7" s="82">
        <v>50</v>
      </c>
      <c r="E7" s="82"/>
      <c r="F7" s="82"/>
      <c r="G7" s="82"/>
      <c r="H7" s="128" t="s">
        <v>66</v>
      </c>
      <c r="I7" s="90"/>
      <c r="J7" s="138"/>
      <c r="K7" s="218"/>
    </row>
    <row r="8" spans="1:11" x14ac:dyDescent="0.25">
      <c r="A8" s="91">
        <v>46121</v>
      </c>
      <c r="B8" s="227" t="s">
        <v>337</v>
      </c>
      <c r="C8" s="82" t="s">
        <v>75</v>
      </c>
      <c r="D8" s="82">
        <v>430</v>
      </c>
      <c r="E8" s="82"/>
      <c r="F8" s="82"/>
      <c r="G8" s="82">
        <v>36.200000000000003</v>
      </c>
      <c r="H8" s="123">
        <v>303244</v>
      </c>
      <c r="I8" s="90" t="s">
        <v>15</v>
      </c>
      <c r="J8" s="138"/>
      <c r="K8" s="218"/>
    </row>
    <row r="9" spans="1:11" x14ac:dyDescent="0.25">
      <c r="A9" s="91">
        <v>46122</v>
      </c>
      <c r="B9" s="82" t="s">
        <v>75</v>
      </c>
      <c r="C9" s="124" t="s">
        <v>10</v>
      </c>
      <c r="D9" s="82">
        <v>80</v>
      </c>
      <c r="E9" s="82"/>
      <c r="F9" s="82"/>
      <c r="G9" s="82"/>
      <c r="H9" s="83" t="s">
        <v>66</v>
      </c>
      <c r="I9" s="90"/>
      <c r="J9" s="138"/>
      <c r="K9" s="218"/>
    </row>
    <row r="10" spans="1:11" x14ac:dyDescent="0.25">
      <c r="A10" s="91">
        <v>46123</v>
      </c>
      <c r="B10" s="82" t="s">
        <v>10</v>
      </c>
      <c r="C10" s="82" t="s">
        <v>9</v>
      </c>
      <c r="D10" s="82">
        <v>500</v>
      </c>
      <c r="E10" s="82"/>
      <c r="F10" s="82"/>
      <c r="G10" s="82">
        <v>35.82</v>
      </c>
      <c r="H10" s="123">
        <v>1064646</v>
      </c>
      <c r="I10" s="90" t="s">
        <v>368</v>
      </c>
      <c r="J10" s="138"/>
      <c r="K10" s="218"/>
    </row>
    <row r="11" spans="1:11" x14ac:dyDescent="0.25">
      <c r="A11" s="91">
        <v>46126</v>
      </c>
      <c r="B11" s="82" t="s">
        <v>9</v>
      </c>
      <c r="C11" s="124" t="s">
        <v>351</v>
      </c>
      <c r="D11" s="82">
        <v>1030</v>
      </c>
      <c r="E11" s="82"/>
      <c r="F11" s="82"/>
      <c r="G11" s="82">
        <v>36.64</v>
      </c>
      <c r="H11" s="90">
        <v>619630</v>
      </c>
      <c r="I11" s="90" t="s">
        <v>257</v>
      </c>
      <c r="J11" s="138"/>
      <c r="K11" s="218"/>
    </row>
    <row r="12" spans="1:11" x14ac:dyDescent="0.25">
      <c r="A12" s="91">
        <v>46127</v>
      </c>
      <c r="B12" s="82" t="s">
        <v>351</v>
      </c>
      <c r="C12" s="124" t="s">
        <v>227</v>
      </c>
      <c r="D12" s="82">
        <v>240</v>
      </c>
      <c r="E12" s="82"/>
      <c r="F12" s="82"/>
      <c r="G12" s="82"/>
      <c r="H12" s="83" t="s">
        <v>66</v>
      </c>
      <c r="I12" s="90"/>
      <c r="J12" s="138"/>
      <c r="K12" s="218"/>
    </row>
    <row r="13" spans="1:11" x14ac:dyDescent="0.25">
      <c r="A13" s="91">
        <v>46128</v>
      </c>
      <c r="B13" s="82" t="s">
        <v>296</v>
      </c>
      <c r="C13" s="124" t="s">
        <v>9</v>
      </c>
      <c r="D13" s="82">
        <v>820</v>
      </c>
      <c r="E13" s="82"/>
      <c r="F13" s="82"/>
      <c r="G13" s="82">
        <v>32.4</v>
      </c>
      <c r="H13" s="90">
        <v>189633</v>
      </c>
      <c r="I13" s="90" t="s">
        <v>304</v>
      </c>
      <c r="J13" s="138"/>
      <c r="K13" s="218"/>
    </row>
    <row r="14" spans="1:11" x14ac:dyDescent="0.25">
      <c r="A14" s="91">
        <v>46130</v>
      </c>
      <c r="B14" s="82" t="s">
        <v>9</v>
      </c>
      <c r="C14" s="124" t="s">
        <v>351</v>
      </c>
      <c r="D14" s="82">
        <v>1030</v>
      </c>
      <c r="E14" s="82"/>
      <c r="F14" s="82"/>
      <c r="G14" s="82">
        <v>36.5</v>
      </c>
      <c r="H14" s="90">
        <v>619976</v>
      </c>
      <c r="I14" s="90" t="s">
        <v>257</v>
      </c>
      <c r="J14" s="138"/>
      <c r="K14" s="218"/>
    </row>
    <row r="15" spans="1:11" x14ac:dyDescent="0.25">
      <c r="A15" s="91">
        <v>46132</v>
      </c>
      <c r="B15" s="82" t="s">
        <v>351</v>
      </c>
      <c r="C15" s="124" t="s">
        <v>227</v>
      </c>
      <c r="D15" s="82">
        <v>240</v>
      </c>
      <c r="E15" s="82"/>
      <c r="F15" s="82"/>
      <c r="G15" s="82"/>
      <c r="H15" s="83" t="s">
        <v>66</v>
      </c>
      <c r="I15" s="90"/>
      <c r="J15" s="138"/>
      <c r="K15" s="218"/>
    </row>
    <row r="16" spans="1:11" x14ac:dyDescent="0.25">
      <c r="A16" s="91">
        <v>46133</v>
      </c>
      <c r="B16" s="82" t="s">
        <v>296</v>
      </c>
      <c r="C16" s="124" t="s">
        <v>9</v>
      </c>
      <c r="D16" s="82">
        <v>820</v>
      </c>
      <c r="E16" s="82"/>
      <c r="F16" s="82"/>
      <c r="G16" s="82">
        <v>35.4</v>
      </c>
      <c r="H16" s="90">
        <v>189787</v>
      </c>
      <c r="I16" s="90" t="s">
        <v>304</v>
      </c>
      <c r="J16" s="138"/>
      <c r="K16" s="218"/>
    </row>
    <row r="17" spans="1:11" x14ac:dyDescent="0.25">
      <c r="A17" s="91">
        <v>46135</v>
      </c>
      <c r="B17" s="82" t="s">
        <v>9</v>
      </c>
      <c r="C17" s="124" t="s">
        <v>351</v>
      </c>
      <c r="D17" s="82">
        <v>1030</v>
      </c>
      <c r="E17" s="82"/>
      <c r="F17" s="82"/>
      <c r="G17" s="82">
        <v>36.53</v>
      </c>
      <c r="H17" s="90">
        <v>620184</v>
      </c>
      <c r="I17" s="90" t="s">
        <v>257</v>
      </c>
      <c r="J17" s="138"/>
      <c r="K17" s="218"/>
    </row>
    <row r="18" spans="1:11" x14ac:dyDescent="0.25">
      <c r="A18" s="91">
        <v>46136</v>
      </c>
      <c r="B18" s="82" t="s">
        <v>351</v>
      </c>
      <c r="C18" s="124" t="s">
        <v>227</v>
      </c>
      <c r="D18" s="82">
        <v>240</v>
      </c>
      <c r="E18" s="82"/>
      <c r="F18" s="82"/>
      <c r="G18" s="82"/>
      <c r="H18" s="83" t="s">
        <v>66</v>
      </c>
      <c r="I18" s="90"/>
      <c r="J18" s="138"/>
      <c r="K18" s="218"/>
    </row>
    <row r="19" spans="1:11" x14ac:dyDescent="0.25">
      <c r="A19" s="91">
        <v>46136</v>
      </c>
      <c r="B19" s="82" t="s">
        <v>296</v>
      </c>
      <c r="C19" s="124" t="s">
        <v>9</v>
      </c>
      <c r="D19" s="82">
        <v>820</v>
      </c>
      <c r="E19" s="82"/>
      <c r="F19" s="82"/>
      <c r="G19" s="82">
        <v>35.4</v>
      </c>
      <c r="H19" s="90">
        <v>189915</v>
      </c>
      <c r="I19" s="90" t="s">
        <v>304</v>
      </c>
      <c r="J19" s="138"/>
      <c r="K19" s="218"/>
    </row>
    <row r="20" spans="1:11" x14ac:dyDescent="0.25">
      <c r="A20" s="91">
        <v>46139</v>
      </c>
      <c r="B20" s="82" t="s">
        <v>9</v>
      </c>
      <c r="C20" s="124" t="s">
        <v>300</v>
      </c>
      <c r="D20" s="82">
        <v>430</v>
      </c>
      <c r="E20" s="82"/>
      <c r="F20" s="82"/>
      <c r="G20" s="82">
        <v>36.1</v>
      </c>
      <c r="H20" s="90">
        <v>294624</v>
      </c>
      <c r="I20" s="90" t="s">
        <v>15</v>
      </c>
      <c r="J20" s="138"/>
      <c r="K20" s="218"/>
    </row>
    <row r="21" spans="1:11" x14ac:dyDescent="0.25">
      <c r="A21" s="91">
        <v>46140</v>
      </c>
      <c r="B21" s="82" t="s">
        <v>300</v>
      </c>
      <c r="C21" s="124" t="s">
        <v>229</v>
      </c>
      <c r="D21" s="82">
        <v>150</v>
      </c>
      <c r="E21" s="82"/>
      <c r="F21" s="82"/>
      <c r="G21" s="82"/>
      <c r="H21" s="83" t="s">
        <v>66</v>
      </c>
      <c r="I21" s="90"/>
      <c r="J21" s="138"/>
      <c r="K21" s="218"/>
    </row>
    <row r="22" spans="1:11" x14ac:dyDescent="0.25">
      <c r="A22" s="91">
        <v>46140</v>
      </c>
      <c r="B22" s="82" t="s">
        <v>229</v>
      </c>
      <c r="C22" s="124" t="s">
        <v>10</v>
      </c>
      <c r="D22" s="82">
        <v>10</v>
      </c>
      <c r="E22" s="82"/>
      <c r="F22" s="82"/>
      <c r="G22" s="82"/>
      <c r="H22" s="90">
        <v>1067468</v>
      </c>
      <c r="I22" s="90" t="s">
        <v>360</v>
      </c>
      <c r="J22" s="138"/>
      <c r="K22" s="218"/>
    </row>
    <row r="23" spans="1:11" x14ac:dyDescent="0.25">
      <c r="A23" s="91">
        <v>46140</v>
      </c>
      <c r="B23" s="82" t="s">
        <v>10</v>
      </c>
      <c r="C23" s="124" t="s">
        <v>229</v>
      </c>
      <c r="D23" s="82">
        <v>10</v>
      </c>
      <c r="E23" s="82"/>
      <c r="F23" s="82"/>
      <c r="G23" s="82"/>
      <c r="H23" s="83" t="s">
        <v>66</v>
      </c>
      <c r="I23" s="90"/>
      <c r="J23" s="138"/>
      <c r="K23" s="218"/>
    </row>
    <row r="24" spans="1:11" x14ac:dyDescent="0.25">
      <c r="A24" s="91">
        <v>46140</v>
      </c>
      <c r="B24" s="82" t="s">
        <v>229</v>
      </c>
      <c r="C24" s="124" t="s">
        <v>10</v>
      </c>
      <c r="D24" s="82">
        <v>10</v>
      </c>
      <c r="E24" s="82"/>
      <c r="F24" s="82"/>
      <c r="G24" s="82"/>
      <c r="H24" s="90">
        <v>1067528</v>
      </c>
      <c r="I24" s="90" t="s">
        <v>360</v>
      </c>
      <c r="J24" s="138"/>
      <c r="K24" s="218"/>
    </row>
    <row r="25" spans="1:11" x14ac:dyDescent="0.25">
      <c r="A25" s="91">
        <v>46141</v>
      </c>
      <c r="B25" s="82" t="s">
        <v>10</v>
      </c>
      <c r="C25" s="124" t="s">
        <v>229</v>
      </c>
      <c r="D25" s="82">
        <v>10</v>
      </c>
      <c r="E25" s="82"/>
      <c r="F25" s="82"/>
      <c r="G25" s="82"/>
      <c r="H25" s="83" t="s">
        <v>66</v>
      </c>
      <c r="I25" s="90"/>
      <c r="J25" s="138"/>
      <c r="K25" s="218"/>
    </row>
    <row r="26" spans="1:11" x14ac:dyDescent="0.25">
      <c r="A26" s="91">
        <v>46141</v>
      </c>
      <c r="B26" s="82" t="s">
        <v>229</v>
      </c>
      <c r="C26" s="124" t="s">
        <v>9</v>
      </c>
      <c r="D26" s="82">
        <v>500</v>
      </c>
      <c r="E26" s="82"/>
      <c r="F26" s="82"/>
      <c r="G26" s="82">
        <v>35.200000000000003</v>
      </c>
      <c r="H26" s="90">
        <v>1067618</v>
      </c>
      <c r="I26" s="90" t="s">
        <v>176</v>
      </c>
      <c r="J26" s="138"/>
      <c r="K26" s="218"/>
    </row>
    <row r="27" spans="1:11" x14ac:dyDescent="0.25">
      <c r="A27" s="91">
        <v>46141</v>
      </c>
      <c r="B27" s="82" t="s">
        <v>9</v>
      </c>
      <c r="C27" s="124" t="s">
        <v>251</v>
      </c>
      <c r="D27" s="82">
        <v>380</v>
      </c>
      <c r="E27" s="82"/>
      <c r="F27" s="82">
        <v>35.840000000000003</v>
      </c>
      <c r="G27" s="82"/>
      <c r="H27" s="123">
        <v>294825</v>
      </c>
      <c r="I27" s="90" t="s">
        <v>15</v>
      </c>
      <c r="J27" s="138"/>
      <c r="K27" s="218"/>
    </row>
    <row r="28" spans="1:11" x14ac:dyDescent="0.25">
      <c r="A28" s="91">
        <v>46142</v>
      </c>
      <c r="B28" s="82" t="s">
        <v>251</v>
      </c>
      <c r="C28" s="124" t="s">
        <v>118</v>
      </c>
      <c r="D28" s="82">
        <v>180</v>
      </c>
      <c r="E28" s="82"/>
      <c r="F28" s="82"/>
      <c r="G28" s="82"/>
      <c r="H28" s="128" t="s">
        <v>66</v>
      </c>
      <c r="I28" s="90"/>
      <c r="J28" s="138"/>
      <c r="K28" s="218"/>
    </row>
    <row r="29" spans="1:11" x14ac:dyDescent="0.25">
      <c r="A29" s="91"/>
      <c r="B29" s="82"/>
      <c r="C29" s="124"/>
      <c r="D29" s="151" t="s">
        <v>451</v>
      </c>
      <c r="E29" s="82"/>
      <c r="F29" s="82"/>
      <c r="G29" s="82"/>
      <c r="H29" s="128"/>
      <c r="I29" s="90"/>
      <c r="J29" s="138"/>
      <c r="K29" s="218"/>
    </row>
    <row r="30" spans="1:11" x14ac:dyDescent="0.25">
      <c r="A30" s="5"/>
      <c r="B30" s="6"/>
      <c r="C30" s="6"/>
      <c r="D30" s="6"/>
      <c r="E30" s="6"/>
      <c r="F30" s="6"/>
      <c r="G30" s="6"/>
      <c r="H30" s="7"/>
      <c r="I30" s="7"/>
      <c r="J30" s="140"/>
      <c r="K30" s="218"/>
    </row>
    <row r="31" spans="1:11" x14ac:dyDescent="0.25">
      <c r="D31" s="17">
        <f>SUM(D3:D30)</f>
        <v>10810</v>
      </c>
      <c r="E31" s="13"/>
      <c r="F31" s="13">
        <f>AVERAGE(F3:F29)</f>
        <v>35.840000000000003</v>
      </c>
      <c r="G31" s="13">
        <f>AVERAGE(G3:G29)</f>
        <v>35.730000000000004</v>
      </c>
      <c r="J31" s="139">
        <f>SUM(J3:J30)</f>
        <v>0</v>
      </c>
      <c r="K31" s="219">
        <f>SUM(K3:K30)</f>
        <v>2881961.25</v>
      </c>
    </row>
    <row r="33" spans="2:11" x14ac:dyDescent="0.25">
      <c r="B33">
        <v>-20000</v>
      </c>
      <c r="C33" s="11"/>
      <c r="D33" s="11"/>
      <c r="E33" s="11"/>
      <c r="F33" s="11"/>
      <c r="G33" s="11"/>
      <c r="K33" s="4"/>
    </row>
    <row r="34" spans="2:11" x14ac:dyDescent="0.25">
      <c r="B34" s="89">
        <v>-1000</v>
      </c>
      <c r="C34" s="11" t="s">
        <v>190</v>
      </c>
      <c r="D34" s="11">
        <v>45866</v>
      </c>
      <c r="H34" s="4"/>
    </row>
    <row r="35" spans="2:11" x14ac:dyDescent="0.25">
      <c r="B35" s="89"/>
      <c r="C35" s="11"/>
      <c r="D35" s="11"/>
      <c r="H35" s="4"/>
    </row>
    <row r="36" spans="2:11" x14ac:dyDescent="0.25">
      <c r="B36" s="89"/>
      <c r="C36" s="11"/>
      <c r="D36" s="11"/>
      <c r="H36" s="4"/>
    </row>
    <row r="37" spans="2:11" x14ac:dyDescent="0.25">
      <c r="B37" s="89"/>
      <c r="C37" s="11"/>
      <c r="D37" s="11"/>
      <c r="H37" s="4"/>
    </row>
    <row r="38" spans="2:11" x14ac:dyDescent="0.25">
      <c r="B38" s="89"/>
      <c r="C38" s="11"/>
      <c r="D38" s="11"/>
      <c r="H38" s="4"/>
    </row>
    <row r="39" spans="2:11" x14ac:dyDescent="0.25">
      <c r="B39" s="89"/>
      <c r="C39" s="11"/>
      <c r="D39" s="11"/>
      <c r="H39" s="4"/>
    </row>
    <row r="40" spans="2:11" x14ac:dyDescent="0.25">
      <c r="B40" s="135">
        <f>SUM(B33:B39)</f>
        <v>-21000</v>
      </c>
      <c r="C40" s="11">
        <v>45866</v>
      </c>
      <c r="D40" s="11"/>
      <c r="E40" s="4"/>
      <c r="K40" s="4"/>
    </row>
    <row r="41" spans="2:11" x14ac:dyDescent="0.25">
      <c r="B41" s="11"/>
      <c r="D41" s="11"/>
      <c r="F41" s="11"/>
      <c r="G41" s="11"/>
      <c r="I41" s="173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C45" s="11"/>
      <c r="I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D57" s="11"/>
      <c r="E57" s="11"/>
      <c r="F57" s="11"/>
      <c r="G57" s="11"/>
      <c r="K57" s="4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  <row r="80" spans="2:7" x14ac:dyDescent="0.25">
      <c r="B80" s="11"/>
      <c r="E80" s="11"/>
      <c r="F80" s="11"/>
      <c r="G80" s="11"/>
    </row>
  </sheetData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4B6C-A586-492A-8F28-F5A6764B9C04}">
  <dimension ref="A1:K68"/>
  <sheetViews>
    <sheetView zoomScale="110" zoomScaleNormal="110" workbookViewId="0">
      <selection activeCell="K7" sqref="K7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/>
      <c r="B3" s="82"/>
      <c r="C3" s="124"/>
      <c r="D3" s="151" t="s">
        <v>426</v>
      </c>
      <c r="E3" s="151" t="s">
        <v>427</v>
      </c>
      <c r="F3" s="82"/>
      <c r="G3" s="82"/>
      <c r="H3" s="83"/>
      <c r="I3" s="90"/>
      <c r="J3" s="138"/>
      <c r="K3" s="218"/>
    </row>
    <row r="4" spans="1:11" x14ac:dyDescent="0.25">
      <c r="A4" s="91">
        <v>46125</v>
      </c>
      <c r="B4" s="82" t="s">
        <v>9</v>
      </c>
      <c r="C4" s="124" t="s">
        <v>351</v>
      </c>
      <c r="D4" s="82">
        <v>1030</v>
      </c>
      <c r="E4" s="82"/>
      <c r="F4" s="82">
        <v>36.04</v>
      </c>
      <c r="G4" s="82"/>
      <c r="H4" s="90">
        <v>619532</v>
      </c>
      <c r="I4" s="90" t="s">
        <v>257</v>
      </c>
      <c r="J4" s="138"/>
      <c r="K4" s="218">
        <v>2366960.16</v>
      </c>
    </row>
    <row r="5" spans="1:11" x14ac:dyDescent="0.25">
      <c r="A5" s="91">
        <v>46127</v>
      </c>
      <c r="B5" s="82" t="s">
        <v>351</v>
      </c>
      <c r="C5" s="124" t="s">
        <v>227</v>
      </c>
      <c r="D5" s="82">
        <v>240</v>
      </c>
      <c r="E5" s="82"/>
      <c r="F5" s="82"/>
      <c r="G5" s="82"/>
      <c r="H5" s="83" t="s">
        <v>66</v>
      </c>
      <c r="I5" s="90"/>
      <c r="J5" s="138"/>
      <c r="K5" s="218"/>
    </row>
    <row r="6" spans="1:11" x14ac:dyDescent="0.25">
      <c r="A6" s="91">
        <v>46127</v>
      </c>
      <c r="B6" s="82" t="s">
        <v>296</v>
      </c>
      <c r="C6" s="124" t="s">
        <v>9</v>
      </c>
      <c r="D6" s="82">
        <v>820</v>
      </c>
      <c r="E6" s="82"/>
      <c r="F6" s="82">
        <v>35.5</v>
      </c>
      <c r="G6" s="82"/>
      <c r="H6" s="90">
        <v>189539</v>
      </c>
      <c r="I6" s="90" t="s">
        <v>304</v>
      </c>
      <c r="J6" s="138"/>
      <c r="K6" s="218">
        <v>992006.18</v>
      </c>
    </row>
    <row r="7" spans="1:11" x14ac:dyDescent="0.25">
      <c r="A7" s="91">
        <v>46129</v>
      </c>
      <c r="B7" s="82" t="s">
        <v>9</v>
      </c>
      <c r="C7" s="124" t="s">
        <v>351</v>
      </c>
      <c r="D7" s="82">
        <v>1030</v>
      </c>
      <c r="E7" s="82"/>
      <c r="F7" s="82"/>
      <c r="G7" s="82"/>
      <c r="H7" s="90">
        <v>619895</v>
      </c>
      <c r="I7" s="90" t="s">
        <v>257</v>
      </c>
      <c r="J7" s="138"/>
      <c r="K7" s="218"/>
    </row>
    <row r="8" spans="1:11" x14ac:dyDescent="0.25">
      <c r="A8" s="91">
        <v>46131</v>
      </c>
      <c r="B8" s="82" t="s">
        <v>351</v>
      </c>
      <c r="C8" s="124" t="s">
        <v>227</v>
      </c>
      <c r="D8" s="82">
        <v>240</v>
      </c>
      <c r="E8" s="82"/>
      <c r="F8" s="82"/>
      <c r="G8" s="82"/>
      <c r="H8" s="83" t="s">
        <v>66</v>
      </c>
      <c r="I8" s="90"/>
      <c r="J8" s="138"/>
      <c r="K8" s="218"/>
    </row>
    <row r="9" spans="1:11" x14ac:dyDescent="0.25">
      <c r="A9" s="91">
        <v>46132</v>
      </c>
      <c r="B9" s="82" t="s">
        <v>296</v>
      </c>
      <c r="C9" s="124" t="s">
        <v>9</v>
      </c>
      <c r="D9" s="82">
        <v>820</v>
      </c>
      <c r="E9" s="82"/>
      <c r="F9" s="82">
        <v>35.299999999999997</v>
      </c>
      <c r="G9" s="82"/>
      <c r="H9" s="90">
        <v>189672</v>
      </c>
      <c r="I9" s="90" t="s">
        <v>304</v>
      </c>
      <c r="J9" s="138"/>
      <c r="K9" s="218"/>
    </row>
    <row r="10" spans="1:11" x14ac:dyDescent="0.25">
      <c r="A10" s="91">
        <v>46134</v>
      </c>
      <c r="B10" s="82" t="s">
        <v>9</v>
      </c>
      <c r="C10" s="124" t="s">
        <v>300</v>
      </c>
      <c r="D10" s="82">
        <v>430</v>
      </c>
      <c r="E10" s="82"/>
      <c r="F10" s="82">
        <v>35.9</v>
      </c>
      <c r="G10" s="82"/>
      <c r="H10" s="90">
        <v>294323</v>
      </c>
      <c r="I10" s="90" t="s">
        <v>15</v>
      </c>
      <c r="J10" s="138"/>
      <c r="K10" s="218"/>
    </row>
    <row r="11" spans="1:11" x14ac:dyDescent="0.25">
      <c r="A11" s="91">
        <v>46135</v>
      </c>
      <c r="B11" s="82" t="s">
        <v>300</v>
      </c>
      <c r="C11" s="124" t="s">
        <v>118</v>
      </c>
      <c r="D11" s="82">
        <v>100</v>
      </c>
      <c r="E11" s="82"/>
      <c r="F11" s="82"/>
      <c r="G11" s="82"/>
      <c r="H11" s="83" t="s">
        <v>66</v>
      </c>
      <c r="I11" s="90"/>
      <c r="J11" s="138"/>
      <c r="K11" s="218"/>
    </row>
    <row r="12" spans="1:11" x14ac:dyDescent="0.25">
      <c r="A12" s="91">
        <v>46136</v>
      </c>
      <c r="B12" s="82" t="s">
        <v>118</v>
      </c>
      <c r="C12" s="124" t="s">
        <v>385</v>
      </c>
      <c r="D12" s="82">
        <v>1560</v>
      </c>
      <c r="E12" s="82"/>
      <c r="F12" s="82"/>
      <c r="G12" s="82"/>
      <c r="H12" s="90">
        <v>122665</v>
      </c>
      <c r="I12" s="90" t="s">
        <v>386</v>
      </c>
      <c r="J12" s="138"/>
      <c r="K12" s="218"/>
    </row>
    <row r="13" spans="1:11" x14ac:dyDescent="0.25">
      <c r="A13" s="91">
        <v>46139</v>
      </c>
      <c r="B13" s="124" t="s">
        <v>385</v>
      </c>
      <c r="C13" s="124" t="s">
        <v>227</v>
      </c>
      <c r="D13" s="82">
        <v>270</v>
      </c>
      <c r="E13" s="82"/>
      <c r="F13" s="82"/>
      <c r="G13" s="82"/>
      <c r="H13" s="83" t="s">
        <v>66</v>
      </c>
      <c r="I13" s="90"/>
      <c r="J13" s="138"/>
      <c r="K13" s="218"/>
    </row>
    <row r="14" spans="1:11" x14ac:dyDescent="0.25">
      <c r="A14" s="91">
        <v>46139</v>
      </c>
      <c r="B14" s="82" t="s">
        <v>296</v>
      </c>
      <c r="C14" s="124" t="s">
        <v>9</v>
      </c>
      <c r="D14" s="82">
        <v>820</v>
      </c>
      <c r="E14" s="82"/>
      <c r="F14" s="82">
        <v>35.4</v>
      </c>
      <c r="G14" s="82"/>
      <c r="H14" s="90">
        <v>189976</v>
      </c>
      <c r="I14" s="90" t="s">
        <v>304</v>
      </c>
      <c r="J14" s="138"/>
      <c r="K14" s="218"/>
    </row>
    <row r="15" spans="1:11" x14ac:dyDescent="0.25">
      <c r="A15" s="91">
        <v>46141</v>
      </c>
      <c r="B15" s="82" t="s">
        <v>9</v>
      </c>
      <c r="C15" s="124" t="s">
        <v>351</v>
      </c>
      <c r="D15" s="82">
        <v>1030</v>
      </c>
      <c r="E15" s="82"/>
      <c r="F15" s="82"/>
      <c r="G15" s="82"/>
      <c r="H15" s="90" t="s">
        <v>252</v>
      </c>
      <c r="I15" s="90" t="s">
        <v>257</v>
      </c>
      <c r="J15" s="276" t="s">
        <v>374</v>
      </c>
      <c r="K15" s="218"/>
    </row>
    <row r="16" spans="1:11" x14ac:dyDescent="0.25">
      <c r="A16" s="91">
        <v>46142</v>
      </c>
      <c r="B16" s="82" t="s">
        <v>351</v>
      </c>
      <c r="C16" s="124" t="s">
        <v>227</v>
      </c>
      <c r="D16" s="82">
        <v>240</v>
      </c>
      <c r="E16" s="82"/>
      <c r="F16" s="82"/>
      <c r="G16" s="82"/>
      <c r="H16" s="83" t="s">
        <v>66</v>
      </c>
      <c r="I16" s="90"/>
      <c r="J16" s="276"/>
      <c r="K16" s="218"/>
    </row>
    <row r="17" spans="1:11" x14ac:dyDescent="0.25">
      <c r="A17" s="91"/>
      <c r="B17" s="82"/>
      <c r="C17" s="124"/>
      <c r="D17" s="151" t="s">
        <v>486</v>
      </c>
      <c r="E17" s="82"/>
      <c r="F17" s="82"/>
      <c r="G17" s="82"/>
      <c r="H17" s="83"/>
      <c r="I17" s="90"/>
      <c r="J17" s="138"/>
      <c r="K17" s="218"/>
    </row>
    <row r="18" spans="1:11" x14ac:dyDescent="0.25">
      <c r="A18" s="5"/>
      <c r="B18" s="6"/>
      <c r="C18" s="6"/>
      <c r="D18" s="6"/>
      <c r="E18" s="6"/>
      <c r="F18" s="6"/>
      <c r="G18" s="6"/>
      <c r="H18" s="7"/>
      <c r="I18" s="7"/>
      <c r="J18" s="140"/>
      <c r="K18" s="218"/>
    </row>
    <row r="19" spans="1:11" x14ac:dyDescent="0.25">
      <c r="D19" s="17">
        <f>SUM(D3:D18)</f>
        <v>8630</v>
      </c>
      <c r="E19" s="13"/>
      <c r="F19" s="13">
        <f>AVERAGE(F3:F17)</f>
        <v>35.628</v>
      </c>
      <c r="G19" s="13" t="e">
        <f>AVERAGE(G3:G17)</f>
        <v>#DIV/0!</v>
      </c>
      <c r="J19" s="139">
        <f>SUM(J3:J18)</f>
        <v>0</v>
      </c>
      <c r="K19" s="219">
        <f>SUM(K3:K18)</f>
        <v>3358966.3400000003</v>
      </c>
    </row>
    <row r="21" spans="1:11" x14ac:dyDescent="0.25">
      <c r="B21">
        <v>-20000</v>
      </c>
      <c r="C21" s="11"/>
      <c r="D21" s="11"/>
      <c r="E21" s="11"/>
      <c r="F21" s="11"/>
      <c r="G21" s="11"/>
      <c r="K21" s="4"/>
    </row>
    <row r="22" spans="1:11" x14ac:dyDescent="0.25">
      <c r="B22" s="89">
        <v>-1000</v>
      </c>
      <c r="C22" s="11" t="s">
        <v>190</v>
      </c>
      <c r="D22" s="11">
        <v>46055</v>
      </c>
      <c r="H22" s="4"/>
    </row>
    <row r="23" spans="1:11" x14ac:dyDescent="0.25">
      <c r="B23" s="89"/>
      <c r="C23" s="11"/>
      <c r="D23" s="11"/>
      <c r="H23" s="4"/>
    </row>
    <row r="24" spans="1:11" x14ac:dyDescent="0.25">
      <c r="B24" s="89"/>
      <c r="C24" s="11"/>
      <c r="D24" s="11"/>
      <c r="H24" s="4"/>
    </row>
    <row r="25" spans="1:11" x14ac:dyDescent="0.25">
      <c r="B25" s="89"/>
      <c r="C25" s="11"/>
      <c r="D25" s="11"/>
      <c r="H25" s="4"/>
    </row>
    <row r="26" spans="1:11" x14ac:dyDescent="0.25">
      <c r="B26" s="89"/>
      <c r="C26" s="11"/>
      <c r="D26" s="11"/>
      <c r="H26" s="4"/>
    </row>
    <row r="27" spans="1:11" x14ac:dyDescent="0.25">
      <c r="B27" s="89"/>
      <c r="C27" s="11"/>
      <c r="D27" s="11"/>
      <c r="H27" s="4"/>
    </row>
    <row r="28" spans="1:11" x14ac:dyDescent="0.25">
      <c r="B28" s="135">
        <f>SUM(B21:B27)</f>
        <v>-21000</v>
      </c>
      <c r="C28" s="11">
        <v>45866</v>
      </c>
      <c r="D28" s="11"/>
      <c r="E28" s="4"/>
      <c r="K28" s="4"/>
    </row>
    <row r="29" spans="1:11" x14ac:dyDescent="0.25">
      <c r="B29" s="11"/>
      <c r="D29" s="11"/>
      <c r="F29" s="11"/>
      <c r="G29" s="11"/>
      <c r="I29" s="173"/>
      <c r="K29" s="4"/>
    </row>
    <row r="30" spans="1:11" x14ac:dyDescent="0.25">
      <c r="B30" s="11"/>
      <c r="E30" s="11"/>
      <c r="F30" s="11"/>
      <c r="G30" s="11"/>
      <c r="K30" s="4"/>
    </row>
    <row r="31" spans="1:11" x14ac:dyDescent="0.25">
      <c r="B31" s="11"/>
      <c r="K31" s="4"/>
    </row>
    <row r="32" spans="1:11" x14ac:dyDescent="0.25">
      <c r="B32" s="11"/>
      <c r="E32" s="11"/>
      <c r="F32" s="11"/>
      <c r="G32" s="11"/>
      <c r="K32" s="4"/>
    </row>
    <row r="33" spans="2:11" x14ac:dyDescent="0.25">
      <c r="B33" s="11"/>
      <c r="C33" s="11"/>
      <c r="I33" s="4"/>
    </row>
    <row r="34" spans="2:11" x14ac:dyDescent="0.25">
      <c r="B34" s="11"/>
      <c r="E34" s="11"/>
      <c r="F34" s="11"/>
      <c r="G34" s="11"/>
      <c r="K34" s="4"/>
    </row>
    <row r="35" spans="2:11" x14ac:dyDescent="0.25">
      <c r="B35" s="11"/>
      <c r="E35" s="11"/>
      <c r="F35" s="11"/>
      <c r="G35" s="11"/>
      <c r="K35" s="4"/>
    </row>
    <row r="36" spans="2:11" x14ac:dyDescent="0.25">
      <c r="B36" s="11"/>
      <c r="E36" s="11"/>
      <c r="F36" s="11"/>
      <c r="G36" s="11"/>
      <c r="K36" s="4"/>
    </row>
    <row r="37" spans="2:11" x14ac:dyDescent="0.25">
      <c r="B37" s="11"/>
      <c r="E37" s="11"/>
      <c r="F37" s="11"/>
      <c r="G37" s="11"/>
      <c r="K37" s="4"/>
    </row>
    <row r="38" spans="2:11" x14ac:dyDescent="0.25">
      <c r="B38" s="11"/>
      <c r="E38" s="11"/>
      <c r="F38" s="11"/>
      <c r="G38" s="11"/>
      <c r="K38" s="4"/>
    </row>
    <row r="39" spans="2:11" x14ac:dyDescent="0.25">
      <c r="B39" s="11"/>
      <c r="E39" s="11"/>
      <c r="F39" s="11"/>
      <c r="G39" s="11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E41" s="11"/>
      <c r="F41" s="11"/>
      <c r="G41" s="11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D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</row>
    <row r="47" spans="2:11" x14ac:dyDescent="0.25">
      <c r="B47" s="11"/>
      <c r="E47" s="11"/>
      <c r="F47" s="11"/>
      <c r="G47" s="11"/>
    </row>
    <row r="48" spans="2:11" x14ac:dyDescent="0.25">
      <c r="B48" s="11"/>
      <c r="E48" s="11"/>
      <c r="F48" s="11"/>
      <c r="G48" s="11"/>
    </row>
    <row r="49" spans="2:7" x14ac:dyDescent="0.25">
      <c r="B49" s="11"/>
      <c r="E49" s="11"/>
      <c r="F49" s="11"/>
      <c r="G49" s="11"/>
    </row>
    <row r="50" spans="2:7" x14ac:dyDescent="0.25">
      <c r="B50" s="11"/>
      <c r="E50" s="11"/>
      <c r="F50" s="11"/>
      <c r="G50" s="11"/>
    </row>
    <row r="51" spans="2:7" x14ac:dyDescent="0.25">
      <c r="B51" s="11"/>
      <c r="E51" s="11"/>
      <c r="F51" s="11"/>
      <c r="G51" s="11"/>
    </row>
    <row r="52" spans="2:7" x14ac:dyDescent="0.25">
      <c r="B52" s="11"/>
      <c r="E52" s="11"/>
      <c r="F52" s="11"/>
      <c r="G52" s="11"/>
    </row>
    <row r="53" spans="2:7" x14ac:dyDescent="0.25">
      <c r="B53" s="11"/>
      <c r="E53" s="11"/>
      <c r="F53" s="11"/>
      <c r="G53" s="11"/>
    </row>
    <row r="54" spans="2:7" x14ac:dyDescent="0.25">
      <c r="B54" s="11"/>
      <c r="E54" s="11"/>
      <c r="F54" s="11"/>
      <c r="G54" s="11"/>
    </row>
    <row r="55" spans="2:7" x14ac:dyDescent="0.25">
      <c r="B55" s="11"/>
      <c r="E55" s="11"/>
      <c r="F55" s="11"/>
      <c r="G55" s="11"/>
    </row>
    <row r="56" spans="2:7" x14ac:dyDescent="0.25">
      <c r="B56" s="11"/>
      <c r="E56" s="11"/>
      <c r="F56" s="11"/>
      <c r="G56" s="11"/>
    </row>
    <row r="57" spans="2:7" x14ac:dyDescent="0.25">
      <c r="B57" s="11"/>
      <c r="E57" s="11"/>
      <c r="F57" s="11"/>
      <c r="G57" s="11"/>
    </row>
    <row r="58" spans="2:7" x14ac:dyDescent="0.25">
      <c r="B58" s="11"/>
      <c r="E58" s="11"/>
      <c r="F58" s="11"/>
      <c r="G58" s="11"/>
    </row>
    <row r="59" spans="2:7" x14ac:dyDescent="0.25">
      <c r="B59" s="11"/>
      <c r="E59" s="11"/>
      <c r="F59" s="11"/>
      <c r="G59" s="11"/>
    </row>
    <row r="60" spans="2:7" x14ac:dyDescent="0.25">
      <c r="B60" s="11"/>
      <c r="E60" s="11"/>
      <c r="F60" s="11"/>
      <c r="G60" s="11"/>
    </row>
    <row r="61" spans="2:7" x14ac:dyDescent="0.25">
      <c r="B61" s="11"/>
      <c r="E61" s="11"/>
      <c r="F61" s="11"/>
      <c r="G61" s="11"/>
    </row>
    <row r="62" spans="2:7" x14ac:dyDescent="0.25">
      <c r="B62" s="11"/>
      <c r="E62" s="11"/>
      <c r="F62" s="11"/>
      <c r="G62" s="11"/>
    </row>
    <row r="63" spans="2:7" x14ac:dyDescent="0.25">
      <c r="B63" s="11"/>
      <c r="E63" s="11"/>
      <c r="F63" s="11"/>
      <c r="G63" s="11"/>
    </row>
    <row r="64" spans="2:7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</sheetData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492B-FFAC-4D38-AC74-928438BB424E}">
  <dimension ref="A1:K73"/>
  <sheetViews>
    <sheetView zoomScale="110" zoomScaleNormal="110" workbookViewId="0">
      <selection activeCell="K8" sqref="K8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328</v>
      </c>
      <c r="C3" s="124" t="s">
        <v>300</v>
      </c>
      <c r="D3" s="82">
        <v>420</v>
      </c>
      <c r="E3" s="82"/>
      <c r="F3" s="82"/>
      <c r="G3" s="82">
        <v>36.6</v>
      </c>
      <c r="H3" s="123">
        <v>618936</v>
      </c>
      <c r="I3" s="90" t="s">
        <v>257</v>
      </c>
      <c r="J3" s="278" t="s">
        <v>374</v>
      </c>
      <c r="K3" s="218"/>
    </row>
    <row r="4" spans="1:11" x14ac:dyDescent="0.25">
      <c r="A4" s="91">
        <v>46116</v>
      </c>
      <c r="B4" s="227" t="s">
        <v>300</v>
      </c>
      <c r="C4" s="124" t="s">
        <v>118</v>
      </c>
      <c r="D4" s="82">
        <v>85</v>
      </c>
      <c r="E4" s="82"/>
      <c r="F4" s="82"/>
      <c r="G4" s="82"/>
      <c r="H4" s="128" t="s">
        <v>66</v>
      </c>
      <c r="I4" s="90"/>
      <c r="J4" s="278"/>
      <c r="K4" s="218"/>
    </row>
    <row r="5" spans="1:11" x14ac:dyDescent="0.25">
      <c r="A5" s="91">
        <v>46116</v>
      </c>
      <c r="B5" s="82" t="s">
        <v>118</v>
      </c>
      <c r="C5" s="124" t="s">
        <v>385</v>
      </c>
      <c r="D5" s="82">
        <v>1560</v>
      </c>
      <c r="E5" s="82"/>
      <c r="F5" s="82"/>
      <c r="G5" s="82"/>
      <c r="H5" s="90">
        <v>81365</v>
      </c>
      <c r="I5" s="90" t="s">
        <v>386</v>
      </c>
      <c r="J5" s="278"/>
      <c r="K5" s="218"/>
    </row>
    <row r="6" spans="1:11" x14ac:dyDescent="0.25">
      <c r="A6" s="91">
        <v>46119</v>
      </c>
      <c r="B6" s="124" t="s">
        <v>385</v>
      </c>
      <c r="C6" s="124" t="s">
        <v>227</v>
      </c>
      <c r="D6" s="82">
        <v>270</v>
      </c>
      <c r="E6" s="82"/>
      <c r="F6" s="82"/>
      <c r="G6" s="82"/>
      <c r="H6" s="83" t="s">
        <v>66</v>
      </c>
      <c r="I6" s="90"/>
      <c r="J6" s="278"/>
      <c r="K6" s="218"/>
    </row>
    <row r="7" spans="1:11" x14ac:dyDescent="0.25">
      <c r="A7" s="91">
        <v>46120</v>
      </c>
      <c r="B7" s="82" t="s">
        <v>296</v>
      </c>
      <c r="C7" s="124" t="s">
        <v>9</v>
      </c>
      <c r="D7" s="82">
        <v>820</v>
      </c>
      <c r="E7" s="82"/>
      <c r="F7" s="82"/>
      <c r="G7" s="82">
        <v>35.700000000000003</v>
      </c>
      <c r="H7" s="90">
        <v>189319</v>
      </c>
      <c r="I7" s="90" t="s">
        <v>304</v>
      </c>
      <c r="J7" s="278"/>
      <c r="K7" s="218">
        <v>1563002.31</v>
      </c>
    </row>
    <row r="8" spans="1:11" x14ac:dyDescent="0.25">
      <c r="A8" s="91">
        <v>46122</v>
      </c>
      <c r="B8" s="82" t="s">
        <v>9</v>
      </c>
      <c r="C8" s="124" t="s">
        <v>300</v>
      </c>
      <c r="D8" s="82">
        <v>420</v>
      </c>
      <c r="E8" s="82"/>
      <c r="F8" s="82"/>
      <c r="G8" s="82">
        <v>36.799999999999997</v>
      </c>
      <c r="H8" s="123">
        <v>619373</v>
      </c>
      <c r="I8" s="90" t="s">
        <v>257</v>
      </c>
      <c r="J8" s="278"/>
      <c r="K8" s="218"/>
    </row>
    <row r="9" spans="1:11" x14ac:dyDescent="0.25">
      <c r="A9" s="91">
        <v>46125</v>
      </c>
      <c r="B9" s="227" t="s">
        <v>300</v>
      </c>
      <c r="C9" s="124" t="s">
        <v>118</v>
      </c>
      <c r="D9" s="82">
        <v>85</v>
      </c>
      <c r="E9" s="82"/>
      <c r="F9" s="82"/>
      <c r="G9" s="82"/>
      <c r="H9" s="128" t="s">
        <v>66</v>
      </c>
      <c r="I9" s="90"/>
      <c r="J9" s="278"/>
      <c r="K9" s="218"/>
    </row>
    <row r="10" spans="1:11" x14ac:dyDescent="0.25">
      <c r="A10" s="91">
        <v>46125</v>
      </c>
      <c r="B10" s="82" t="s">
        <v>118</v>
      </c>
      <c r="C10" s="124" t="s">
        <v>385</v>
      </c>
      <c r="D10" s="82">
        <v>1560</v>
      </c>
      <c r="E10" s="82"/>
      <c r="F10" s="82"/>
      <c r="G10" s="82"/>
      <c r="H10" s="90">
        <v>120810</v>
      </c>
      <c r="I10" s="90" t="s">
        <v>386</v>
      </c>
      <c r="J10" s="278"/>
      <c r="K10" s="218"/>
    </row>
    <row r="11" spans="1:11" x14ac:dyDescent="0.25">
      <c r="A11" s="91">
        <v>46127</v>
      </c>
      <c r="B11" s="124" t="s">
        <v>385</v>
      </c>
      <c r="C11" s="124" t="s">
        <v>227</v>
      </c>
      <c r="D11" s="82">
        <v>270</v>
      </c>
      <c r="E11" s="82"/>
      <c r="F11" s="82"/>
      <c r="G11" s="82"/>
      <c r="H11" s="83" t="s">
        <v>66</v>
      </c>
      <c r="I11" s="90"/>
      <c r="J11" s="278"/>
      <c r="K11" s="218"/>
    </row>
    <row r="12" spans="1:11" x14ac:dyDescent="0.25">
      <c r="A12" s="91">
        <v>46128</v>
      </c>
      <c r="B12" s="82" t="s">
        <v>296</v>
      </c>
      <c r="C12" s="124" t="s">
        <v>9</v>
      </c>
      <c r="D12" s="82">
        <v>820</v>
      </c>
      <c r="E12" s="82"/>
      <c r="F12" s="82"/>
      <c r="G12" s="82">
        <v>35.4</v>
      </c>
      <c r="H12" s="90">
        <v>189558</v>
      </c>
      <c r="I12" s="90" t="s">
        <v>304</v>
      </c>
      <c r="J12" s="278"/>
      <c r="K12" s="218"/>
    </row>
    <row r="13" spans="1:11" x14ac:dyDescent="0.25">
      <c r="A13" s="91">
        <v>46130</v>
      </c>
      <c r="B13" s="82" t="s">
        <v>9</v>
      </c>
      <c r="C13" s="124" t="s">
        <v>326</v>
      </c>
      <c r="D13" s="82">
        <v>380</v>
      </c>
      <c r="E13" s="82"/>
      <c r="F13" s="82"/>
      <c r="G13" s="82"/>
      <c r="H13" s="90">
        <v>2702680</v>
      </c>
      <c r="I13" s="90" t="s">
        <v>327</v>
      </c>
      <c r="J13" s="278"/>
      <c r="K13" s="218"/>
    </row>
    <row r="14" spans="1:11" x14ac:dyDescent="0.25">
      <c r="A14" s="91">
        <v>46132</v>
      </c>
      <c r="B14" s="82" t="s">
        <v>326</v>
      </c>
      <c r="C14" s="124" t="s">
        <v>118</v>
      </c>
      <c r="D14" s="82">
        <v>180</v>
      </c>
      <c r="E14" s="82"/>
      <c r="F14" s="82"/>
      <c r="G14" s="82"/>
      <c r="H14" s="128" t="s">
        <v>66</v>
      </c>
      <c r="I14" s="90"/>
      <c r="J14" s="278"/>
      <c r="K14" s="218"/>
    </row>
    <row r="15" spans="1:11" x14ac:dyDescent="0.25">
      <c r="A15" s="91">
        <v>46132</v>
      </c>
      <c r="B15" s="82" t="s">
        <v>118</v>
      </c>
      <c r="C15" s="124" t="s">
        <v>146</v>
      </c>
      <c r="D15" s="82">
        <v>1430</v>
      </c>
      <c r="E15" s="82"/>
      <c r="F15" s="82"/>
      <c r="G15" s="82"/>
      <c r="H15" s="123">
        <v>121959</v>
      </c>
      <c r="I15" s="90" t="s">
        <v>362</v>
      </c>
      <c r="J15" s="278"/>
      <c r="K15" s="218"/>
    </row>
    <row r="16" spans="1:11" x14ac:dyDescent="0.25">
      <c r="A16" s="91">
        <v>46134</v>
      </c>
      <c r="B16" s="82" t="s">
        <v>146</v>
      </c>
      <c r="C16" s="124" t="s">
        <v>227</v>
      </c>
      <c r="D16" s="82">
        <v>160</v>
      </c>
      <c r="E16" s="82"/>
      <c r="F16" s="82"/>
      <c r="G16" s="82"/>
      <c r="H16" s="83" t="s">
        <v>66</v>
      </c>
      <c r="I16" s="90"/>
      <c r="J16" s="278"/>
      <c r="K16" s="218"/>
    </row>
    <row r="17" spans="1:11" x14ac:dyDescent="0.25">
      <c r="A17" s="91">
        <v>46134</v>
      </c>
      <c r="B17" s="82" t="s">
        <v>296</v>
      </c>
      <c r="C17" s="124" t="s">
        <v>9</v>
      </c>
      <c r="D17" s="82">
        <v>820</v>
      </c>
      <c r="E17" s="82"/>
      <c r="F17" s="82"/>
      <c r="G17" s="82">
        <v>36.299999999999997</v>
      </c>
      <c r="H17" s="90">
        <v>189818</v>
      </c>
      <c r="I17" s="90" t="s">
        <v>304</v>
      </c>
      <c r="J17" s="278"/>
      <c r="K17" s="218"/>
    </row>
    <row r="18" spans="1:11" x14ac:dyDescent="0.25">
      <c r="A18" s="91">
        <v>46136</v>
      </c>
      <c r="B18" s="82" t="s">
        <v>9</v>
      </c>
      <c r="C18" s="124" t="s">
        <v>300</v>
      </c>
      <c r="D18" s="82">
        <v>430</v>
      </c>
      <c r="E18" s="82"/>
      <c r="F18" s="82"/>
      <c r="G18" s="82">
        <v>35.380000000000003</v>
      </c>
      <c r="H18" s="90">
        <v>294496</v>
      </c>
      <c r="I18" s="90" t="s">
        <v>15</v>
      </c>
      <c r="J18" s="276" t="s">
        <v>163</v>
      </c>
      <c r="K18" s="218"/>
    </row>
    <row r="19" spans="1:11" x14ac:dyDescent="0.25">
      <c r="A19" s="91">
        <v>46139</v>
      </c>
      <c r="B19" s="227" t="s">
        <v>300</v>
      </c>
      <c r="C19" s="124" t="s">
        <v>118</v>
      </c>
      <c r="D19" s="82">
        <v>100</v>
      </c>
      <c r="E19" s="82"/>
      <c r="F19" s="82"/>
      <c r="G19" s="82"/>
      <c r="H19" s="128" t="s">
        <v>66</v>
      </c>
      <c r="I19" s="90"/>
      <c r="J19" s="276"/>
      <c r="K19" s="218"/>
    </row>
    <row r="20" spans="1:11" x14ac:dyDescent="0.25">
      <c r="A20" s="91">
        <v>46139</v>
      </c>
      <c r="B20" s="82" t="s">
        <v>118</v>
      </c>
      <c r="C20" s="124" t="s">
        <v>385</v>
      </c>
      <c r="D20" s="82">
        <v>1560</v>
      </c>
      <c r="E20" s="82"/>
      <c r="F20" s="82"/>
      <c r="G20" s="82"/>
      <c r="H20" s="90">
        <v>81576</v>
      </c>
      <c r="I20" s="90" t="s">
        <v>386</v>
      </c>
      <c r="J20" s="276"/>
      <c r="K20" s="218"/>
    </row>
    <row r="21" spans="1:11" x14ac:dyDescent="0.25">
      <c r="A21" s="91">
        <v>46142</v>
      </c>
      <c r="B21" s="124" t="s">
        <v>385</v>
      </c>
      <c r="C21" s="124" t="s">
        <v>9</v>
      </c>
      <c r="D21" s="82">
        <v>1070</v>
      </c>
      <c r="E21" s="82"/>
      <c r="F21" s="82"/>
      <c r="G21" s="82"/>
      <c r="H21" s="83" t="s">
        <v>66</v>
      </c>
      <c r="I21" s="90"/>
      <c r="J21" s="276"/>
      <c r="K21" s="218"/>
    </row>
    <row r="22" spans="1:11" x14ac:dyDescent="0.25">
      <c r="A22" s="91"/>
      <c r="B22" s="82"/>
      <c r="C22" s="124"/>
      <c r="D22" s="151" t="s">
        <v>487</v>
      </c>
      <c r="E22" s="82"/>
      <c r="F22" s="82"/>
      <c r="G22" s="82"/>
      <c r="H22" s="128"/>
      <c r="I22" s="90"/>
      <c r="J22" s="138"/>
      <c r="K22" s="218"/>
    </row>
    <row r="23" spans="1:11" x14ac:dyDescent="0.25">
      <c r="A23" s="5"/>
      <c r="B23" s="6"/>
      <c r="C23" s="6"/>
      <c r="D23" s="6"/>
      <c r="E23" s="6"/>
      <c r="F23" s="6"/>
      <c r="G23" s="6"/>
      <c r="H23" s="7"/>
      <c r="I23" s="7"/>
      <c r="J23" s="140"/>
      <c r="K23" s="218"/>
    </row>
    <row r="24" spans="1:11" x14ac:dyDescent="0.25">
      <c r="D24" s="17">
        <f>SUM(D3:D23)</f>
        <v>12440</v>
      </c>
      <c r="E24" s="13"/>
      <c r="F24" s="13" t="e">
        <f>AVERAGE(F3:F22)</f>
        <v>#DIV/0!</v>
      </c>
      <c r="G24" s="13">
        <f>AVERAGE(G3:G22)</f>
        <v>36.03</v>
      </c>
      <c r="J24" s="139">
        <f>SUM(J3:J23)</f>
        <v>0</v>
      </c>
      <c r="K24" s="219">
        <f>SUM(K3:K23)</f>
        <v>1563002.31</v>
      </c>
    </row>
    <row r="26" spans="1:11" x14ac:dyDescent="0.25">
      <c r="B26">
        <v>-20000</v>
      </c>
      <c r="C26" s="11"/>
      <c r="D26" s="11"/>
      <c r="E26" s="11"/>
      <c r="F26" s="11"/>
      <c r="G26" s="11"/>
      <c r="K26" s="4"/>
    </row>
    <row r="27" spans="1:11" x14ac:dyDescent="0.25">
      <c r="B27" s="89"/>
      <c r="C27" s="11"/>
      <c r="D27" s="11"/>
      <c r="H27" s="4"/>
    </row>
    <row r="28" spans="1:11" x14ac:dyDescent="0.25">
      <c r="B28" s="89"/>
      <c r="C28" s="11"/>
      <c r="D28" s="11"/>
      <c r="H28" s="4"/>
    </row>
    <row r="29" spans="1:11" x14ac:dyDescent="0.25">
      <c r="B29" s="89"/>
      <c r="C29" s="11"/>
      <c r="D29" s="11"/>
      <c r="H29" s="4"/>
    </row>
    <row r="30" spans="1:11" x14ac:dyDescent="0.25">
      <c r="B30" s="89"/>
      <c r="C30" s="11"/>
      <c r="D30" s="11"/>
      <c r="H30" s="4"/>
    </row>
    <row r="31" spans="1:11" x14ac:dyDescent="0.25">
      <c r="B31" s="89"/>
      <c r="C31" s="11"/>
      <c r="D31" s="11"/>
      <c r="H31" s="4"/>
    </row>
    <row r="32" spans="1:11" x14ac:dyDescent="0.25">
      <c r="B32" s="89"/>
      <c r="C32" s="11"/>
      <c r="D32" s="11"/>
      <c r="H32" s="4"/>
    </row>
    <row r="33" spans="2:11" x14ac:dyDescent="0.25">
      <c r="B33" s="135">
        <f>SUM(B26:B32)</f>
        <v>-20000</v>
      </c>
      <c r="C33" s="11"/>
      <c r="D33" s="11"/>
      <c r="E33" s="4"/>
      <c r="K33" s="4"/>
    </row>
    <row r="34" spans="2:11" x14ac:dyDescent="0.25">
      <c r="B34" s="11"/>
      <c r="D34" s="11"/>
      <c r="F34" s="11"/>
      <c r="G34" s="11"/>
      <c r="I34" s="173"/>
      <c r="K34" s="4"/>
    </row>
    <row r="35" spans="2:11" x14ac:dyDescent="0.25">
      <c r="B35" s="11"/>
      <c r="E35" s="11"/>
      <c r="F35" s="11"/>
      <c r="G35" s="11"/>
      <c r="K35" s="4"/>
    </row>
    <row r="36" spans="2:11" x14ac:dyDescent="0.25">
      <c r="B36" s="11"/>
      <c r="K36" s="4"/>
    </row>
    <row r="37" spans="2:11" x14ac:dyDescent="0.25">
      <c r="B37" s="11"/>
      <c r="E37" s="11"/>
      <c r="F37" s="11"/>
      <c r="G37" s="11"/>
      <c r="K37" s="4"/>
    </row>
    <row r="38" spans="2:11" x14ac:dyDescent="0.25">
      <c r="B38" s="11"/>
      <c r="C38" s="11"/>
      <c r="I38" s="4"/>
    </row>
    <row r="39" spans="2:11" x14ac:dyDescent="0.25">
      <c r="B39" s="11"/>
      <c r="E39" s="11"/>
      <c r="F39" s="11"/>
      <c r="G39" s="11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E41" s="11"/>
      <c r="F41" s="11"/>
      <c r="G41" s="11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D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</row>
    <row r="52" spans="2:11" x14ac:dyDescent="0.25">
      <c r="B52" s="11"/>
      <c r="E52" s="11"/>
      <c r="F52" s="11"/>
      <c r="G52" s="11"/>
    </row>
    <row r="53" spans="2:11" x14ac:dyDescent="0.25">
      <c r="B53" s="11"/>
      <c r="E53" s="11"/>
      <c r="F53" s="11"/>
      <c r="G53" s="11"/>
    </row>
    <row r="54" spans="2:11" x14ac:dyDescent="0.25">
      <c r="B54" s="11"/>
      <c r="E54" s="11"/>
      <c r="F54" s="11"/>
      <c r="G54" s="11"/>
    </row>
    <row r="55" spans="2:11" x14ac:dyDescent="0.25">
      <c r="B55" s="11"/>
      <c r="E55" s="11"/>
      <c r="F55" s="11"/>
      <c r="G55" s="11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</sheetData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EB16-AF73-4A86-8746-09072040DC50}">
  <dimension ref="A1:K81"/>
  <sheetViews>
    <sheetView topLeftCell="A7" zoomScale="110" zoomScaleNormal="110" workbookViewId="0">
      <selection activeCell="K12" sqref="K12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/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358</v>
      </c>
      <c r="C3" s="124" t="s">
        <v>9</v>
      </c>
      <c r="D3" s="82">
        <v>970</v>
      </c>
      <c r="E3" s="82"/>
      <c r="F3" s="82"/>
      <c r="G3" s="82"/>
      <c r="H3" s="83" t="s">
        <v>66</v>
      </c>
      <c r="I3" s="90"/>
      <c r="J3" s="138"/>
      <c r="K3" s="218"/>
    </row>
    <row r="4" spans="1:11" x14ac:dyDescent="0.25">
      <c r="A4" s="91">
        <v>46116</v>
      </c>
      <c r="B4" s="227" t="s">
        <v>9</v>
      </c>
      <c r="C4" s="124" t="s">
        <v>300</v>
      </c>
      <c r="D4" s="82">
        <v>420</v>
      </c>
      <c r="E4" s="82"/>
      <c r="F4" s="82">
        <v>34.94</v>
      </c>
      <c r="G4" s="82"/>
      <c r="H4" s="123">
        <v>618988</v>
      </c>
      <c r="I4" s="90" t="s">
        <v>257</v>
      </c>
      <c r="J4" s="138"/>
      <c r="K4" s="218"/>
    </row>
    <row r="5" spans="1:11" x14ac:dyDescent="0.25">
      <c r="A5" s="91">
        <v>46118</v>
      </c>
      <c r="B5" s="82" t="s">
        <v>300</v>
      </c>
      <c r="C5" s="124" t="s">
        <v>229</v>
      </c>
      <c r="D5" s="82">
        <v>150</v>
      </c>
      <c r="E5" s="82"/>
      <c r="F5" s="82"/>
      <c r="G5" s="82"/>
      <c r="H5" s="83" t="s">
        <v>66</v>
      </c>
      <c r="I5" s="90"/>
      <c r="J5" s="138"/>
      <c r="K5" s="218"/>
    </row>
    <row r="6" spans="1:11" x14ac:dyDescent="0.25">
      <c r="A6" s="91">
        <v>46118</v>
      </c>
      <c r="B6" s="82" t="s">
        <v>229</v>
      </c>
      <c r="C6" s="124" t="s">
        <v>10</v>
      </c>
      <c r="D6" s="82">
        <v>10</v>
      </c>
      <c r="E6" s="82"/>
      <c r="F6" s="82"/>
      <c r="G6" s="82"/>
      <c r="H6" s="90">
        <v>1063440</v>
      </c>
      <c r="I6" s="90" t="s">
        <v>360</v>
      </c>
      <c r="J6" s="138"/>
      <c r="K6" s="218"/>
    </row>
    <row r="7" spans="1:11" x14ac:dyDescent="0.25">
      <c r="A7" s="91">
        <v>46118</v>
      </c>
      <c r="B7" s="82" t="s">
        <v>10</v>
      </c>
      <c r="C7" s="124" t="s">
        <v>229</v>
      </c>
      <c r="D7" s="82">
        <v>10</v>
      </c>
      <c r="E7" s="82"/>
      <c r="F7" s="82"/>
      <c r="G7" s="82"/>
      <c r="H7" s="128" t="s">
        <v>66</v>
      </c>
      <c r="I7" s="90"/>
      <c r="J7" s="138"/>
      <c r="K7" s="218"/>
    </row>
    <row r="8" spans="1:11" x14ac:dyDescent="0.25">
      <c r="A8" s="91">
        <v>46118</v>
      </c>
      <c r="B8" s="82" t="s">
        <v>229</v>
      </c>
      <c r="C8" s="124" t="s">
        <v>10</v>
      </c>
      <c r="D8" s="82">
        <v>10</v>
      </c>
      <c r="E8" s="82"/>
      <c r="F8" s="82"/>
      <c r="G8" s="82"/>
      <c r="H8" s="123">
        <v>1063515</v>
      </c>
      <c r="I8" s="90" t="s">
        <v>360</v>
      </c>
      <c r="J8" s="138"/>
      <c r="K8" s="218"/>
    </row>
    <row r="9" spans="1:11" x14ac:dyDescent="0.25">
      <c r="A9" s="91">
        <v>46119</v>
      </c>
      <c r="B9" s="82" t="s">
        <v>10</v>
      </c>
      <c r="C9" s="124" t="s">
        <v>229</v>
      </c>
      <c r="D9" s="82">
        <v>10</v>
      </c>
      <c r="E9" s="82"/>
      <c r="F9" s="82"/>
      <c r="G9" s="82"/>
      <c r="H9" s="128" t="s">
        <v>66</v>
      </c>
      <c r="I9" s="90"/>
      <c r="J9" s="138"/>
      <c r="K9" s="218"/>
    </row>
    <row r="10" spans="1:11" x14ac:dyDescent="0.25">
      <c r="A10" s="91">
        <v>46119</v>
      </c>
      <c r="B10" s="82" t="s">
        <v>229</v>
      </c>
      <c r="C10" s="124" t="s">
        <v>9</v>
      </c>
      <c r="D10" s="82">
        <v>500</v>
      </c>
      <c r="E10" s="82"/>
      <c r="F10" s="82">
        <v>35.340000000000003</v>
      </c>
      <c r="G10" s="82"/>
      <c r="H10" s="123">
        <v>1063616</v>
      </c>
      <c r="I10" s="90" t="s">
        <v>368</v>
      </c>
      <c r="J10" s="138"/>
      <c r="K10" s="218"/>
    </row>
    <row r="11" spans="1:11" x14ac:dyDescent="0.25">
      <c r="A11" s="91">
        <v>46120</v>
      </c>
      <c r="B11" s="227" t="s">
        <v>9</v>
      </c>
      <c r="C11" s="124" t="s">
        <v>396</v>
      </c>
      <c r="D11" s="82">
        <v>350</v>
      </c>
      <c r="E11" s="82"/>
      <c r="F11" s="82"/>
      <c r="G11" s="82"/>
      <c r="H11" s="123">
        <v>619285</v>
      </c>
      <c r="I11" s="90"/>
      <c r="J11" s="138"/>
      <c r="K11" s="218">
        <v>1017135.16</v>
      </c>
    </row>
    <row r="12" spans="1:11" x14ac:dyDescent="0.25">
      <c r="A12" s="91">
        <v>46121</v>
      </c>
      <c r="B12" s="82" t="s">
        <v>396</v>
      </c>
      <c r="C12" s="124" t="s">
        <v>9</v>
      </c>
      <c r="D12" s="82">
        <v>350</v>
      </c>
      <c r="E12" s="82"/>
      <c r="F12" s="82"/>
      <c r="G12" s="82"/>
      <c r="H12" s="128" t="s">
        <v>66</v>
      </c>
      <c r="I12" s="90"/>
      <c r="J12" s="138"/>
      <c r="K12" s="218"/>
    </row>
    <row r="13" spans="1:11" x14ac:dyDescent="0.25">
      <c r="A13" s="91">
        <v>46122</v>
      </c>
      <c r="B13" s="227" t="s">
        <v>9</v>
      </c>
      <c r="C13" s="124" t="s">
        <v>300</v>
      </c>
      <c r="D13" s="82">
        <v>420</v>
      </c>
      <c r="E13" s="82"/>
      <c r="F13" s="82">
        <v>34.97</v>
      </c>
      <c r="G13" s="82"/>
      <c r="H13" s="123">
        <v>619378</v>
      </c>
      <c r="I13" s="90" t="s">
        <v>257</v>
      </c>
      <c r="J13" s="138"/>
      <c r="K13" s="218"/>
    </row>
    <row r="14" spans="1:11" x14ac:dyDescent="0.25">
      <c r="A14" s="91">
        <v>46125</v>
      </c>
      <c r="B14" s="82" t="s">
        <v>300</v>
      </c>
      <c r="C14" s="124" t="s">
        <v>229</v>
      </c>
      <c r="D14" s="82">
        <v>150</v>
      </c>
      <c r="E14" s="82"/>
      <c r="F14" s="82"/>
      <c r="G14" s="82"/>
      <c r="H14" s="83" t="s">
        <v>66</v>
      </c>
      <c r="I14" s="90"/>
      <c r="J14" s="138"/>
      <c r="K14" s="218"/>
    </row>
    <row r="15" spans="1:11" x14ac:dyDescent="0.25">
      <c r="A15" s="91">
        <v>46125</v>
      </c>
      <c r="B15" s="82" t="s">
        <v>229</v>
      </c>
      <c r="C15" s="124" t="s">
        <v>9</v>
      </c>
      <c r="D15" s="82">
        <v>500</v>
      </c>
      <c r="E15" s="82"/>
      <c r="F15" s="82">
        <v>34.61</v>
      </c>
      <c r="G15" s="82"/>
      <c r="H15" s="123">
        <v>1064809</v>
      </c>
      <c r="I15" s="90" t="s">
        <v>368</v>
      </c>
      <c r="J15" s="138"/>
      <c r="K15" s="218"/>
    </row>
    <row r="16" spans="1:11" x14ac:dyDescent="0.25">
      <c r="A16" s="91">
        <v>46126</v>
      </c>
      <c r="B16" s="82" t="s">
        <v>9</v>
      </c>
      <c r="C16" s="124" t="s">
        <v>438</v>
      </c>
      <c r="D16" s="82">
        <v>320</v>
      </c>
      <c r="E16" s="82"/>
      <c r="F16" s="82"/>
      <c r="G16" s="82"/>
      <c r="H16" s="123">
        <v>766271</v>
      </c>
      <c r="I16" s="90"/>
      <c r="J16" s="138"/>
      <c r="K16" s="218"/>
    </row>
    <row r="17" spans="1:11" x14ac:dyDescent="0.25">
      <c r="A17" s="91">
        <v>46127</v>
      </c>
      <c r="B17" s="82" t="s">
        <v>438</v>
      </c>
      <c r="C17" s="124" t="s">
        <v>220</v>
      </c>
      <c r="D17" s="82">
        <v>100</v>
      </c>
      <c r="E17" s="82"/>
      <c r="F17" s="82"/>
      <c r="G17" s="82"/>
      <c r="H17" s="128" t="s">
        <v>66</v>
      </c>
      <c r="I17" s="90"/>
      <c r="J17" s="138"/>
      <c r="K17" s="218"/>
    </row>
    <row r="18" spans="1:11" x14ac:dyDescent="0.25">
      <c r="A18" s="91">
        <v>46127</v>
      </c>
      <c r="B18" s="82" t="s">
        <v>220</v>
      </c>
      <c r="C18" s="124" t="s">
        <v>75</v>
      </c>
      <c r="D18" s="82">
        <v>340</v>
      </c>
      <c r="E18" s="82"/>
      <c r="F18" s="82"/>
      <c r="G18" s="82"/>
      <c r="H18" s="123">
        <v>896370</v>
      </c>
      <c r="I18" s="90"/>
      <c r="J18" s="138"/>
      <c r="K18" s="218"/>
    </row>
    <row r="19" spans="1:11" x14ac:dyDescent="0.25">
      <c r="A19" s="91">
        <v>46128</v>
      </c>
      <c r="B19" s="82" t="s">
        <v>75</v>
      </c>
      <c r="C19" s="124" t="s">
        <v>9</v>
      </c>
      <c r="D19" s="82">
        <v>550</v>
      </c>
      <c r="E19" s="82"/>
      <c r="F19" s="82"/>
      <c r="G19" s="82"/>
      <c r="H19" s="123" t="s">
        <v>439</v>
      </c>
      <c r="I19" s="90"/>
      <c r="J19" s="138"/>
      <c r="K19" s="218"/>
    </row>
    <row r="20" spans="1:11" x14ac:dyDescent="0.25">
      <c r="A20" s="91">
        <v>46129</v>
      </c>
      <c r="B20" s="82" t="s">
        <v>9</v>
      </c>
      <c r="C20" s="124" t="s">
        <v>351</v>
      </c>
      <c r="D20" s="82">
        <v>1030</v>
      </c>
      <c r="E20" s="82"/>
      <c r="F20" s="82">
        <v>34.78</v>
      </c>
      <c r="G20" s="82"/>
      <c r="H20" s="90">
        <v>619863</v>
      </c>
      <c r="I20" s="90" t="s">
        <v>257</v>
      </c>
      <c r="J20" s="138"/>
      <c r="K20" s="218"/>
    </row>
    <row r="21" spans="1:11" x14ac:dyDescent="0.25">
      <c r="A21" s="91">
        <v>46132</v>
      </c>
      <c r="B21" s="82" t="s">
        <v>351</v>
      </c>
      <c r="C21" s="124" t="s">
        <v>227</v>
      </c>
      <c r="D21" s="82">
        <v>240</v>
      </c>
      <c r="E21" s="82"/>
      <c r="F21" s="82"/>
      <c r="G21" s="82"/>
      <c r="H21" s="83" t="s">
        <v>66</v>
      </c>
      <c r="I21" s="90"/>
      <c r="J21" s="138"/>
      <c r="K21" s="218"/>
    </row>
    <row r="22" spans="1:11" x14ac:dyDescent="0.25">
      <c r="A22" s="91">
        <v>46132</v>
      </c>
      <c r="B22" s="82" t="s">
        <v>296</v>
      </c>
      <c r="C22" s="124" t="s">
        <v>9</v>
      </c>
      <c r="D22" s="82">
        <v>820</v>
      </c>
      <c r="E22" s="82"/>
      <c r="F22" s="82">
        <v>33.700000000000003</v>
      </c>
      <c r="G22" s="82"/>
      <c r="H22" s="90">
        <v>189778</v>
      </c>
      <c r="I22" s="90" t="s">
        <v>304</v>
      </c>
      <c r="J22" s="138"/>
      <c r="K22" s="218"/>
    </row>
    <row r="23" spans="1:11" x14ac:dyDescent="0.25">
      <c r="A23" s="91">
        <v>46135</v>
      </c>
      <c r="B23" s="227" t="s">
        <v>9</v>
      </c>
      <c r="C23" s="124" t="s">
        <v>300</v>
      </c>
      <c r="D23" s="82">
        <v>430</v>
      </c>
      <c r="E23" s="82"/>
      <c r="F23" s="82"/>
      <c r="G23" s="82"/>
      <c r="H23" s="123">
        <v>294353</v>
      </c>
      <c r="I23" s="90" t="s">
        <v>498</v>
      </c>
      <c r="J23" s="138"/>
      <c r="K23" s="218"/>
    </row>
    <row r="24" spans="1:11" x14ac:dyDescent="0.25">
      <c r="A24" s="91">
        <v>46136</v>
      </c>
      <c r="B24" s="227" t="s">
        <v>300</v>
      </c>
      <c r="C24" s="124" t="s">
        <v>118</v>
      </c>
      <c r="D24" s="82">
        <v>100</v>
      </c>
      <c r="E24" s="82"/>
      <c r="F24" s="82"/>
      <c r="G24" s="82"/>
      <c r="H24" s="128" t="s">
        <v>66</v>
      </c>
      <c r="I24" s="90"/>
      <c r="J24" s="138"/>
      <c r="K24" s="218"/>
    </row>
    <row r="25" spans="1:11" x14ac:dyDescent="0.25">
      <c r="A25" s="91">
        <v>46136</v>
      </c>
      <c r="B25" s="82" t="s">
        <v>118</v>
      </c>
      <c r="C25" s="124" t="s">
        <v>385</v>
      </c>
      <c r="D25" s="82">
        <v>1560</v>
      </c>
      <c r="E25" s="82"/>
      <c r="F25" s="82"/>
      <c r="G25" s="82"/>
      <c r="H25" s="90">
        <v>122781</v>
      </c>
      <c r="I25" s="90" t="s">
        <v>386</v>
      </c>
      <c r="J25" s="138"/>
      <c r="K25" s="218"/>
    </row>
    <row r="26" spans="1:11" x14ac:dyDescent="0.25">
      <c r="A26" s="91">
        <v>46139</v>
      </c>
      <c r="B26" s="124" t="s">
        <v>385</v>
      </c>
      <c r="C26" s="124" t="s">
        <v>227</v>
      </c>
      <c r="D26" s="82">
        <v>270</v>
      </c>
      <c r="E26" s="82"/>
      <c r="F26" s="82"/>
      <c r="G26" s="82"/>
      <c r="H26" s="83" t="s">
        <v>66</v>
      </c>
      <c r="I26" s="90"/>
      <c r="J26" s="138"/>
      <c r="K26" s="218"/>
    </row>
    <row r="27" spans="1:11" x14ac:dyDescent="0.25">
      <c r="A27" s="91">
        <v>46139</v>
      </c>
      <c r="B27" s="82" t="s">
        <v>296</v>
      </c>
      <c r="C27" s="124" t="s">
        <v>9</v>
      </c>
      <c r="D27" s="82">
        <v>820</v>
      </c>
      <c r="E27" s="82"/>
      <c r="F27" s="82">
        <v>34.4</v>
      </c>
      <c r="G27" s="82"/>
      <c r="H27" s="90">
        <v>189968</v>
      </c>
      <c r="I27" s="90" t="s">
        <v>304</v>
      </c>
      <c r="J27" s="138"/>
      <c r="K27" s="218"/>
    </row>
    <row r="28" spans="1:11" x14ac:dyDescent="0.25">
      <c r="A28" s="91">
        <v>46141</v>
      </c>
      <c r="B28" s="82" t="s">
        <v>9</v>
      </c>
      <c r="C28" s="124" t="s">
        <v>351</v>
      </c>
      <c r="D28" s="82">
        <v>1030</v>
      </c>
      <c r="E28" s="82"/>
      <c r="F28" s="82"/>
      <c r="G28" s="82"/>
      <c r="H28" s="90">
        <v>620528</v>
      </c>
      <c r="I28" s="90" t="s">
        <v>257</v>
      </c>
      <c r="J28" s="138"/>
      <c r="K28" s="218"/>
    </row>
    <row r="29" spans="1:11" x14ac:dyDescent="0.25">
      <c r="A29" s="91">
        <v>46142</v>
      </c>
      <c r="B29" s="82" t="s">
        <v>351</v>
      </c>
      <c r="C29" s="124" t="s">
        <v>227</v>
      </c>
      <c r="D29" s="82">
        <v>240</v>
      </c>
      <c r="E29" s="82"/>
      <c r="F29" s="82"/>
      <c r="G29" s="82"/>
      <c r="H29" s="83" t="s">
        <v>66</v>
      </c>
      <c r="I29" s="90"/>
      <c r="J29" s="138"/>
      <c r="K29" s="218"/>
    </row>
    <row r="30" spans="1:11" x14ac:dyDescent="0.25">
      <c r="A30" s="91"/>
      <c r="B30" s="82"/>
      <c r="C30" s="124"/>
      <c r="D30" s="151"/>
      <c r="E30" s="82"/>
      <c r="F30" s="82"/>
      <c r="G30" s="82"/>
      <c r="H30" s="128"/>
      <c r="I30" s="90"/>
      <c r="J30" s="138"/>
      <c r="K30" s="218"/>
    </row>
    <row r="31" spans="1:11" x14ac:dyDescent="0.25">
      <c r="A31" s="5"/>
      <c r="B31" s="6"/>
      <c r="C31" s="6"/>
      <c r="D31" s="6"/>
      <c r="E31" s="6"/>
      <c r="F31" s="6"/>
      <c r="G31" s="6"/>
      <c r="H31" s="7"/>
      <c r="I31" s="7"/>
      <c r="J31" s="140"/>
      <c r="K31" s="218"/>
    </row>
    <row r="32" spans="1:11" x14ac:dyDescent="0.25">
      <c r="D32" s="17">
        <f>SUM(D3:D31)</f>
        <v>11700</v>
      </c>
      <c r="E32" s="13"/>
      <c r="F32" s="13">
        <f>AVERAGE(F3:F30)</f>
        <v>34.677142857142861</v>
      </c>
      <c r="G32" s="13" t="e">
        <f>AVERAGE(G3:G30)</f>
        <v>#DIV/0!</v>
      </c>
      <c r="J32" s="139">
        <f>SUM(J3:J31)</f>
        <v>0</v>
      </c>
      <c r="K32" s="219">
        <f>SUM(K3:K31)</f>
        <v>1017135.16</v>
      </c>
    </row>
    <row r="34" spans="2:11" x14ac:dyDescent="0.25">
      <c r="B34">
        <v>-20000</v>
      </c>
      <c r="C34" s="11"/>
      <c r="D34" s="11"/>
      <c r="E34" s="11"/>
      <c r="F34" s="11"/>
      <c r="G34" s="11"/>
      <c r="K34" s="4"/>
    </row>
    <row r="35" spans="2:11" x14ac:dyDescent="0.25">
      <c r="B35" s="89"/>
      <c r="C35" s="11"/>
      <c r="D35" s="11"/>
      <c r="H35" s="4"/>
    </row>
    <row r="36" spans="2:11" x14ac:dyDescent="0.25">
      <c r="B36" s="89"/>
      <c r="C36" s="11"/>
      <c r="D36" s="11"/>
      <c r="H36" s="4"/>
    </row>
    <row r="37" spans="2:11" x14ac:dyDescent="0.25">
      <c r="B37" s="89"/>
      <c r="C37" s="11"/>
      <c r="D37" s="11"/>
      <c r="H37" s="4"/>
    </row>
    <row r="38" spans="2:11" x14ac:dyDescent="0.25">
      <c r="B38" s="89"/>
      <c r="C38" s="11"/>
      <c r="D38" s="11"/>
      <c r="H38" s="4"/>
    </row>
    <row r="39" spans="2:11" x14ac:dyDescent="0.25">
      <c r="B39" s="89"/>
      <c r="C39" s="11"/>
      <c r="D39" s="11"/>
      <c r="H39" s="4"/>
    </row>
    <row r="40" spans="2:11" x14ac:dyDescent="0.25">
      <c r="B40" s="89"/>
      <c r="C40" s="11"/>
      <c r="D40" s="11"/>
      <c r="H40" s="4"/>
    </row>
    <row r="41" spans="2:11" x14ac:dyDescent="0.25">
      <c r="B41" s="135">
        <f>SUM(B34:B40)</f>
        <v>-20000</v>
      </c>
      <c r="C41" s="11"/>
      <c r="D41" s="11"/>
      <c r="E41" s="4"/>
      <c r="K41" s="4"/>
    </row>
    <row r="42" spans="2:11" x14ac:dyDescent="0.25">
      <c r="B42" s="11"/>
      <c r="D42" s="11"/>
      <c r="F42" s="11"/>
      <c r="G42" s="11"/>
      <c r="I42" s="173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C46" s="11"/>
      <c r="I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  <c r="K56" s="4"/>
    </row>
    <row r="57" spans="2:11" x14ac:dyDescent="0.25">
      <c r="B57" s="11"/>
      <c r="E57" s="11"/>
      <c r="F57" s="11"/>
      <c r="G57" s="11"/>
      <c r="K57" s="4"/>
    </row>
    <row r="58" spans="2:11" x14ac:dyDescent="0.25">
      <c r="B58" s="11"/>
      <c r="D58" s="11"/>
      <c r="E58" s="11"/>
      <c r="F58" s="11"/>
      <c r="G58" s="11"/>
      <c r="K58" s="4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  <row r="79" spans="2:7" x14ac:dyDescent="0.25">
      <c r="B79" s="11"/>
      <c r="E79" s="11"/>
      <c r="F79" s="11"/>
      <c r="G79" s="11"/>
    </row>
    <row r="80" spans="2:7" x14ac:dyDescent="0.25">
      <c r="B80" s="11"/>
      <c r="E80" s="11"/>
      <c r="F80" s="11"/>
      <c r="G80" s="11"/>
    </row>
    <row r="81" spans="2:7" x14ac:dyDescent="0.25">
      <c r="B81" s="11"/>
      <c r="E81" s="11"/>
      <c r="F81" s="11"/>
      <c r="G81" s="11"/>
    </row>
  </sheetData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1F64-6458-4AF6-84A4-E9B2621E1AB7}">
  <dimension ref="A1:K78"/>
  <sheetViews>
    <sheetView zoomScale="110" zoomScaleNormal="110" workbookViewId="0">
      <selection activeCell="K10" sqref="K10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46113</v>
      </c>
      <c r="B3" s="82" t="s">
        <v>118</v>
      </c>
      <c r="C3" s="124" t="s">
        <v>146</v>
      </c>
      <c r="D3" s="82">
        <v>1430</v>
      </c>
      <c r="E3" s="82"/>
      <c r="F3" s="82"/>
      <c r="G3" s="82"/>
      <c r="H3" s="123">
        <v>80713</v>
      </c>
      <c r="I3" s="90" t="s">
        <v>147</v>
      </c>
      <c r="J3" s="138"/>
      <c r="K3" s="218"/>
    </row>
    <row r="4" spans="1:11" x14ac:dyDescent="0.25">
      <c r="A4" s="91">
        <v>46116</v>
      </c>
      <c r="B4" s="82" t="s">
        <v>146</v>
      </c>
      <c r="C4" s="124" t="s">
        <v>9</v>
      </c>
      <c r="D4" s="82">
        <v>940</v>
      </c>
      <c r="E4" s="82"/>
      <c r="F4" s="82"/>
      <c r="G4" s="82"/>
      <c r="H4" s="83" t="s">
        <v>66</v>
      </c>
      <c r="I4" s="90"/>
      <c r="J4" s="138"/>
      <c r="K4" s="218"/>
    </row>
    <row r="5" spans="1:11" x14ac:dyDescent="0.25">
      <c r="A5" s="91">
        <v>46118</v>
      </c>
      <c r="B5" s="82" t="s">
        <v>9</v>
      </c>
      <c r="C5" s="124" t="s">
        <v>389</v>
      </c>
      <c r="D5" s="82">
        <v>320</v>
      </c>
      <c r="E5" s="82"/>
      <c r="F5" s="82"/>
      <c r="G5" s="82"/>
      <c r="H5" s="123">
        <v>764968</v>
      </c>
      <c r="I5" s="90"/>
      <c r="J5" s="138"/>
      <c r="K5" s="218">
        <v>843834.1</v>
      </c>
    </row>
    <row r="6" spans="1:11" x14ac:dyDescent="0.25">
      <c r="A6" s="91">
        <v>46119</v>
      </c>
      <c r="B6" s="82" t="s">
        <v>389</v>
      </c>
      <c r="C6" s="124" t="s">
        <v>9</v>
      </c>
      <c r="D6" s="82">
        <v>320</v>
      </c>
      <c r="E6" s="82"/>
      <c r="F6" s="82"/>
      <c r="G6" s="82"/>
      <c r="H6" s="128" t="s">
        <v>66</v>
      </c>
      <c r="I6" s="90"/>
      <c r="J6" s="138"/>
      <c r="K6" s="218"/>
    </row>
    <row r="7" spans="1:11" x14ac:dyDescent="0.25">
      <c r="A7" s="91">
        <v>46120</v>
      </c>
      <c r="B7" s="227" t="s">
        <v>9</v>
      </c>
      <c r="C7" s="124" t="s">
        <v>300</v>
      </c>
      <c r="D7" s="82">
        <v>420</v>
      </c>
      <c r="E7" s="82"/>
      <c r="F7" s="82">
        <v>34.71</v>
      </c>
      <c r="G7" s="82"/>
      <c r="H7" s="123">
        <v>619196</v>
      </c>
      <c r="I7" s="90" t="s">
        <v>257</v>
      </c>
      <c r="J7" s="138"/>
      <c r="K7" s="218"/>
    </row>
    <row r="8" spans="1:11" x14ac:dyDescent="0.25">
      <c r="A8" s="91">
        <v>46121</v>
      </c>
      <c r="B8" s="227" t="s">
        <v>300</v>
      </c>
      <c r="C8" s="82" t="s">
        <v>357</v>
      </c>
      <c r="D8" s="82">
        <v>10</v>
      </c>
      <c r="E8" s="82"/>
      <c r="F8" s="82"/>
      <c r="G8" s="82"/>
      <c r="H8" s="128" t="s">
        <v>66</v>
      </c>
      <c r="I8" s="90"/>
      <c r="J8" s="138"/>
      <c r="K8" s="218"/>
    </row>
    <row r="9" spans="1:11" x14ac:dyDescent="0.25">
      <c r="A9" s="91">
        <v>46122</v>
      </c>
      <c r="B9" s="82" t="s">
        <v>357</v>
      </c>
      <c r="C9" s="124" t="s">
        <v>356</v>
      </c>
      <c r="D9" s="82">
        <v>990</v>
      </c>
      <c r="E9" s="82"/>
      <c r="F9" s="82">
        <v>34.72</v>
      </c>
      <c r="G9" s="82"/>
      <c r="H9" s="90">
        <v>153128</v>
      </c>
      <c r="I9" s="90" t="s">
        <v>357</v>
      </c>
      <c r="J9" s="138"/>
      <c r="K9" s="218">
        <v>1701794.55</v>
      </c>
    </row>
    <row r="10" spans="1:11" x14ac:dyDescent="0.25">
      <c r="A10" s="91">
        <v>46123</v>
      </c>
      <c r="B10" s="82" t="s">
        <v>356</v>
      </c>
      <c r="C10" s="124" t="s">
        <v>340</v>
      </c>
      <c r="D10" s="82">
        <v>380</v>
      </c>
      <c r="E10" s="82"/>
      <c r="F10" s="82"/>
      <c r="G10" s="82"/>
      <c r="H10" s="90">
        <v>503728</v>
      </c>
      <c r="I10" s="90"/>
      <c r="J10" s="138"/>
      <c r="K10" s="218">
        <v>1057200.08</v>
      </c>
    </row>
    <row r="11" spans="1:11" x14ac:dyDescent="0.25">
      <c r="A11" s="91">
        <v>46123</v>
      </c>
      <c r="B11" s="227" t="s">
        <v>340</v>
      </c>
      <c r="C11" s="82" t="s">
        <v>337</v>
      </c>
      <c r="D11" s="82">
        <v>60</v>
      </c>
      <c r="E11" s="82"/>
      <c r="F11" s="82"/>
      <c r="G11" s="82"/>
      <c r="H11" s="128" t="s">
        <v>66</v>
      </c>
      <c r="I11" s="90"/>
      <c r="J11" s="138"/>
      <c r="K11" s="218"/>
    </row>
    <row r="12" spans="1:11" x14ac:dyDescent="0.25">
      <c r="A12" s="91">
        <v>46125</v>
      </c>
      <c r="B12" s="227" t="s">
        <v>337</v>
      </c>
      <c r="C12" s="82" t="s">
        <v>75</v>
      </c>
      <c r="D12" s="82">
        <v>430</v>
      </c>
      <c r="E12" s="82"/>
      <c r="F12" s="82">
        <v>34.94</v>
      </c>
      <c r="G12" s="82"/>
      <c r="H12" s="123">
        <v>303446</v>
      </c>
      <c r="I12" s="90" t="s">
        <v>15</v>
      </c>
      <c r="J12" s="138"/>
      <c r="K12" s="218"/>
    </row>
    <row r="13" spans="1:11" x14ac:dyDescent="0.25">
      <c r="A13" s="91">
        <v>46126</v>
      </c>
      <c r="B13" s="82" t="s">
        <v>75</v>
      </c>
      <c r="C13" s="124" t="s">
        <v>10</v>
      </c>
      <c r="D13" s="82">
        <v>80</v>
      </c>
      <c r="E13" s="82"/>
      <c r="F13" s="82"/>
      <c r="G13" s="82"/>
      <c r="H13" s="83" t="s">
        <v>66</v>
      </c>
      <c r="I13" s="90"/>
      <c r="J13" s="138"/>
      <c r="K13" s="218"/>
    </row>
    <row r="14" spans="1:11" x14ac:dyDescent="0.25">
      <c r="A14" s="91">
        <v>46126</v>
      </c>
      <c r="B14" s="82" t="s">
        <v>10</v>
      </c>
      <c r="C14" s="82" t="s">
        <v>9</v>
      </c>
      <c r="D14" s="82">
        <v>500</v>
      </c>
      <c r="E14" s="82"/>
      <c r="F14" s="82">
        <v>35.369999999999997</v>
      </c>
      <c r="G14" s="82"/>
      <c r="H14" s="123">
        <v>1064945</v>
      </c>
      <c r="I14" s="90" t="s">
        <v>368</v>
      </c>
      <c r="J14" s="138"/>
      <c r="K14" s="218"/>
    </row>
    <row r="15" spans="1:11" x14ac:dyDescent="0.25">
      <c r="A15" s="91">
        <v>46128</v>
      </c>
      <c r="B15" s="82" t="s">
        <v>9</v>
      </c>
      <c r="C15" s="124" t="s">
        <v>300</v>
      </c>
      <c r="D15" s="82">
        <v>420</v>
      </c>
      <c r="E15" s="82"/>
      <c r="F15" s="82">
        <v>35.06</v>
      </c>
      <c r="G15" s="82"/>
      <c r="H15" s="123">
        <v>619771</v>
      </c>
      <c r="I15" s="90" t="s">
        <v>257</v>
      </c>
      <c r="J15" s="138"/>
      <c r="K15" s="218"/>
    </row>
    <row r="16" spans="1:11" x14ac:dyDescent="0.25">
      <c r="A16" s="91">
        <v>46129</v>
      </c>
      <c r="B16" s="227" t="s">
        <v>300</v>
      </c>
      <c r="C16" s="124" t="s">
        <v>118</v>
      </c>
      <c r="D16" s="82">
        <v>85</v>
      </c>
      <c r="E16" s="82"/>
      <c r="F16" s="82"/>
      <c r="G16" s="82"/>
      <c r="H16" s="128" t="s">
        <v>66</v>
      </c>
      <c r="I16" s="90"/>
      <c r="J16" s="138"/>
      <c r="K16" s="218"/>
    </row>
    <row r="17" spans="1:11" x14ac:dyDescent="0.25">
      <c r="A17" s="91">
        <v>46129</v>
      </c>
      <c r="B17" s="82" t="s">
        <v>118</v>
      </c>
      <c r="C17" s="124" t="s">
        <v>385</v>
      </c>
      <c r="D17" s="82">
        <v>1470</v>
      </c>
      <c r="E17" s="82"/>
      <c r="F17" s="82"/>
      <c r="G17" s="82"/>
      <c r="H17" s="90">
        <v>121451</v>
      </c>
      <c r="I17" s="215" t="s">
        <v>399</v>
      </c>
      <c r="J17" s="138"/>
      <c r="K17" s="218"/>
    </row>
    <row r="18" spans="1:11" x14ac:dyDescent="0.25">
      <c r="A18" s="91">
        <v>46132</v>
      </c>
      <c r="B18" s="124" t="s">
        <v>385</v>
      </c>
      <c r="C18" s="124" t="s">
        <v>351</v>
      </c>
      <c r="D18" s="82">
        <v>300</v>
      </c>
      <c r="E18" s="82"/>
      <c r="F18" s="82"/>
      <c r="G18" s="82"/>
      <c r="H18" s="83" t="s">
        <v>66</v>
      </c>
      <c r="I18" s="90"/>
      <c r="J18" s="138"/>
      <c r="K18" s="218"/>
    </row>
    <row r="19" spans="1:11" x14ac:dyDescent="0.25">
      <c r="A19" s="91">
        <v>46133</v>
      </c>
      <c r="B19" s="82" t="s">
        <v>351</v>
      </c>
      <c r="C19" s="124" t="s">
        <v>9</v>
      </c>
      <c r="D19" s="82">
        <v>1030</v>
      </c>
      <c r="E19" s="82"/>
      <c r="F19" s="82"/>
      <c r="G19" s="82"/>
      <c r="H19" s="123">
        <v>162561</v>
      </c>
      <c r="I19" s="90" t="s">
        <v>102</v>
      </c>
      <c r="J19" s="138"/>
      <c r="K19" s="218"/>
    </row>
    <row r="20" spans="1:11" x14ac:dyDescent="0.25">
      <c r="A20" s="91">
        <v>46135</v>
      </c>
      <c r="B20" s="82" t="s">
        <v>9</v>
      </c>
      <c r="C20" s="124" t="s">
        <v>351</v>
      </c>
      <c r="D20" s="82">
        <v>1030</v>
      </c>
      <c r="E20" s="82"/>
      <c r="F20" s="82">
        <v>34.4</v>
      </c>
      <c r="G20" s="82"/>
      <c r="H20" s="90">
        <v>620201</v>
      </c>
      <c r="I20" s="90" t="s">
        <v>257</v>
      </c>
      <c r="J20" s="138"/>
      <c r="K20" s="218"/>
    </row>
    <row r="21" spans="1:11" x14ac:dyDescent="0.25">
      <c r="A21" s="91">
        <v>46136</v>
      </c>
      <c r="B21" s="82" t="s">
        <v>351</v>
      </c>
      <c r="C21" s="124" t="s">
        <v>227</v>
      </c>
      <c r="D21" s="82">
        <v>240</v>
      </c>
      <c r="E21" s="82"/>
      <c r="F21" s="82"/>
      <c r="G21" s="82"/>
      <c r="H21" s="83" t="s">
        <v>66</v>
      </c>
      <c r="I21" s="90"/>
      <c r="J21" s="138"/>
      <c r="K21" s="218"/>
    </row>
    <row r="22" spans="1:11" x14ac:dyDescent="0.25">
      <c r="A22" s="91">
        <v>46136</v>
      </c>
      <c r="B22" s="82" t="s">
        <v>296</v>
      </c>
      <c r="C22" s="124" t="s">
        <v>9</v>
      </c>
      <c r="D22" s="82">
        <v>820</v>
      </c>
      <c r="E22" s="82"/>
      <c r="F22" s="82">
        <v>34.200000000000003</v>
      </c>
      <c r="G22" s="82"/>
      <c r="H22" s="90">
        <v>189914</v>
      </c>
      <c r="I22" s="90" t="s">
        <v>304</v>
      </c>
      <c r="J22" s="138"/>
      <c r="K22" s="218"/>
    </row>
    <row r="23" spans="1:11" x14ac:dyDescent="0.25">
      <c r="A23" s="91">
        <v>46139</v>
      </c>
      <c r="B23" s="82" t="s">
        <v>9</v>
      </c>
      <c r="C23" s="124" t="s">
        <v>488</v>
      </c>
      <c r="D23" s="82">
        <v>260</v>
      </c>
      <c r="E23" s="82"/>
      <c r="F23" s="82"/>
      <c r="G23" s="82"/>
      <c r="H23" s="123">
        <v>768378</v>
      </c>
      <c r="I23" s="90"/>
      <c r="J23" s="276" t="s">
        <v>501</v>
      </c>
      <c r="K23" s="218"/>
    </row>
    <row r="24" spans="1:11" x14ac:dyDescent="0.25">
      <c r="A24" s="91">
        <v>46140</v>
      </c>
      <c r="B24" s="82" t="s">
        <v>488</v>
      </c>
      <c r="C24" s="124" t="s">
        <v>9</v>
      </c>
      <c r="D24" s="82">
        <v>260</v>
      </c>
      <c r="E24" s="82"/>
      <c r="F24" s="82"/>
      <c r="G24" s="82"/>
      <c r="H24" s="128" t="s">
        <v>66</v>
      </c>
      <c r="I24" s="90"/>
      <c r="J24" s="276"/>
      <c r="K24" s="218"/>
    </row>
    <row r="25" spans="1:11" x14ac:dyDescent="0.25">
      <c r="A25" s="91">
        <v>46142</v>
      </c>
      <c r="B25" s="82" t="s">
        <v>9</v>
      </c>
      <c r="C25" s="124" t="s">
        <v>428</v>
      </c>
      <c r="D25" s="82">
        <v>390</v>
      </c>
      <c r="E25" s="82"/>
      <c r="F25" s="82"/>
      <c r="G25" s="82"/>
      <c r="H25" s="90" t="s">
        <v>252</v>
      </c>
      <c r="I25" s="90" t="s">
        <v>15</v>
      </c>
      <c r="J25" s="276"/>
      <c r="K25" s="218"/>
    </row>
    <row r="26" spans="1:11" x14ac:dyDescent="0.25">
      <c r="A26" s="91">
        <v>46142</v>
      </c>
      <c r="B26" s="82" t="s">
        <v>428</v>
      </c>
      <c r="C26" s="124" t="s">
        <v>118</v>
      </c>
      <c r="D26" s="82">
        <v>170</v>
      </c>
      <c r="E26" s="82"/>
      <c r="F26" s="82"/>
      <c r="G26" s="82"/>
      <c r="H26" s="83" t="s">
        <v>66</v>
      </c>
      <c r="I26" s="90"/>
      <c r="J26" s="276"/>
      <c r="K26" s="218"/>
    </row>
    <row r="27" spans="1:11" x14ac:dyDescent="0.25">
      <c r="A27" s="91"/>
      <c r="B27" s="82"/>
      <c r="C27" s="124"/>
      <c r="D27" s="151" t="s">
        <v>449</v>
      </c>
      <c r="E27" s="82"/>
      <c r="F27" s="82"/>
      <c r="G27" s="82"/>
      <c r="H27" s="123"/>
      <c r="I27" s="90"/>
      <c r="J27" s="138"/>
      <c r="K27" s="218"/>
    </row>
    <row r="28" spans="1:11" x14ac:dyDescent="0.25">
      <c r="A28" s="5"/>
      <c r="B28" s="6"/>
      <c r="C28" s="6"/>
      <c r="D28" s="6"/>
      <c r="E28" s="6"/>
      <c r="F28" s="6"/>
      <c r="G28" s="6"/>
      <c r="H28" s="7"/>
      <c r="I28" s="7"/>
      <c r="J28" s="140"/>
      <c r="K28" s="218"/>
    </row>
    <row r="29" spans="1:11" x14ac:dyDescent="0.25">
      <c r="D29" s="17">
        <f>SUM(D3:D28)</f>
        <v>12355</v>
      </c>
      <c r="E29" s="13"/>
      <c r="F29" s="13">
        <f>AVERAGE(F3:F27)</f>
        <v>34.771428571428579</v>
      </c>
      <c r="G29" s="13" t="e">
        <f>AVERAGE(G3:G27)</f>
        <v>#DIV/0!</v>
      </c>
      <c r="J29" s="139">
        <f>SUM(J3:J28)</f>
        <v>0</v>
      </c>
      <c r="K29" s="219">
        <f>SUM(K3:K28)</f>
        <v>3602828.73</v>
      </c>
    </row>
    <row r="31" spans="1:11" x14ac:dyDescent="0.25">
      <c r="B31">
        <v>-20000</v>
      </c>
      <c r="C31" s="11"/>
      <c r="D31" s="11"/>
      <c r="E31" s="11"/>
      <c r="F31" s="11"/>
      <c r="G31" s="11"/>
      <c r="K31" s="4"/>
    </row>
    <row r="32" spans="1:11" x14ac:dyDescent="0.25">
      <c r="B32" s="89">
        <v>20000</v>
      </c>
      <c r="C32" s="11" t="s">
        <v>12</v>
      </c>
      <c r="D32" s="11"/>
      <c r="H32" s="4"/>
    </row>
    <row r="33" spans="2:11" x14ac:dyDescent="0.25">
      <c r="B33" s="89">
        <v>-20000</v>
      </c>
      <c r="C33" s="11" t="s">
        <v>13</v>
      </c>
      <c r="D33" s="11">
        <v>46115</v>
      </c>
      <c r="H33" s="4"/>
    </row>
    <row r="34" spans="2:11" x14ac:dyDescent="0.25">
      <c r="B34" s="89"/>
      <c r="C34" s="11"/>
      <c r="D34" s="11"/>
      <c r="H34" s="4"/>
    </row>
    <row r="35" spans="2:11" x14ac:dyDescent="0.25">
      <c r="B35" s="89"/>
      <c r="C35" s="11"/>
      <c r="D35" s="11"/>
      <c r="H35" s="4"/>
    </row>
    <row r="36" spans="2:11" x14ac:dyDescent="0.25">
      <c r="B36" s="89"/>
      <c r="C36" s="11"/>
      <c r="D36" s="11"/>
      <c r="H36" s="4"/>
    </row>
    <row r="37" spans="2:11" x14ac:dyDescent="0.25">
      <c r="B37" s="89"/>
      <c r="C37" s="11"/>
      <c r="D37" s="11"/>
      <c r="H37" s="4"/>
    </row>
    <row r="38" spans="2:11" x14ac:dyDescent="0.25">
      <c r="B38" s="135">
        <f>SUM(B31:B37)</f>
        <v>-20000</v>
      </c>
      <c r="C38" s="11">
        <v>46115</v>
      </c>
      <c r="D38" s="11"/>
      <c r="E38" s="4"/>
      <c r="K38" s="4"/>
    </row>
    <row r="39" spans="2:11" x14ac:dyDescent="0.25">
      <c r="B39" s="11"/>
      <c r="D39" s="11"/>
      <c r="F39" s="11"/>
      <c r="G39" s="11"/>
      <c r="I39" s="173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C43" s="11"/>
      <c r="I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E48" s="11"/>
      <c r="F48" s="11"/>
      <c r="G48" s="11"/>
      <c r="K48" s="4"/>
    </row>
    <row r="49" spans="2:11" x14ac:dyDescent="0.25">
      <c r="B49" s="11"/>
      <c r="E49" s="11"/>
      <c r="F49" s="11"/>
      <c r="G49" s="11"/>
      <c r="K49" s="4"/>
    </row>
    <row r="50" spans="2:11" x14ac:dyDescent="0.25">
      <c r="B50" s="11"/>
      <c r="E50" s="11"/>
      <c r="F50" s="11"/>
      <c r="G50" s="11"/>
      <c r="K50" s="4"/>
    </row>
    <row r="51" spans="2:11" x14ac:dyDescent="0.25">
      <c r="B51" s="11"/>
      <c r="E51" s="11"/>
      <c r="F51" s="11"/>
      <c r="G51" s="11"/>
      <c r="K51" s="4"/>
    </row>
    <row r="52" spans="2:11" x14ac:dyDescent="0.25">
      <c r="B52" s="11"/>
      <c r="E52" s="11"/>
      <c r="F52" s="11"/>
      <c r="G52" s="11"/>
      <c r="K52" s="4"/>
    </row>
    <row r="53" spans="2:11" x14ac:dyDescent="0.25">
      <c r="B53" s="11"/>
      <c r="E53" s="11"/>
      <c r="F53" s="11"/>
      <c r="G53" s="11"/>
      <c r="K53" s="4"/>
    </row>
    <row r="54" spans="2:11" x14ac:dyDescent="0.25">
      <c r="B54" s="11"/>
      <c r="E54" s="11"/>
      <c r="F54" s="11"/>
      <c r="G54" s="11"/>
      <c r="K54" s="4"/>
    </row>
    <row r="55" spans="2:11" x14ac:dyDescent="0.25">
      <c r="B55" s="11"/>
      <c r="D55" s="11"/>
      <c r="E55" s="11"/>
      <c r="F55" s="11"/>
      <c r="G55" s="11"/>
      <c r="K55" s="4"/>
    </row>
    <row r="56" spans="2:11" x14ac:dyDescent="0.25">
      <c r="B56" s="11"/>
      <c r="E56" s="11"/>
      <c r="F56" s="11"/>
      <c r="G56" s="11"/>
    </row>
    <row r="57" spans="2:11" x14ac:dyDescent="0.25">
      <c r="B57" s="11"/>
      <c r="E57" s="11"/>
      <c r="F57" s="11"/>
      <c r="G57" s="11"/>
    </row>
    <row r="58" spans="2:11" x14ac:dyDescent="0.25">
      <c r="B58" s="11"/>
      <c r="E58" s="11"/>
      <c r="F58" s="11"/>
      <c r="G58" s="11"/>
    </row>
    <row r="59" spans="2:11" x14ac:dyDescent="0.25">
      <c r="B59" s="11"/>
      <c r="E59" s="11"/>
      <c r="F59" s="11"/>
      <c r="G59" s="11"/>
    </row>
    <row r="60" spans="2:11" x14ac:dyDescent="0.25">
      <c r="B60" s="11"/>
      <c r="E60" s="11"/>
      <c r="F60" s="11"/>
      <c r="G60" s="11"/>
    </row>
    <row r="61" spans="2:11" x14ac:dyDescent="0.25">
      <c r="B61" s="11"/>
      <c r="E61" s="11"/>
      <c r="F61" s="11"/>
      <c r="G61" s="11"/>
    </row>
    <row r="62" spans="2:11" x14ac:dyDescent="0.25">
      <c r="B62" s="11"/>
      <c r="E62" s="11"/>
      <c r="F62" s="11"/>
      <c r="G62" s="11"/>
    </row>
    <row r="63" spans="2:11" x14ac:dyDescent="0.25">
      <c r="B63" s="11"/>
      <c r="E63" s="11"/>
      <c r="F63" s="11"/>
      <c r="G63" s="11"/>
    </row>
    <row r="64" spans="2:11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  <row r="72" spans="2:7" x14ac:dyDescent="0.25">
      <c r="B72" s="11"/>
      <c r="E72" s="11"/>
      <c r="F72" s="11"/>
      <c r="G72" s="11"/>
    </row>
    <row r="73" spans="2:7" x14ac:dyDescent="0.25">
      <c r="B73" s="11"/>
      <c r="E73" s="11"/>
      <c r="F73" s="11"/>
      <c r="G73" s="11"/>
    </row>
    <row r="74" spans="2:7" x14ac:dyDescent="0.25">
      <c r="B74" s="11"/>
      <c r="E74" s="11"/>
      <c r="F74" s="11"/>
      <c r="G74" s="11"/>
    </row>
    <row r="75" spans="2:7" x14ac:dyDescent="0.25">
      <c r="B75" s="11"/>
      <c r="E75" s="11"/>
      <c r="F75" s="11"/>
      <c r="G75" s="11"/>
    </row>
    <row r="76" spans="2:7" x14ac:dyDescent="0.25">
      <c r="B76" s="11"/>
      <c r="E76" s="11"/>
      <c r="F76" s="11"/>
      <c r="G76" s="11"/>
    </row>
    <row r="77" spans="2:7" x14ac:dyDescent="0.25">
      <c r="B77" s="11"/>
      <c r="E77" s="11"/>
      <c r="F77" s="11"/>
      <c r="G77" s="11"/>
    </row>
    <row r="78" spans="2:7" x14ac:dyDescent="0.25">
      <c r="B78" s="11"/>
      <c r="E78" s="11"/>
      <c r="F78" s="11"/>
      <c r="G78" s="11"/>
    </row>
  </sheetData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C24E-73EB-42BF-9DDC-EABE50FECDC0}">
  <dimension ref="A1:K71"/>
  <sheetViews>
    <sheetView zoomScale="110" zoomScaleNormal="110" workbookViewId="0">
      <selection activeCell="A3" sqref="A3:D19"/>
    </sheetView>
  </sheetViews>
  <sheetFormatPr baseColWidth="10" defaultRowHeight="15" x14ac:dyDescent="0.25"/>
  <cols>
    <col min="2" max="2" width="13" customWidth="1"/>
    <col min="3" max="3" width="12.28515625" customWidth="1"/>
    <col min="5" max="6" width="11.140625" customWidth="1"/>
    <col min="7" max="7" width="12.140625" customWidth="1"/>
    <col min="9" max="9" width="16.140625" bestFit="1" customWidth="1"/>
    <col min="11" max="11" width="12.7109375" bestFit="1" customWidth="1"/>
  </cols>
  <sheetData>
    <row r="1" spans="1:11" x14ac:dyDescent="0.25">
      <c r="D1" s="172" t="s">
        <v>80</v>
      </c>
    </row>
    <row r="2" spans="1:11" ht="15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88</v>
      </c>
      <c r="F2" s="2" t="s">
        <v>87</v>
      </c>
      <c r="G2" s="2" t="s">
        <v>86</v>
      </c>
      <c r="H2" s="2" t="s">
        <v>4</v>
      </c>
      <c r="I2" s="2" t="s">
        <v>5</v>
      </c>
      <c r="J2" s="2" t="s">
        <v>65</v>
      </c>
      <c r="K2" s="15" t="s">
        <v>6</v>
      </c>
    </row>
    <row r="3" spans="1:11" x14ac:dyDescent="0.25">
      <c r="A3" s="91">
        <v>46120</v>
      </c>
      <c r="B3" s="82" t="s">
        <v>328</v>
      </c>
      <c r="C3" s="124" t="s">
        <v>300</v>
      </c>
      <c r="D3" s="82">
        <v>420</v>
      </c>
      <c r="E3" s="82"/>
      <c r="F3" s="82">
        <v>35.29</v>
      </c>
      <c r="G3" s="82"/>
      <c r="H3" s="123">
        <v>619254</v>
      </c>
      <c r="I3" s="90" t="s">
        <v>257</v>
      </c>
      <c r="J3" s="138" t="s">
        <v>366</v>
      </c>
      <c r="K3" s="218"/>
    </row>
    <row r="4" spans="1:11" x14ac:dyDescent="0.25">
      <c r="A4" s="91">
        <v>46121</v>
      </c>
      <c r="B4" s="227" t="s">
        <v>300</v>
      </c>
      <c r="C4" s="124" t="s">
        <v>118</v>
      </c>
      <c r="D4" s="82">
        <v>85</v>
      </c>
      <c r="E4" s="82"/>
      <c r="F4" s="82"/>
      <c r="G4" s="82"/>
      <c r="H4" s="128" t="s">
        <v>66</v>
      </c>
      <c r="I4" s="90"/>
      <c r="J4" s="138"/>
      <c r="K4" s="218"/>
    </row>
    <row r="5" spans="1:11" x14ac:dyDescent="0.25">
      <c r="A5" s="91">
        <v>46122</v>
      </c>
      <c r="B5" s="82" t="s">
        <v>118</v>
      </c>
      <c r="C5" s="124" t="s">
        <v>385</v>
      </c>
      <c r="D5" s="82">
        <v>1560</v>
      </c>
      <c r="E5" s="82"/>
      <c r="F5" s="82"/>
      <c r="G5" s="82"/>
      <c r="H5" s="90">
        <v>1020309</v>
      </c>
      <c r="I5" s="90" t="s">
        <v>386</v>
      </c>
      <c r="J5" s="138"/>
      <c r="K5" s="218"/>
    </row>
    <row r="6" spans="1:11" x14ac:dyDescent="0.25">
      <c r="A6" s="91">
        <v>46125</v>
      </c>
      <c r="B6" s="124" t="s">
        <v>385</v>
      </c>
      <c r="C6" s="124" t="s">
        <v>227</v>
      </c>
      <c r="D6" s="82">
        <v>270</v>
      </c>
      <c r="E6" s="82"/>
      <c r="F6" s="82"/>
      <c r="G6" s="82"/>
      <c r="H6" s="83" t="s">
        <v>66</v>
      </c>
      <c r="I6" s="90"/>
      <c r="J6" s="138"/>
      <c r="K6" s="218"/>
    </row>
    <row r="7" spans="1:11" x14ac:dyDescent="0.25">
      <c r="A7" s="91">
        <v>46126</v>
      </c>
      <c r="B7" s="82" t="s">
        <v>296</v>
      </c>
      <c r="C7" s="124" t="s">
        <v>9</v>
      </c>
      <c r="D7" s="82">
        <v>820</v>
      </c>
      <c r="E7" s="82"/>
      <c r="F7" s="82">
        <v>36.299999999999997</v>
      </c>
      <c r="G7" s="82"/>
      <c r="H7" s="90">
        <v>189436</v>
      </c>
      <c r="I7" s="90" t="s">
        <v>304</v>
      </c>
      <c r="J7" s="138"/>
      <c r="K7" s="218"/>
    </row>
    <row r="8" spans="1:11" x14ac:dyDescent="0.25">
      <c r="A8" s="91">
        <v>46127</v>
      </c>
      <c r="B8" s="227" t="s">
        <v>9</v>
      </c>
      <c r="C8" s="82" t="s">
        <v>300</v>
      </c>
      <c r="D8" s="82">
        <v>420</v>
      </c>
      <c r="E8" s="82"/>
      <c r="F8" s="82">
        <v>35.409999999999997</v>
      </c>
      <c r="G8" s="82"/>
      <c r="H8" s="123">
        <v>619717</v>
      </c>
      <c r="I8" s="90" t="s">
        <v>301</v>
      </c>
      <c r="J8" s="138"/>
      <c r="K8" s="218"/>
    </row>
    <row r="9" spans="1:11" x14ac:dyDescent="0.25">
      <c r="A9" s="91">
        <v>46128</v>
      </c>
      <c r="B9" s="227" t="s">
        <v>300</v>
      </c>
      <c r="C9" s="82" t="s">
        <v>10</v>
      </c>
      <c r="D9" s="82">
        <v>150</v>
      </c>
      <c r="E9" s="82"/>
      <c r="F9" s="82"/>
      <c r="G9" s="82"/>
      <c r="H9" s="128" t="s">
        <v>66</v>
      </c>
      <c r="I9" s="90"/>
      <c r="J9" s="138"/>
      <c r="K9" s="218"/>
    </row>
    <row r="10" spans="1:11" x14ac:dyDescent="0.25">
      <c r="A10" s="91">
        <v>46128</v>
      </c>
      <c r="B10" s="82" t="s">
        <v>10</v>
      </c>
      <c r="C10" s="124" t="s">
        <v>9</v>
      </c>
      <c r="D10" s="82">
        <v>500</v>
      </c>
      <c r="E10" s="82"/>
      <c r="F10" s="82">
        <v>35.26</v>
      </c>
      <c r="G10" s="82"/>
      <c r="H10" s="123">
        <v>1065466</v>
      </c>
      <c r="I10" s="90" t="s">
        <v>176</v>
      </c>
      <c r="J10" s="138"/>
      <c r="K10" s="218"/>
    </row>
    <row r="11" spans="1:11" x14ac:dyDescent="0.25">
      <c r="A11" s="91">
        <v>46129</v>
      </c>
      <c r="B11" s="82" t="s">
        <v>9</v>
      </c>
      <c r="C11" s="124" t="s">
        <v>351</v>
      </c>
      <c r="D11" s="82">
        <v>1010</v>
      </c>
      <c r="E11" s="82"/>
      <c r="F11" s="82"/>
      <c r="G11" s="82"/>
      <c r="H11" s="90">
        <v>619906</v>
      </c>
      <c r="I11" s="90" t="s">
        <v>257</v>
      </c>
      <c r="J11" s="138"/>
      <c r="K11" s="218"/>
    </row>
    <row r="12" spans="1:11" x14ac:dyDescent="0.25">
      <c r="A12" s="91">
        <v>46132</v>
      </c>
      <c r="B12" s="82" t="s">
        <v>351</v>
      </c>
      <c r="C12" s="124" t="s">
        <v>227</v>
      </c>
      <c r="D12" s="82">
        <v>240</v>
      </c>
      <c r="E12" s="82"/>
      <c r="F12" s="82"/>
      <c r="G12" s="82"/>
      <c r="H12" s="83" t="s">
        <v>66</v>
      </c>
      <c r="I12" s="90"/>
      <c r="J12" s="138"/>
      <c r="K12" s="218"/>
    </row>
    <row r="13" spans="1:11" x14ac:dyDescent="0.25">
      <c r="A13" s="91">
        <v>46132</v>
      </c>
      <c r="B13" s="82" t="s">
        <v>296</v>
      </c>
      <c r="C13" s="124" t="s">
        <v>9</v>
      </c>
      <c r="D13" s="82">
        <v>820</v>
      </c>
      <c r="E13" s="82"/>
      <c r="F13" s="82">
        <v>35.4</v>
      </c>
      <c r="G13" s="82"/>
      <c r="H13" s="90">
        <v>189734</v>
      </c>
      <c r="I13" s="90" t="s">
        <v>304</v>
      </c>
      <c r="J13" s="138"/>
      <c r="K13" s="218"/>
    </row>
    <row r="14" spans="1:11" x14ac:dyDescent="0.25">
      <c r="A14" s="91">
        <v>46134</v>
      </c>
      <c r="B14" s="82" t="s">
        <v>9</v>
      </c>
      <c r="C14" s="124" t="s">
        <v>300</v>
      </c>
      <c r="D14" s="82">
        <v>430</v>
      </c>
      <c r="E14" s="82"/>
      <c r="F14" s="82">
        <v>35.700000000000003</v>
      </c>
      <c r="G14" s="82"/>
      <c r="H14" s="90">
        <v>294328</v>
      </c>
      <c r="I14" s="90" t="s">
        <v>15</v>
      </c>
      <c r="J14" s="138"/>
      <c r="K14" s="218"/>
    </row>
    <row r="15" spans="1:11" x14ac:dyDescent="0.25">
      <c r="A15" s="91">
        <v>46135</v>
      </c>
      <c r="B15" s="227" t="s">
        <v>300</v>
      </c>
      <c r="C15" s="124" t="s">
        <v>118</v>
      </c>
      <c r="D15" s="82">
        <v>100</v>
      </c>
      <c r="E15" s="82"/>
      <c r="F15" s="82"/>
      <c r="G15" s="82"/>
      <c r="H15" s="128" t="s">
        <v>66</v>
      </c>
      <c r="I15" s="90"/>
      <c r="J15" s="138"/>
      <c r="K15" s="218"/>
    </row>
    <row r="16" spans="1:11" x14ac:dyDescent="0.25">
      <c r="A16" s="91">
        <v>46136</v>
      </c>
      <c r="B16" s="82" t="s">
        <v>118</v>
      </c>
      <c r="C16" s="124" t="s">
        <v>146</v>
      </c>
      <c r="D16" s="82">
        <v>1430</v>
      </c>
      <c r="E16" s="82"/>
      <c r="F16" s="82"/>
      <c r="G16" s="82"/>
      <c r="H16" s="123">
        <v>122812</v>
      </c>
      <c r="I16" s="90" t="s">
        <v>147</v>
      </c>
      <c r="J16" s="138"/>
      <c r="K16" s="218"/>
    </row>
    <row r="17" spans="1:11" x14ac:dyDescent="0.25">
      <c r="A17" s="91">
        <v>46140</v>
      </c>
      <c r="B17" s="82" t="s">
        <v>146</v>
      </c>
      <c r="C17" s="124" t="s">
        <v>9</v>
      </c>
      <c r="D17" s="82">
        <v>940</v>
      </c>
      <c r="E17" s="82"/>
      <c r="F17" s="82"/>
      <c r="G17" s="82"/>
      <c r="H17" s="83" t="s">
        <v>66</v>
      </c>
      <c r="I17" s="90"/>
      <c r="J17" s="138"/>
      <c r="K17" s="218"/>
    </row>
    <row r="18" spans="1:11" x14ac:dyDescent="0.25">
      <c r="A18" s="91">
        <v>46141</v>
      </c>
      <c r="B18" s="82" t="s">
        <v>9</v>
      </c>
      <c r="C18" s="124" t="s">
        <v>251</v>
      </c>
      <c r="D18" s="82">
        <v>360</v>
      </c>
      <c r="E18" s="82"/>
      <c r="F18" s="82">
        <v>35.78</v>
      </c>
      <c r="G18" s="82"/>
      <c r="H18" s="123">
        <v>294823</v>
      </c>
      <c r="I18" s="90" t="s">
        <v>15</v>
      </c>
      <c r="J18" s="138"/>
      <c r="K18" s="218"/>
    </row>
    <row r="19" spans="1:11" x14ac:dyDescent="0.25">
      <c r="A19" s="91">
        <v>46142</v>
      </c>
      <c r="B19" s="82" t="s">
        <v>251</v>
      </c>
      <c r="C19" s="124" t="s">
        <v>118</v>
      </c>
      <c r="D19" s="82">
        <v>180</v>
      </c>
      <c r="E19" s="82"/>
      <c r="F19" s="82"/>
      <c r="G19" s="82"/>
      <c r="H19" s="128" t="s">
        <v>66</v>
      </c>
      <c r="I19" s="90"/>
      <c r="J19" s="138"/>
      <c r="K19" s="218"/>
    </row>
    <row r="20" spans="1:11" x14ac:dyDescent="0.25">
      <c r="A20" s="91"/>
      <c r="B20" s="82"/>
      <c r="C20" s="124"/>
      <c r="D20" s="151" t="s">
        <v>454</v>
      </c>
      <c r="E20" s="82"/>
      <c r="F20" s="82"/>
      <c r="G20" s="82"/>
      <c r="H20" s="123"/>
      <c r="I20" s="90"/>
      <c r="J20" s="138"/>
      <c r="K20" s="218"/>
    </row>
    <row r="21" spans="1:11" x14ac:dyDescent="0.25">
      <c r="A21" s="5"/>
      <c r="B21" s="6"/>
      <c r="C21" s="6"/>
      <c r="D21" s="6"/>
      <c r="E21" s="6"/>
      <c r="F21" s="6"/>
      <c r="G21" s="6"/>
      <c r="H21" s="7"/>
      <c r="I21" s="7"/>
      <c r="J21" s="140"/>
      <c r="K21" s="218"/>
    </row>
    <row r="22" spans="1:11" x14ac:dyDescent="0.25">
      <c r="D22" s="17">
        <f>SUM(D3:D21)</f>
        <v>9735</v>
      </c>
      <c r="E22" s="13"/>
      <c r="F22" s="13">
        <f>AVERAGE(F3:F20)</f>
        <v>35.591428571428573</v>
      </c>
      <c r="G22" s="13" t="e">
        <f>AVERAGE(G3:G20)</f>
        <v>#DIV/0!</v>
      </c>
      <c r="J22" s="139">
        <f>SUM(J3:J21)</f>
        <v>0</v>
      </c>
      <c r="K22" s="219">
        <f>SUM(K3:K21)</f>
        <v>0</v>
      </c>
    </row>
    <row r="24" spans="1:11" x14ac:dyDescent="0.25">
      <c r="B24">
        <v>-20000</v>
      </c>
      <c r="C24" s="11"/>
      <c r="D24" s="11"/>
      <c r="E24" s="11"/>
      <c r="F24" s="11"/>
      <c r="G24" s="11"/>
      <c r="K24" s="4"/>
    </row>
    <row r="25" spans="1:11" x14ac:dyDescent="0.25">
      <c r="B25" s="89"/>
      <c r="C25" s="11"/>
      <c r="D25" s="11"/>
      <c r="H25" s="4"/>
    </row>
    <row r="26" spans="1:11" x14ac:dyDescent="0.25">
      <c r="B26" s="89"/>
      <c r="C26" s="11"/>
      <c r="D26" s="11"/>
      <c r="H26" s="4"/>
    </row>
    <row r="27" spans="1:11" x14ac:dyDescent="0.25">
      <c r="B27" s="89"/>
      <c r="C27" s="11"/>
      <c r="D27" s="11"/>
      <c r="H27" s="4"/>
    </row>
    <row r="28" spans="1:11" x14ac:dyDescent="0.25">
      <c r="B28" s="89"/>
      <c r="C28" s="11"/>
      <c r="D28" s="11"/>
      <c r="H28" s="4"/>
    </row>
    <row r="29" spans="1:11" x14ac:dyDescent="0.25">
      <c r="B29" s="89"/>
      <c r="C29" s="11"/>
      <c r="D29" s="11"/>
      <c r="H29" s="4"/>
    </row>
    <row r="30" spans="1:11" x14ac:dyDescent="0.25">
      <c r="B30" s="89"/>
      <c r="C30" s="11"/>
      <c r="D30" s="11"/>
      <c r="H30" s="4"/>
    </row>
    <row r="31" spans="1:11" x14ac:dyDescent="0.25">
      <c r="B31" s="135">
        <f>SUM(B24:B30)</f>
        <v>-20000</v>
      </c>
      <c r="C31" s="11"/>
      <c r="D31" s="11"/>
      <c r="E31" s="4"/>
      <c r="K31" s="4"/>
    </row>
    <row r="32" spans="1:11" x14ac:dyDescent="0.25">
      <c r="B32" s="11"/>
      <c r="D32" s="11"/>
      <c r="F32" s="11"/>
      <c r="G32" s="11"/>
      <c r="I32" s="173"/>
      <c r="K32" s="4"/>
    </row>
    <row r="33" spans="2:11" x14ac:dyDescent="0.25">
      <c r="B33" s="11"/>
      <c r="E33" s="11"/>
      <c r="F33" s="11"/>
      <c r="G33" s="11"/>
      <c r="K33" s="4"/>
    </row>
    <row r="34" spans="2:11" x14ac:dyDescent="0.25">
      <c r="B34" s="11"/>
      <c r="K34" s="4"/>
    </row>
    <row r="35" spans="2:11" x14ac:dyDescent="0.25">
      <c r="B35" s="11"/>
      <c r="E35" s="11"/>
      <c r="F35" s="11"/>
      <c r="G35" s="11"/>
      <c r="K35" s="4"/>
    </row>
    <row r="36" spans="2:11" x14ac:dyDescent="0.25">
      <c r="B36" s="11"/>
      <c r="C36" s="11"/>
      <c r="I36" s="4"/>
    </row>
    <row r="37" spans="2:11" x14ac:dyDescent="0.25">
      <c r="B37" s="11"/>
      <c r="E37" s="11"/>
      <c r="F37" s="11"/>
      <c r="G37" s="11"/>
      <c r="K37" s="4"/>
    </row>
    <row r="38" spans="2:11" x14ac:dyDescent="0.25">
      <c r="B38" s="11"/>
      <c r="E38" s="11"/>
      <c r="F38" s="11"/>
      <c r="G38" s="11"/>
      <c r="K38" s="4"/>
    </row>
    <row r="39" spans="2:11" x14ac:dyDescent="0.25">
      <c r="B39" s="11"/>
      <c r="E39" s="11"/>
      <c r="F39" s="11"/>
      <c r="G39" s="11"/>
      <c r="K39" s="4"/>
    </row>
    <row r="40" spans="2:11" x14ac:dyDescent="0.25">
      <c r="B40" s="11"/>
      <c r="E40" s="11"/>
      <c r="F40" s="11"/>
      <c r="G40" s="11"/>
      <c r="K40" s="4"/>
    </row>
    <row r="41" spans="2:11" x14ac:dyDescent="0.25">
      <c r="B41" s="11"/>
      <c r="E41" s="11"/>
      <c r="F41" s="11"/>
      <c r="G41" s="11"/>
      <c r="K41" s="4"/>
    </row>
    <row r="42" spans="2:11" x14ac:dyDescent="0.25">
      <c r="B42" s="11"/>
      <c r="E42" s="11"/>
      <c r="F42" s="11"/>
      <c r="G42" s="11"/>
      <c r="K42" s="4"/>
    </row>
    <row r="43" spans="2:11" x14ac:dyDescent="0.25">
      <c r="B43" s="11"/>
      <c r="E43" s="11"/>
      <c r="F43" s="11"/>
      <c r="G43" s="11"/>
      <c r="K43" s="4"/>
    </row>
    <row r="44" spans="2:11" x14ac:dyDescent="0.25">
      <c r="B44" s="11"/>
      <c r="E44" s="11"/>
      <c r="F44" s="11"/>
      <c r="G44" s="11"/>
      <c r="K44" s="4"/>
    </row>
    <row r="45" spans="2:11" x14ac:dyDescent="0.25">
      <c r="B45" s="11"/>
      <c r="E45" s="11"/>
      <c r="F45" s="11"/>
      <c r="G45" s="11"/>
      <c r="K45" s="4"/>
    </row>
    <row r="46" spans="2:11" x14ac:dyDescent="0.25">
      <c r="B46" s="11"/>
      <c r="E46" s="11"/>
      <c r="F46" s="11"/>
      <c r="G46" s="11"/>
      <c r="K46" s="4"/>
    </row>
    <row r="47" spans="2:11" x14ac:dyDescent="0.25">
      <c r="B47" s="11"/>
      <c r="E47" s="11"/>
      <c r="F47" s="11"/>
      <c r="G47" s="11"/>
      <c r="K47" s="4"/>
    </row>
    <row r="48" spans="2:11" x14ac:dyDescent="0.25">
      <c r="B48" s="11"/>
      <c r="D48" s="11"/>
      <c r="E48" s="11"/>
      <c r="F48" s="11"/>
      <c r="G48" s="11"/>
      <c r="K48" s="4"/>
    </row>
    <row r="49" spans="2:7" x14ac:dyDescent="0.25">
      <c r="B49" s="11"/>
      <c r="E49" s="11"/>
      <c r="F49" s="11"/>
      <c r="G49" s="11"/>
    </row>
    <row r="50" spans="2:7" x14ac:dyDescent="0.25">
      <c r="B50" s="11"/>
      <c r="E50" s="11"/>
      <c r="F50" s="11"/>
      <c r="G50" s="11"/>
    </row>
    <row r="51" spans="2:7" x14ac:dyDescent="0.25">
      <c r="B51" s="11"/>
      <c r="E51" s="11"/>
      <c r="F51" s="11"/>
      <c r="G51" s="11"/>
    </row>
    <row r="52" spans="2:7" x14ac:dyDescent="0.25">
      <c r="B52" s="11"/>
      <c r="E52" s="11"/>
      <c r="F52" s="11"/>
      <c r="G52" s="11"/>
    </row>
    <row r="53" spans="2:7" x14ac:dyDescent="0.25">
      <c r="B53" s="11"/>
      <c r="E53" s="11"/>
      <c r="F53" s="11"/>
      <c r="G53" s="11"/>
    </row>
    <row r="54" spans="2:7" x14ac:dyDescent="0.25">
      <c r="B54" s="11"/>
      <c r="E54" s="11"/>
      <c r="F54" s="11"/>
      <c r="G54" s="11"/>
    </row>
    <row r="55" spans="2:7" x14ac:dyDescent="0.25">
      <c r="B55" s="11"/>
      <c r="E55" s="11"/>
      <c r="F55" s="11"/>
      <c r="G55" s="11"/>
    </row>
    <row r="56" spans="2:7" x14ac:dyDescent="0.25">
      <c r="B56" s="11"/>
      <c r="E56" s="11"/>
      <c r="F56" s="11"/>
      <c r="G56" s="11"/>
    </row>
    <row r="57" spans="2:7" x14ac:dyDescent="0.25">
      <c r="B57" s="11"/>
      <c r="E57" s="11"/>
      <c r="F57" s="11"/>
      <c r="G57" s="11"/>
    </row>
    <row r="58" spans="2:7" x14ac:dyDescent="0.25">
      <c r="B58" s="11"/>
      <c r="E58" s="11"/>
      <c r="F58" s="11"/>
      <c r="G58" s="11"/>
    </row>
    <row r="59" spans="2:7" x14ac:dyDescent="0.25">
      <c r="B59" s="11"/>
      <c r="E59" s="11"/>
      <c r="F59" s="11"/>
      <c r="G59" s="11"/>
    </row>
    <row r="60" spans="2:7" x14ac:dyDescent="0.25">
      <c r="B60" s="11"/>
      <c r="E60" s="11"/>
      <c r="F60" s="11"/>
      <c r="G60" s="11"/>
    </row>
    <row r="61" spans="2:7" x14ac:dyDescent="0.25">
      <c r="B61" s="11"/>
      <c r="E61" s="11"/>
      <c r="F61" s="11"/>
      <c r="G61" s="11"/>
    </row>
    <row r="62" spans="2:7" x14ac:dyDescent="0.25">
      <c r="B62" s="11"/>
      <c r="E62" s="11"/>
      <c r="F62" s="11"/>
      <c r="G62" s="11"/>
    </row>
    <row r="63" spans="2:7" x14ac:dyDescent="0.25">
      <c r="B63" s="11"/>
      <c r="E63" s="11"/>
      <c r="F63" s="11"/>
      <c r="G63" s="11"/>
    </row>
    <row r="64" spans="2:7" x14ac:dyDescent="0.25">
      <c r="B64" s="11"/>
      <c r="E64" s="11"/>
      <c r="F64" s="11"/>
      <c r="G64" s="11"/>
    </row>
    <row r="65" spans="2:7" x14ac:dyDescent="0.25">
      <c r="B65" s="11"/>
      <c r="E65" s="11"/>
      <c r="F65" s="11"/>
      <c r="G65" s="11"/>
    </row>
    <row r="66" spans="2:7" x14ac:dyDescent="0.25">
      <c r="B66" s="11"/>
      <c r="E66" s="11"/>
      <c r="F66" s="11"/>
      <c r="G66" s="11"/>
    </row>
    <row r="67" spans="2:7" x14ac:dyDescent="0.25">
      <c r="B67" s="11"/>
      <c r="E67" s="11"/>
      <c r="F67" s="11"/>
      <c r="G67" s="11"/>
    </row>
    <row r="68" spans="2:7" x14ac:dyDescent="0.25">
      <c r="B68" s="11"/>
      <c r="E68" s="11"/>
      <c r="F68" s="11"/>
      <c r="G68" s="11"/>
    </row>
    <row r="69" spans="2:7" x14ac:dyDescent="0.25">
      <c r="B69" s="11"/>
      <c r="E69" s="11"/>
      <c r="F69" s="11"/>
      <c r="G69" s="11"/>
    </row>
    <row r="70" spans="2:7" x14ac:dyDescent="0.25">
      <c r="B70" s="11"/>
      <c r="E70" s="11"/>
      <c r="F70" s="11"/>
      <c r="G70" s="11"/>
    </row>
    <row r="71" spans="2:7" x14ac:dyDescent="0.25">
      <c r="B71" s="11"/>
      <c r="E71" s="11"/>
      <c r="F71" s="11"/>
      <c r="G71" s="11"/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39"/>
  <sheetViews>
    <sheetView topLeftCell="C1" workbookViewId="0">
      <pane xSplit="20445" topLeftCell="Q1"/>
      <selection activeCell="N18" sqref="N18"/>
      <selection pane="topRight" activeCell="B30" sqref="B30"/>
    </sheetView>
  </sheetViews>
  <sheetFormatPr baseColWidth="10" defaultColWidth="9.140625" defaultRowHeight="15" x14ac:dyDescent="0.25"/>
  <cols>
    <col min="1" max="1" width="16.42578125" customWidth="1"/>
    <col min="2" max="2" width="20.42578125" customWidth="1"/>
    <col min="3" max="3" width="13" customWidth="1"/>
    <col min="4" max="4" width="13.85546875" customWidth="1"/>
    <col min="5" max="5" width="14.42578125" customWidth="1"/>
    <col min="6" max="6" width="16.28515625" customWidth="1"/>
    <col min="7" max="7" width="11.42578125" customWidth="1"/>
    <col min="8" max="8" width="10.7109375"/>
    <col min="9" max="9" width="19.7109375" customWidth="1"/>
    <col min="10" max="10" width="14.42578125" customWidth="1"/>
    <col min="11" max="11" width="15" customWidth="1"/>
    <col min="12" max="12" width="3.85546875" customWidth="1"/>
    <col min="13" max="13" width="11.7109375" customWidth="1"/>
    <col min="14" max="14" width="13.140625" customWidth="1"/>
    <col min="15" max="15" width="12.42578125" customWidth="1"/>
    <col min="16" max="16" width="10.7109375"/>
    <col min="17" max="17" width="13.42578125" customWidth="1"/>
    <col min="18" max="18" width="11.42578125" bestFit="1" customWidth="1"/>
    <col min="19" max="19" width="13.140625" bestFit="1" customWidth="1"/>
    <col min="20" max="1028" width="10.7109375"/>
  </cols>
  <sheetData>
    <row r="1" spans="1:20" ht="24" x14ac:dyDescent="0.25">
      <c r="A1" s="25" t="s">
        <v>16</v>
      </c>
      <c r="B1" s="26" t="s">
        <v>17</v>
      </c>
      <c r="C1" s="2" t="s">
        <v>7</v>
      </c>
      <c r="D1" s="166" t="s">
        <v>90</v>
      </c>
      <c r="E1" s="166" t="s">
        <v>89</v>
      </c>
      <c r="F1" s="166" t="s">
        <v>91</v>
      </c>
      <c r="G1" s="155" t="s">
        <v>65</v>
      </c>
      <c r="H1" s="27"/>
      <c r="I1" s="28" t="s">
        <v>16</v>
      </c>
      <c r="J1" s="29" t="s">
        <v>18</v>
      </c>
      <c r="K1" s="28" t="s">
        <v>19</v>
      </c>
      <c r="L1" s="28" t="s">
        <v>20</v>
      </c>
      <c r="M1" s="30"/>
      <c r="N1" s="31" t="s">
        <v>16</v>
      </c>
      <c r="O1" s="32" t="s">
        <v>21</v>
      </c>
      <c r="P1" s="33" t="s">
        <v>22</v>
      </c>
      <c r="R1" s="25" t="s">
        <v>16</v>
      </c>
    </row>
    <row r="2" spans="1:20" ht="18.75" x14ac:dyDescent="0.3">
      <c r="A2" s="177" t="s">
        <v>23</v>
      </c>
      <c r="B2" s="176">
        <f>+GALLASTEGUI!K51</f>
        <v>2885882.43</v>
      </c>
      <c r="C2" s="45">
        <f>+GALLASTEGUI!D51</f>
        <v>11020</v>
      </c>
      <c r="D2" s="167">
        <f>+GALLASTEGUI!E51</f>
        <v>0</v>
      </c>
      <c r="E2" s="167">
        <f>+GALLASTEGUI!F51</f>
        <v>0</v>
      </c>
      <c r="F2" s="167">
        <f>+GALLASTEGUI!G51</f>
        <v>35.695714285714288</v>
      </c>
      <c r="G2" s="155">
        <f>+GALLASTEGUI!J51</f>
        <v>0</v>
      </c>
      <c r="H2" s="35"/>
      <c r="I2" s="36" t="s">
        <v>23</v>
      </c>
      <c r="J2" s="122">
        <f>+B2</f>
        <v>2885882.43</v>
      </c>
      <c r="K2" s="37">
        <v>45163.21</v>
      </c>
      <c r="L2" s="38">
        <f t="shared" ref="L2:L10" si="0">+K2/J2*100</f>
        <v>1.5649705452484426</v>
      </c>
      <c r="M2" s="30"/>
      <c r="N2" s="36" t="s">
        <v>23</v>
      </c>
      <c r="O2" s="119">
        <v>33.36</v>
      </c>
      <c r="P2" s="40">
        <v>1730</v>
      </c>
      <c r="R2" s="34" t="s">
        <v>23</v>
      </c>
      <c r="S2" s="89">
        <v>154244.69</v>
      </c>
      <c r="T2" s="100">
        <f>+S2*1.05</f>
        <v>161956.92450000002</v>
      </c>
    </row>
    <row r="3" spans="1:20" ht="18.75" x14ac:dyDescent="0.3">
      <c r="A3" s="182" t="s">
        <v>25</v>
      </c>
      <c r="B3" s="176">
        <f>+SCHWINDT!K52</f>
        <v>2758994.63</v>
      </c>
      <c r="C3" s="45">
        <f>+SCHWINDT!D52</f>
        <v>15200</v>
      </c>
      <c r="D3" s="167">
        <f>+SCHWINDT!E52</f>
        <v>0</v>
      </c>
      <c r="E3" s="167">
        <f>+SCHWINDT!F52</f>
        <v>34.497333333333337</v>
      </c>
      <c r="F3" s="167">
        <f>+SCHWINDT!G52</f>
        <v>0</v>
      </c>
      <c r="G3" s="155">
        <f>+SCHWINDT!J52</f>
        <v>0</v>
      </c>
      <c r="H3" s="35"/>
      <c r="I3" s="36" t="s">
        <v>25</v>
      </c>
      <c r="J3" s="122">
        <f>+B3</f>
        <v>2758994.63</v>
      </c>
      <c r="K3" s="37">
        <v>43639.78</v>
      </c>
      <c r="L3" s="38">
        <f t="shared" si="0"/>
        <v>1.5817276164832548</v>
      </c>
      <c r="M3" s="30"/>
      <c r="N3" s="36" t="s">
        <v>25</v>
      </c>
      <c r="O3" s="120">
        <v>31.91</v>
      </c>
      <c r="P3" s="40">
        <v>2580</v>
      </c>
      <c r="R3" s="41" t="s">
        <v>25</v>
      </c>
      <c r="S3" s="89">
        <v>167317.68</v>
      </c>
      <c r="T3" s="100">
        <f t="shared" ref="T3:T9" si="1">+S3*1.05</f>
        <v>175683.56400000001</v>
      </c>
    </row>
    <row r="4" spans="1:20" ht="18.75" x14ac:dyDescent="0.3">
      <c r="A4" s="177" t="s">
        <v>27</v>
      </c>
      <c r="B4" s="176" t="e">
        <f>+#REF!</f>
        <v>#REF!</v>
      </c>
      <c r="C4" s="45" t="e">
        <f>+#REF!</f>
        <v>#REF!</v>
      </c>
      <c r="D4" s="167" t="e">
        <f>+#REF!</f>
        <v>#REF!</v>
      </c>
      <c r="E4" s="167" t="e">
        <f>+#REF!</f>
        <v>#REF!</v>
      </c>
      <c r="F4" s="167" t="e">
        <f>+#REF!</f>
        <v>#REF!</v>
      </c>
      <c r="G4" s="155" t="e">
        <f>+#REF!</f>
        <v>#REF!</v>
      </c>
      <c r="H4" s="35"/>
      <c r="I4" s="36" t="s">
        <v>27</v>
      </c>
      <c r="J4" s="122" t="e">
        <f>+#REF!</f>
        <v>#REF!</v>
      </c>
      <c r="K4" s="37">
        <v>47674.86</v>
      </c>
      <c r="L4" s="38" t="e">
        <f t="shared" si="0"/>
        <v>#REF!</v>
      </c>
      <c r="M4" s="30"/>
      <c r="N4" s="36" t="s">
        <v>27</v>
      </c>
      <c r="O4" s="119">
        <v>31.25</v>
      </c>
      <c r="P4" s="40">
        <v>760</v>
      </c>
      <c r="R4" s="42" t="s">
        <v>27</v>
      </c>
      <c r="S4" s="89">
        <v>201532.82999999996</v>
      </c>
      <c r="T4" s="100">
        <f t="shared" si="1"/>
        <v>211609.47149999996</v>
      </c>
    </row>
    <row r="5" spans="1:20" ht="18.75" x14ac:dyDescent="0.3">
      <c r="A5" s="178" t="s">
        <v>49</v>
      </c>
      <c r="B5" s="85">
        <f>+'SAENZ BURUAGA'!K63</f>
        <v>4826474.96</v>
      </c>
      <c r="C5" s="45">
        <f>+'SAENZ BURUAGA'!D63</f>
        <v>12285</v>
      </c>
      <c r="D5" s="167">
        <f>+'SAENZ BURUAGA'!E63</f>
        <v>0</v>
      </c>
      <c r="E5" s="167">
        <f>+'SAENZ BURUAGA'!F63</f>
        <v>34.838000000000008</v>
      </c>
      <c r="F5" s="167">
        <f>+'SAENZ BURUAGA'!G63</f>
        <v>0</v>
      </c>
      <c r="G5" s="158">
        <f>+'SAENZ BURUAGA'!J63</f>
        <v>0</v>
      </c>
      <c r="H5" s="43"/>
      <c r="I5" s="36" t="s">
        <v>49</v>
      </c>
      <c r="J5" s="122">
        <f>+B5</f>
        <v>4826474.96</v>
      </c>
      <c r="K5" s="116">
        <v>53281.79</v>
      </c>
      <c r="L5" s="38">
        <f t="shared" si="0"/>
        <v>1.1039483358264435</v>
      </c>
      <c r="M5" s="47"/>
      <c r="N5" s="36" t="s">
        <v>49</v>
      </c>
      <c r="O5" s="119">
        <v>34.22</v>
      </c>
      <c r="P5" s="40">
        <v>490</v>
      </c>
      <c r="R5" s="44" t="s">
        <v>32</v>
      </c>
      <c r="S5" s="89">
        <v>154894.65000000002</v>
      </c>
      <c r="T5" s="100">
        <f t="shared" si="1"/>
        <v>162639.38250000004</v>
      </c>
    </row>
    <row r="6" spans="1:20" ht="18.75" x14ac:dyDescent="0.3">
      <c r="A6" s="84" t="s">
        <v>46</v>
      </c>
      <c r="B6" s="85">
        <f>+SCHMIDT!K63</f>
        <v>0</v>
      </c>
      <c r="C6" s="45">
        <f>+SCHMIDT!D63</f>
        <v>22290</v>
      </c>
      <c r="D6" s="167">
        <f>+SCHMIDT!E63</f>
        <v>0</v>
      </c>
      <c r="E6" s="167">
        <f>+SCHMIDT!F63</f>
        <v>34.173636363636369</v>
      </c>
      <c r="F6" s="167">
        <f>+SCHMIDT!G63</f>
        <v>0</v>
      </c>
      <c r="G6" s="158">
        <f>+SCHMIDT!J63</f>
        <v>0</v>
      </c>
      <c r="H6" s="46"/>
      <c r="I6" s="36" t="s">
        <v>25</v>
      </c>
      <c r="J6" s="122">
        <f>+B6</f>
        <v>0</v>
      </c>
      <c r="K6" s="116">
        <v>45111.55</v>
      </c>
      <c r="L6" s="38" t="e">
        <f t="shared" si="0"/>
        <v>#DIV/0!</v>
      </c>
      <c r="M6" s="47"/>
      <c r="N6" s="36" t="s">
        <v>46</v>
      </c>
      <c r="O6" s="121">
        <v>34.590000000000003</v>
      </c>
      <c r="P6" s="40">
        <v>910</v>
      </c>
      <c r="R6" s="44" t="s">
        <v>34</v>
      </c>
      <c r="S6" s="89">
        <v>138220.54999999999</v>
      </c>
      <c r="T6" s="100">
        <f t="shared" si="1"/>
        <v>145131.57749999998</v>
      </c>
    </row>
    <row r="7" spans="1:20" ht="18.75" x14ac:dyDescent="0.3">
      <c r="A7" s="178" t="s">
        <v>55</v>
      </c>
      <c r="B7" s="85" t="e">
        <f>+#REF!</f>
        <v>#REF!</v>
      </c>
      <c r="C7" s="45" t="e">
        <f>+#REF!</f>
        <v>#REF!</v>
      </c>
      <c r="D7" s="167" t="e">
        <f>+#REF!</f>
        <v>#REF!</v>
      </c>
      <c r="E7" s="167" t="e">
        <f>+#REF!</f>
        <v>#REF!</v>
      </c>
      <c r="F7" s="167" t="e">
        <f>+#REF!</f>
        <v>#REF!</v>
      </c>
      <c r="G7" s="158" t="e">
        <f>+#REF!</f>
        <v>#REF!</v>
      </c>
      <c r="H7" s="47"/>
      <c r="I7" s="36" t="s">
        <v>55</v>
      </c>
      <c r="J7" s="122" t="e">
        <f>+#REF!</f>
        <v>#REF!</v>
      </c>
      <c r="K7" s="116">
        <v>40232.49</v>
      </c>
      <c r="L7" s="38" t="e">
        <f t="shared" si="0"/>
        <v>#REF!</v>
      </c>
      <c r="M7" s="47"/>
      <c r="N7" s="36" t="s">
        <v>55</v>
      </c>
      <c r="O7" s="121">
        <v>34.130000000000003</v>
      </c>
      <c r="P7" s="40">
        <v>1230</v>
      </c>
      <c r="R7" s="84" t="s">
        <v>46</v>
      </c>
      <c r="S7" s="89">
        <v>157469.82</v>
      </c>
      <c r="T7" s="100">
        <f t="shared" si="1"/>
        <v>165343.31100000002</v>
      </c>
    </row>
    <row r="8" spans="1:20" ht="18.75" x14ac:dyDescent="0.3">
      <c r="A8" s="84" t="s">
        <v>56</v>
      </c>
      <c r="B8" s="85">
        <f>+CEJAS!K58</f>
        <v>0</v>
      </c>
      <c r="C8" s="45">
        <f>+CEJAS!D58</f>
        <v>17150</v>
      </c>
      <c r="D8" s="167">
        <f>+CEJAS!E58</f>
        <v>0</v>
      </c>
      <c r="E8" s="167">
        <f>+CEJAS!F58</f>
        <v>34.050000000000004</v>
      </c>
      <c r="F8" s="167">
        <f>+CEJAS!G58</f>
        <v>0</v>
      </c>
      <c r="G8" s="158">
        <f>+CEJAS!J58</f>
        <v>0</v>
      </c>
      <c r="H8" s="47"/>
      <c r="I8" s="36" t="s">
        <v>56</v>
      </c>
      <c r="J8" s="122">
        <f>+CEJAS!K58</f>
        <v>0</v>
      </c>
      <c r="K8" s="116">
        <v>39527.61</v>
      </c>
      <c r="L8" s="38" t="e">
        <f t="shared" si="0"/>
        <v>#DIV/0!</v>
      </c>
      <c r="M8" s="47"/>
      <c r="N8" s="36" t="s">
        <v>56</v>
      </c>
      <c r="O8" s="121">
        <v>37.24</v>
      </c>
      <c r="P8" s="40">
        <v>485</v>
      </c>
      <c r="R8" s="84" t="s">
        <v>51</v>
      </c>
      <c r="S8" s="89">
        <v>137470.69</v>
      </c>
      <c r="T8" s="100">
        <f t="shared" si="1"/>
        <v>144344.22450000001</v>
      </c>
    </row>
    <row r="9" spans="1:20" ht="18.75" x14ac:dyDescent="0.3">
      <c r="A9" s="178" t="s">
        <v>57</v>
      </c>
      <c r="B9" s="85">
        <f>+VALERGA!K47</f>
        <v>949499.51</v>
      </c>
      <c r="C9" s="45">
        <f>+VALERGA!D47</f>
        <v>18285</v>
      </c>
      <c r="D9" s="167">
        <f>+VALERGA!E47</f>
        <v>0</v>
      </c>
      <c r="E9" s="167" t="e">
        <f>+VALERGA!F47</f>
        <v>#REF!</v>
      </c>
      <c r="F9" s="167">
        <f>+VALERGA!G47</f>
        <v>36.07</v>
      </c>
      <c r="G9" s="158">
        <f>+VALERGA!J47</f>
        <v>0</v>
      </c>
      <c r="H9" s="47"/>
      <c r="I9" s="36" t="s">
        <v>57</v>
      </c>
      <c r="J9" s="122">
        <f>+VALERGA!K47</f>
        <v>949499.51</v>
      </c>
      <c r="K9" s="116">
        <v>39458.22</v>
      </c>
      <c r="L9" s="38">
        <f t="shared" si="0"/>
        <v>4.15568618882173</v>
      </c>
      <c r="M9" s="47"/>
      <c r="N9" s="36" t="s">
        <v>57</v>
      </c>
      <c r="O9" s="121">
        <v>34.78</v>
      </c>
      <c r="P9" s="40">
        <v>2665</v>
      </c>
      <c r="R9" s="84" t="s">
        <v>53</v>
      </c>
      <c r="S9" s="89">
        <v>139161.56000000003</v>
      </c>
      <c r="T9" s="100">
        <f t="shared" si="1"/>
        <v>146119.63800000004</v>
      </c>
    </row>
    <row r="10" spans="1:20" ht="18.75" x14ac:dyDescent="0.3">
      <c r="A10" s="84" t="s">
        <v>58</v>
      </c>
      <c r="B10" s="85">
        <f>+PUCHETA!K49</f>
        <v>0</v>
      </c>
      <c r="C10" s="45">
        <f>+PUCHETA!D49</f>
        <v>18655</v>
      </c>
      <c r="D10" s="167">
        <f>+PUCHETA!E49</f>
        <v>0</v>
      </c>
      <c r="E10" s="167">
        <f>+PUCHETA!F49</f>
        <v>34.904615384615383</v>
      </c>
      <c r="F10" s="167">
        <f>+PUCHETA!G49</f>
        <v>0</v>
      </c>
      <c r="G10" s="155">
        <f>+PUCHETA!J49</f>
        <v>0</v>
      </c>
      <c r="H10" s="47"/>
      <c r="I10" s="36" t="s">
        <v>58</v>
      </c>
      <c r="J10" s="122">
        <f>+PUCHETA!K49</f>
        <v>0</v>
      </c>
      <c r="K10" s="116">
        <v>41120.300000000003</v>
      </c>
      <c r="L10" s="38" t="e">
        <f t="shared" si="0"/>
        <v>#DIV/0!</v>
      </c>
      <c r="M10" s="47"/>
      <c r="N10" s="36" t="s">
        <v>58</v>
      </c>
      <c r="O10" s="121">
        <v>35.020000000000003</v>
      </c>
      <c r="P10" s="40">
        <v>225</v>
      </c>
      <c r="R10" s="115"/>
      <c r="S10" s="89"/>
      <c r="T10" s="100"/>
    </row>
    <row r="11" spans="1:20" ht="18.75" x14ac:dyDescent="0.3">
      <c r="A11" s="178" t="s">
        <v>59</v>
      </c>
      <c r="B11" s="85" t="e">
        <f>+#REF!</f>
        <v>#REF!</v>
      </c>
      <c r="C11" s="45" t="e">
        <f>+#REF!</f>
        <v>#REF!</v>
      </c>
      <c r="D11" s="167" t="e">
        <f>+#REF!</f>
        <v>#REF!</v>
      </c>
      <c r="E11" s="167" t="e">
        <f>+#REF!</f>
        <v>#REF!</v>
      </c>
      <c r="F11" s="167" t="e">
        <f>+#REF!</f>
        <v>#REF!</v>
      </c>
      <c r="G11" s="158" t="e">
        <f>+#REF!</f>
        <v>#REF!</v>
      </c>
      <c r="H11" s="47"/>
      <c r="I11" s="102"/>
      <c r="J11" s="125"/>
      <c r="K11" s="116"/>
      <c r="L11" s="38"/>
      <c r="M11" s="47"/>
      <c r="N11" s="102"/>
      <c r="O11" s="88"/>
      <c r="P11" s="14"/>
    </row>
    <row r="12" spans="1:20" ht="18.75" x14ac:dyDescent="0.3">
      <c r="A12" s="84" t="s">
        <v>60</v>
      </c>
      <c r="B12" s="85" t="e">
        <f>+#REF!</f>
        <v>#REF!</v>
      </c>
      <c r="C12" s="45" t="e">
        <f>+#REF!</f>
        <v>#REF!</v>
      </c>
      <c r="D12" s="167" t="e">
        <f>+#REF!</f>
        <v>#REF!</v>
      </c>
      <c r="E12" s="167" t="e">
        <f>+#REF!</f>
        <v>#REF!</v>
      </c>
      <c r="F12" s="167" t="e">
        <f>+#REF!</f>
        <v>#REF!</v>
      </c>
      <c r="G12" s="158" t="e">
        <f>+#REF!</f>
        <v>#REF!</v>
      </c>
      <c r="H12" s="47"/>
      <c r="J12" s="129"/>
      <c r="K12" s="130"/>
      <c r="L12" s="131"/>
    </row>
    <row r="13" spans="1:20" ht="18.75" x14ac:dyDescent="0.3">
      <c r="A13" s="84" t="s">
        <v>61</v>
      </c>
      <c r="B13" s="85">
        <f>+CALIGIURI!K49</f>
        <v>907612.2</v>
      </c>
      <c r="C13" s="45">
        <f>+CALIGIURI!D49</f>
        <v>5380</v>
      </c>
      <c r="D13" s="167">
        <f>+CALIGIURI!E49</f>
        <v>0</v>
      </c>
      <c r="E13" s="167">
        <f>+CALIGIURI!F49</f>
        <v>0</v>
      </c>
      <c r="F13" s="167">
        <f>+CALIGIURI!G49</f>
        <v>35.807499999999997</v>
      </c>
      <c r="G13" s="158">
        <f>+CALIGIURI!J49</f>
        <v>0</v>
      </c>
      <c r="H13" s="47"/>
      <c r="J13" s="129" t="s">
        <v>54</v>
      </c>
      <c r="K13" s="130"/>
      <c r="L13" s="131"/>
    </row>
    <row r="14" spans="1:20" ht="18.75" x14ac:dyDescent="0.3">
      <c r="A14" s="178" t="s">
        <v>62</v>
      </c>
      <c r="B14" s="85" t="e">
        <f>+#REF!</f>
        <v>#REF!</v>
      </c>
      <c r="C14" s="45" t="e">
        <f>+#REF!</f>
        <v>#REF!</v>
      </c>
      <c r="D14" s="167" t="e">
        <f>+#REF!</f>
        <v>#REF!</v>
      </c>
      <c r="E14" s="167" t="e">
        <f>+#REF!</f>
        <v>#REF!</v>
      </c>
      <c r="F14" s="167" t="e">
        <f>+#REF!</f>
        <v>#REF!</v>
      </c>
      <c r="G14" s="158" t="e">
        <f>+#REF!</f>
        <v>#REF!</v>
      </c>
      <c r="H14" s="47"/>
      <c r="J14" s="129"/>
      <c r="K14" s="130"/>
      <c r="L14" s="131"/>
    </row>
    <row r="15" spans="1:20" ht="18.75" x14ac:dyDescent="0.3">
      <c r="A15" s="84" t="s">
        <v>63</v>
      </c>
      <c r="B15" s="85" t="e">
        <f>GALLASTEGUI!#REF!</f>
        <v>#REF!</v>
      </c>
      <c r="C15" s="45" t="e">
        <f>+#REF!</f>
        <v>#REF!</v>
      </c>
      <c r="D15" s="167" t="e">
        <f>+#REF!</f>
        <v>#REF!</v>
      </c>
      <c r="E15" s="167" t="e">
        <f>+#REF!</f>
        <v>#REF!</v>
      </c>
      <c r="F15" s="167" t="e">
        <f>+#REF!</f>
        <v>#REF!</v>
      </c>
      <c r="G15" s="158" t="e">
        <f>+#REF!</f>
        <v>#REF!</v>
      </c>
      <c r="H15" s="47"/>
      <c r="J15" s="129"/>
      <c r="K15" s="130"/>
      <c r="L15" s="131"/>
    </row>
    <row r="16" spans="1:20" ht="18.75" x14ac:dyDescent="0.3">
      <c r="A16" s="84" t="s">
        <v>64</v>
      </c>
      <c r="B16" s="85" t="e">
        <f>+#REF!</f>
        <v>#REF!</v>
      </c>
      <c r="C16" s="45" t="e">
        <f>+#REF!</f>
        <v>#REF!</v>
      </c>
      <c r="D16" s="167" t="e">
        <f>+#REF!</f>
        <v>#REF!</v>
      </c>
      <c r="E16" s="167" t="e">
        <f>+#REF!</f>
        <v>#REF!</v>
      </c>
      <c r="F16" s="167" t="e">
        <f>+#REF!</f>
        <v>#REF!</v>
      </c>
      <c r="G16" s="158" t="e">
        <f>+#REF!</f>
        <v>#REF!</v>
      </c>
      <c r="H16" s="47"/>
      <c r="J16" s="129"/>
      <c r="K16" s="130"/>
      <c r="L16" s="131"/>
    </row>
    <row r="17" spans="1:12" ht="18.75" x14ac:dyDescent="0.3">
      <c r="A17" s="178" t="s">
        <v>68</v>
      </c>
      <c r="B17" s="85">
        <f>+ASTEAZARAN!K55</f>
        <v>0</v>
      </c>
      <c r="C17" s="45">
        <f>+ASTEAZARAN!D55</f>
        <v>14450</v>
      </c>
      <c r="D17" s="167">
        <f>+ASTEAZARAN!E55</f>
        <v>0</v>
      </c>
      <c r="E17" s="167">
        <f>+ASTEAZARAN!F55</f>
        <v>34.450000000000003</v>
      </c>
      <c r="F17" s="167">
        <f>+ASTEAZARAN!G55</f>
        <v>0</v>
      </c>
      <c r="G17" s="158">
        <f>+ASTEAZARAN!J55</f>
        <v>0</v>
      </c>
      <c r="H17" s="47"/>
      <c r="J17" s="129"/>
      <c r="K17" s="130"/>
      <c r="L17" s="131"/>
    </row>
    <row r="18" spans="1:12" ht="18.75" x14ac:dyDescent="0.3">
      <c r="A18" s="84" t="s">
        <v>69</v>
      </c>
      <c r="B18" s="85" t="e">
        <f>+#REF!</f>
        <v>#REF!</v>
      </c>
      <c r="C18" s="45" t="e">
        <f>+#REF!</f>
        <v>#REF!</v>
      </c>
      <c r="D18" s="167" t="e">
        <f>+#REF!</f>
        <v>#REF!</v>
      </c>
      <c r="E18" s="167" t="e">
        <f>+#REF!</f>
        <v>#REF!</v>
      </c>
      <c r="F18" s="167" t="e">
        <f>+#REF!</f>
        <v>#REF!</v>
      </c>
      <c r="G18" s="158" t="e">
        <f>+#REF!</f>
        <v>#REF!</v>
      </c>
      <c r="H18" s="47"/>
      <c r="J18" s="129"/>
      <c r="K18" s="130"/>
      <c r="L18" s="131"/>
    </row>
    <row r="19" spans="1:12" ht="18.75" x14ac:dyDescent="0.3">
      <c r="A19" s="178" t="s">
        <v>70</v>
      </c>
      <c r="B19" s="85">
        <f>+GARMENDIA!K47</f>
        <v>0</v>
      </c>
      <c r="C19" s="45">
        <f>+GARMENDIA!D47</f>
        <v>12120</v>
      </c>
      <c r="D19" s="168">
        <f>+GARMENDIA!E47</f>
        <v>0</v>
      </c>
      <c r="E19" s="168">
        <f>+GARMENDIA!F47</f>
        <v>34.44</v>
      </c>
      <c r="F19" s="167">
        <f>+GARMENDIA!G47</f>
        <v>0</v>
      </c>
      <c r="G19" s="158">
        <f>+GARMENDIA!J47</f>
        <v>0</v>
      </c>
      <c r="H19" s="47"/>
      <c r="J19" s="129"/>
      <c r="K19" s="130"/>
      <c r="L19" s="131"/>
    </row>
    <row r="20" spans="1:12" ht="18.75" x14ac:dyDescent="0.3">
      <c r="A20" s="178" t="s">
        <v>35</v>
      </c>
      <c r="B20" s="85" t="e">
        <f>+#REF!</f>
        <v>#REF!</v>
      </c>
      <c r="C20" s="45" t="e">
        <f>+#REF!</f>
        <v>#REF!</v>
      </c>
      <c r="D20" s="168" t="e">
        <f>+#REF!</f>
        <v>#REF!</v>
      </c>
      <c r="E20" s="168" t="e">
        <f>+#REF!</f>
        <v>#REF!</v>
      </c>
      <c r="F20" s="167" t="e">
        <f>+#REF!</f>
        <v>#REF!</v>
      </c>
      <c r="G20" s="158" t="e">
        <f>+#REF!</f>
        <v>#REF!</v>
      </c>
      <c r="H20" s="47"/>
      <c r="J20" s="129"/>
      <c r="K20" s="130"/>
      <c r="L20" s="131"/>
    </row>
    <row r="21" spans="1:12" ht="18.75" x14ac:dyDescent="0.3">
      <c r="A21" s="84" t="s">
        <v>73</v>
      </c>
      <c r="B21" s="85" t="e">
        <f>+#REF!</f>
        <v>#REF!</v>
      </c>
      <c r="C21" s="45" t="e">
        <f>+#REF!</f>
        <v>#REF!</v>
      </c>
      <c r="D21" s="168" t="e">
        <f>+#REF!</f>
        <v>#REF!</v>
      </c>
      <c r="E21" s="168" t="e">
        <f>+#REF!</f>
        <v>#REF!</v>
      </c>
      <c r="F21" s="167" t="e">
        <f>+#REF!</f>
        <v>#REF!</v>
      </c>
      <c r="G21" s="158" t="e">
        <f>+#REF!</f>
        <v>#REF!</v>
      </c>
      <c r="H21" s="47"/>
      <c r="J21" s="129"/>
      <c r="K21" s="130"/>
      <c r="L21" s="131"/>
    </row>
    <row r="22" spans="1:12" ht="18.75" x14ac:dyDescent="0.3">
      <c r="A22" s="84" t="s">
        <v>76</v>
      </c>
      <c r="B22" s="85" t="e">
        <f>+#REF!</f>
        <v>#REF!</v>
      </c>
      <c r="C22" s="165" t="e">
        <f>+#REF!</f>
        <v>#REF!</v>
      </c>
      <c r="D22" s="168" t="e">
        <f>+#REF!</f>
        <v>#REF!</v>
      </c>
      <c r="E22" s="168" t="e">
        <f>+#REF!</f>
        <v>#REF!</v>
      </c>
      <c r="F22" s="167" t="e">
        <f>+#REF!</f>
        <v>#REF!</v>
      </c>
      <c r="G22" s="158" t="e">
        <f>+#REF!</f>
        <v>#REF!</v>
      </c>
      <c r="H22" s="47"/>
      <c r="J22" s="129"/>
      <c r="K22" s="130"/>
      <c r="L22" s="131"/>
    </row>
    <row r="23" spans="1:12" ht="18.75" x14ac:dyDescent="0.3">
      <c r="A23" s="178" t="s">
        <v>82</v>
      </c>
      <c r="B23" s="85" t="e">
        <f>#REF!</f>
        <v>#REF!</v>
      </c>
      <c r="C23" s="165" t="e">
        <f>#REF!</f>
        <v>#REF!</v>
      </c>
      <c r="D23" s="168" t="e">
        <f>+#REF!</f>
        <v>#REF!</v>
      </c>
      <c r="E23" s="168" t="e">
        <f>+#REF!</f>
        <v>#REF!</v>
      </c>
      <c r="F23" s="167" t="e">
        <f>+#REF!</f>
        <v>#REF!</v>
      </c>
      <c r="G23" s="158" t="e">
        <f>+#REF!</f>
        <v>#REF!</v>
      </c>
      <c r="H23" s="47"/>
      <c r="J23" s="129"/>
      <c r="K23" s="130"/>
      <c r="L23" s="131"/>
    </row>
    <row r="24" spans="1:12" ht="18.75" x14ac:dyDescent="0.3">
      <c r="A24" s="178" t="s">
        <v>83</v>
      </c>
      <c r="B24" s="85" t="e">
        <f>+#REF!</f>
        <v>#REF!</v>
      </c>
      <c r="C24" s="165" t="e">
        <f>+#REF!</f>
        <v>#REF!</v>
      </c>
      <c r="D24" s="168" t="e">
        <f>+#REF!</f>
        <v>#REF!</v>
      </c>
      <c r="E24" s="168" t="e">
        <f>+#REF!</f>
        <v>#REF!</v>
      </c>
      <c r="F24" s="167" t="e">
        <f>+#REF!</f>
        <v>#REF!</v>
      </c>
      <c r="G24" s="158" t="e">
        <f>+#REF!</f>
        <v>#REF!</v>
      </c>
      <c r="H24" s="47"/>
      <c r="I24" t="s">
        <v>84</v>
      </c>
      <c r="J24" s="129"/>
      <c r="K24" s="130"/>
      <c r="L24" s="131"/>
    </row>
    <row r="25" spans="1:12" ht="18.75" x14ac:dyDescent="0.3">
      <c r="A25" s="84" t="s">
        <v>85</v>
      </c>
      <c r="B25" s="85">
        <f>+SALTO!K47</f>
        <v>329603.71000000002</v>
      </c>
      <c r="C25" s="165">
        <f>+SALTO!D47</f>
        <v>10630</v>
      </c>
      <c r="D25" s="168">
        <f>+SALTO!E47</f>
        <v>0</v>
      </c>
      <c r="E25" s="168">
        <f>+SALTO!F47</f>
        <v>0</v>
      </c>
      <c r="F25" s="167">
        <f>+SALTO!G47</f>
        <v>35.42166666666666</v>
      </c>
      <c r="G25" s="158">
        <f>+SALTO!J47</f>
        <v>0</v>
      </c>
      <c r="H25" s="47"/>
      <c r="J25" s="129"/>
      <c r="K25" s="130"/>
      <c r="L25" s="131"/>
    </row>
    <row r="26" spans="1:12" ht="18.75" x14ac:dyDescent="0.3">
      <c r="A26" s="84" t="s">
        <v>97</v>
      </c>
      <c r="B26" s="85" t="e">
        <f>+#REF!</f>
        <v>#REF!</v>
      </c>
      <c r="C26" s="165" t="e">
        <f>+#REF!</f>
        <v>#REF!</v>
      </c>
      <c r="D26" s="168" t="e">
        <f>+#REF!</f>
        <v>#REF!</v>
      </c>
      <c r="E26" s="168" t="e">
        <f>+#REF!</f>
        <v>#REF!</v>
      </c>
      <c r="F26" s="168" t="e">
        <f>+#REF!</f>
        <v>#REF!</v>
      </c>
      <c r="G26" s="181" t="e">
        <f>+#REF!</f>
        <v>#REF!</v>
      </c>
      <c r="H26" s="47"/>
      <c r="J26" s="129"/>
      <c r="K26" s="130"/>
      <c r="L26" s="131"/>
    </row>
    <row r="27" spans="1:12" ht="18.75" x14ac:dyDescent="0.3">
      <c r="A27" s="84" t="s">
        <v>105</v>
      </c>
      <c r="B27" s="85" t="e">
        <f>+#REF!</f>
        <v>#REF!</v>
      </c>
      <c r="C27" s="165" t="e">
        <f>+#REF!</f>
        <v>#REF!</v>
      </c>
      <c r="D27" s="168" t="e">
        <f>+#REF!</f>
        <v>#REF!</v>
      </c>
      <c r="E27" s="168" t="e">
        <f>+#REF!</f>
        <v>#REF!</v>
      </c>
      <c r="F27" s="168" t="e">
        <f>+#REF!</f>
        <v>#REF!</v>
      </c>
      <c r="G27" s="181" t="e">
        <f>+#REF!</f>
        <v>#REF!</v>
      </c>
      <c r="H27" s="47"/>
      <c r="J27" s="129"/>
      <c r="K27" s="130"/>
      <c r="L27" s="131"/>
    </row>
    <row r="28" spans="1:12" ht="18.75" x14ac:dyDescent="0.3">
      <c r="A28" s="84" t="s">
        <v>121</v>
      </c>
      <c r="B28" s="85" t="e">
        <f>+#REF!</f>
        <v>#REF!</v>
      </c>
      <c r="C28" s="165" t="e">
        <f>+#REF!</f>
        <v>#REF!</v>
      </c>
      <c r="D28" s="168" t="e">
        <f>+#REF!</f>
        <v>#REF!</v>
      </c>
      <c r="E28" s="168" t="e">
        <f>+#REF!</f>
        <v>#REF!</v>
      </c>
      <c r="F28" s="168" t="e">
        <f>+#REF!</f>
        <v>#REF!</v>
      </c>
      <c r="G28" s="181" t="e">
        <f>+#REF!</f>
        <v>#REF!</v>
      </c>
      <c r="H28" s="47"/>
      <c r="J28" s="129"/>
      <c r="K28" s="130"/>
      <c r="L28" s="131"/>
    </row>
    <row r="29" spans="1:12" ht="18.75" x14ac:dyDescent="0.3">
      <c r="A29" s="84" t="s">
        <v>122</v>
      </c>
      <c r="B29" s="85">
        <f>+BAZAN!K44</f>
        <v>3819123.3800000004</v>
      </c>
      <c r="C29" s="165">
        <f>+BAZAN!D44</f>
        <v>11750</v>
      </c>
      <c r="D29" s="168">
        <f>+BAZAN!E44</f>
        <v>0</v>
      </c>
      <c r="E29" s="168">
        <f>+BAZAN!F44</f>
        <v>34.123750000000001</v>
      </c>
      <c r="F29" s="168">
        <f>+BAZAN!G44</f>
        <v>0</v>
      </c>
      <c r="G29" s="181">
        <f>+BAZAN!J44</f>
        <v>0</v>
      </c>
      <c r="H29" s="47"/>
      <c r="J29" s="129"/>
      <c r="K29" s="130"/>
      <c r="L29" s="131"/>
    </row>
    <row r="30" spans="1:12" ht="18.75" x14ac:dyDescent="0.3">
      <c r="A30" s="84" t="s">
        <v>123</v>
      </c>
      <c r="B30" s="85">
        <f>+BORDIGNON!K62</f>
        <v>5157397.43</v>
      </c>
      <c r="C30" s="165">
        <f>+BORDIGNON!D62</f>
        <v>12340</v>
      </c>
      <c r="D30" s="168">
        <f>+BORDIGNON!E62</f>
        <v>0</v>
      </c>
      <c r="E30" s="168">
        <f>+BORDIGNON!F62</f>
        <v>34.801111111111112</v>
      </c>
      <c r="F30" s="168">
        <f>+BORDIGNON!G62</f>
        <v>0</v>
      </c>
      <c r="G30" s="181">
        <f>+BORDIGNON!J62</f>
        <v>0</v>
      </c>
      <c r="H30" s="47"/>
      <c r="J30" s="129"/>
      <c r="K30" s="130"/>
      <c r="L30" s="131"/>
    </row>
    <row r="31" spans="1:12" ht="18.75" x14ac:dyDescent="0.3">
      <c r="A31" s="84" t="s">
        <v>124</v>
      </c>
      <c r="B31" s="85">
        <f>+'LAGANO D'!K56</f>
        <v>3707966.67</v>
      </c>
      <c r="C31" s="165">
        <f>+'LAGANO D'!D56</f>
        <v>9980</v>
      </c>
      <c r="D31" s="168">
        <f>+'LAGANO D'!E56</f>
        <v>0</v>
      </c>
      <c r="E31" s="168">
        <f>+'LAGANO D'!F56</f>
        <v>34.7425</v>
      </c>
      <c r="F31" s="168">
        <f>+'LAGANO D'!G56</f>
        <v>0</v>
      </c>
      <c r="G31" s="181">
        <f>+'LAGANO D'!J56</f>
        <v>0</v>
      </c>
      <c r="H31" s="47"/>
      <c r="J31" s="129"/>
      <c r="K31" s="130"/>
      <c r="L31" s="131"/>
    </row>
    <row r="32" spans="1:12" ht="18.75" x14ac:dyDescent="0.3">
      <c r="A32" s="84" t="s">
        <v>125</v>
      </c>
      <c r="B32" s="85" t="e">
        <f>+#REF!</f>
        <v>#REF!</v>
      </c>
      <c r="C32" s="165" t="e">
        <f>+#REF!</f>
        <v>#REF!</v>
      </c>
      <c r="D32" s="168" t="e">
        <f>+#REF!</f>
        <v>#REF!</v>
      </c>
      <c r="E32" s="168" t="e">
        <f>+#REF!</f>
        <v>#REF!</v>
      </c>
      <c r="F32" s="168" t="e">
        <f>+#REF!</f>
        <v>#REF!</v>
      </c>
      <c r="G32" s="181" t="e">
        <f>+#REF!</f>
        <v>#REF!</v>
      </c>
      <c r="H32" s="47"/>
      <c r="J32" s="129"/>
      <c r="K32" s="130"/>
      <c r="L32" s="131"/>
    </row>
    <row r="33" spans="1:12" ht="18.75" x14ac:dyDescent="0.3">
      <c r="A33" s="84" t="s">
        <v>126</v>
      </c>
      <c r="B33" s="85">
        <f>+NOVILLO!K52</f>
        <v>0</v>
      </c>
      <c r="C33" s="165">
        <f>+NOVILLO!D52</f>
        <v>12405</v>
      </c>
      <c r="D33" s="168">
        <f>+NOVILLO!E52</f>
        <v>0</v>
      </c>
      <c r="E33" s="168">
        <f>+NOVILLO!F52</f>
        <v>34.523333333333333</v>
      </c>
      <c r="F33" s="168">
        <f>+NOVILLO!G52</f>
        <v>0</v>
      </c>
      <c r="G33" s="181">
        <f>+NOVILLO!J52</f>
        <v>0</v>
      </c>
      <c r="H33" s="47"/>
      <c r="J33" s="129"/>
      <c r="K33" s="130"/>
      <c r="L33" s="131"/>
    </row>
    <row r="34" spans="1:12" ht="18.75" x14ac:dyDescent="0.3">
      <c r="A34" s="48" t="s">
        <v>36</v>
      </c>
      <c r="B34" s="159" t="e">
        <f t="shared" ref="B34:G34" si="2">SUM(B2:B33)</f>
        <v>#REF!</v>
      </c>
      <c r="C34" s="49" t="e">
        <f t="shared" si="2"/>
        <v>#REF!</v>
      </c>
      <c r="D34" s="169" t="e">
        <f t="shared" si="2"/>
        <v>#REF!</v>
      </c>
      <c r="E34" s="169" t="e">
        <f t="shared" si="2"/>
        <v>#REF!</v>
      </c>
      <c r="F34" s="169" t="e">
        <f t="shared" si="2"/>
        <v>#REF!</v>
      </c>
      <c r="G34" s="156" t="e">
        <f t="shared" si="2"/>
        <v>#REF!</v>
      </c>
      <c r="H34" s="113" t="s">
        <v>7</v>
      </c>
    </row>
    <row r="35" spans="1:12" ht="18.75" x14ac:dyDescent="0.3">
      <c r="A35" s="48" t="s">
        <v>8</v>
      </c>
      <c r="B35" s="101"/>
      <c r="C35" s="50" t="e">
        <f>+C34/25</f>
        <v>#REF!</v>
      </c>
      <c r="D35" s="169" t="e">
        <f>+D34/25</f>
        <v>#REF!</v>
      </c>
      <c r="E35" s="169" t="e">
        <f>+E34/10</f>
        <v>#REF!</v>
      </c>
      <c r="F35" s="169" t="e">
        <f>+F34/1</f>
        <v>#REF!</v>
      </c>
      <c r="G35" s="157"/>
      <c r="H35" s="9" t="s">
        <v>7</v>
      </c>
    </row>
    <row r="36" spans="1:12" x14ac:dyDescent="0.25">
      <c r="D36" t="s">
        <v>96</v>
      </c>
      <c r="G36" s="9"/>
    </row>
    <row r="39" spans="1:12" x14ac:dyDescent="0.25">
      <c r="F39" t="s">
        <v>92</v>
      </c>
    </row>
  </sheetData>
  <pageMargins left="0.7" right="0.7" top="0.75" bottom="0.75" header="0.51180555555555496" footer="0.51180555555555496"/>
  <pageSetup paperSize="9" firstPageNumber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41"/>
  <sheetViews>
    <sheetView topLeftCell="A4" workbookViewId="0">
      <selection activeCell="L26" sqref="L26"/>
    </sheetView>
  </sheetViews>
  <sheetFormatPr baseColWidth="10" defaultColWidth="9.140625" defaultRowHeight="15" x14ac:dyDescent="0.25"/>
  <cols>
    <col min="2" max="2" width="15.28515625" customWidth="1"/>
    <col min="3" max="3" width="16.140625" customWidth="1"/>
    <col min="4" max="4" width="15.5703125" customWidth="1"/>
    <col min="5" max="6" width="13.85546875" customWidth="1"/>
    <col min="7" max="7" width="13.140625" customWidth="1"/>
    <col min="8" max="8" width="13" customWidth="1"/>
    <col min="9" max="9" width="17.28515625" customWidth="1"/>
    <col min="10" max="10" width="17.42578125" customWidth="1"/>
    <col min="11" max="11" width="18.42578125" customWidth="1"/>
    <col min="12" max="12" width="13.42578125" customWidth="1"/>
    <col min="13" max="13" width="13.85546875" customWidth="1"/>
    <col min="14" max="14" width="13.7109375" customWidth="1"/>
    <col min="15" max="15" width="12.7109375" customWidth="1"/>
    <col min="16" max="16" width="11.42578125" customWidth="1"/>
    <col min="17" max="17" width="12" customWidth="1"/>
  </cols>
  <sheetData>
    <row r="1" spans="1:12" ht="15.75" thickBot="1" x14ac:dyDescent="0.3"/>
    <row r="2" spans="1:12" x14ac:dyDescent="0.25">
      <c r="B2" s="294" t="s">
        <v>107</v>
      </c>
      <c r="C2" s="295"/>
      <c r="D2" s="295"/>
      <c r="E2" s="296"/>
      <c r="J2" s="89"/>
    </row>
    <row r="3" spans="1:12" x14ac:dyDescent="0.25">
      <c r="B3" s="297" t="s">
        <v>108</v>
      </c>
      <c r="C3" s="298"/>
      <c r="D3" s="298"/>
      <c r="E3" s="299"/>
      <c r="J3" s="89"/>
    </row>
    <row r="4" spans="1:12" x14ac:dyDescent="0.25">
      <c r="B4" s="300" t="s">
        <v>173</v>
      </c>
      <c r="C4" s="301"/>
      <c r="D4" s="301"/>
      <c r="E4" s="302"/>
      <c r="J4" s="89"/>
    </row>
    <row r="5" spans="1:12" x14ac:dyDescent="0.25">
      <c r="B5" s="300" t="s">
        <v>109</v>
      </c>
      <c r="C5" s="301"/>
      <c r="D5" s="301"/>
      <c r="E5" s="302"/>
      <c r="J5" s="89"/>
    </row>
    <row r="6" spans="1:12" ht="15.75" thickBot="1" x14ac:dyDescent="0.3">
      <c r="B6" s="303" t="s">
        <v>314</v>
      </c>
      <c r="C6" s="304"/>
      <c r="D6" s="304"/>
      <c r="E6" s="305"/>
      <c r="J6" s="102"/>
    </row>
    <row r="7" spans="1:12" ht="15.75" thickBot="1" x14ac:dyDescent="0.3">
      <c r="B7" t="s">
        <v>54</v>
      </c>
    </row>
    <row r="8" spans="1:12" ht="15.75" thickBot="1" x14ac:dyDescent="0.3">
      <c r="B8" s="183" t="s">
        <v>110</v>
      </c>
      <c r="C8" s="183" t="s">
        <v>111</v>
      </c>
      <c r="D8" s="183" t="s">
        <v>112</v>
      </c>
      <c r="E8" s="183" t="s">
        <v>113</v>
      </c>
      <c r="F8" s="183" t="s">
        <v>5</v>
      </c>
      <c r="G8" s="183" t="s">
        <v>117</v>
      </c>
      <c r="H8" s="183" t="s">
        <v>114</v>
      </c>
      <c r="I8" s="189" t="s">
        <v>116</v>
      </c>
      <c r="J8" s="183" t="s">
        <v>115</v>
      </c>
      <c r="L8" s="256" t="s">
        <v>291</v>
      </c>
    </row>
    <row r="9" spans="1:12" x14ac:dyDescent="0.25">
      <c r="B9" s="255" t="s">
        <v>147</v>
      </c>
      <c r="C9" s="264" t="s">
        <v>186</v>
      </c>
      <c r="D9" s="264" t="s">
        <v>146</v>
      </c>
      <c r="E9" s="272" t="s">
        <v>329</v>
      </c>
      <c r="F9" s="261" t="s">
        <v>101</v>
      </c>
      <c r="G9" s="253">
        <v>46026</v>
      </c>
      <c r="H9" s="252">
        <v>35.799999999999997</v>
      </c>
      <c r="I9" s="186">
        <f>+H9*93734.46</f>
        <v>3355693.6680000001</v>
      </c>
      <c r="J9" s="186">
        <f t="shared" ref="J9:J10" si="0">-I9*10%+I9</f>
        <v>3020124.3012000001</v>
      </c>
      <c r="L9" t="s">
        <v>292</v>
      </c>
    </row>
    <row r="10" spans="1:12" x14ac:dyDescent="0.25">
      <c r="B10" s="255" t="s">
        <v>147</v>
      </c>
      <c r="C10" s="269" t="s">
        <v>186</v>
      </c>
      <c r="D10" s="269" t="s">
        <v>146</v>
      </c>
      <c r="E10" s="272" t="s">
        <v>330</v>
      </c>
      <c r="F10" s="269" t="s">
        <v>101</v>
      </c>
      <c r="G10" s="253">
        <v>46030</v>
      </c>
      <c r="H10" s="252">
        <v>36.049999999999997</v>
      </c>
      <c r="I10" s="186">
        <f>+H10*93734.46</f>
        <v>3379127.2829999998</v>
      </c>
      <c r="J10" s="186">
        <f t="shared" si="0"/>
        <v>3041214.5546999997</v>
      </c>
      <c r="L10" t="s">
        <v>293</v>
      </c>
    </row>
    <row r="11" spans="1:12" x14ac:dyDescent="0.25">
      <c r="B11" s="14"/>
      <c r="H11" s="187">
        <f>SUM(H9:H10)</f>
        <v>71.849999999999994</v>
      </c>
      <c r="I11" s="193">
        <f>SUM(I9:I10)</f>
        <v>6734820.9509999994</v>
      </c>
      <c r="J11" s="188">
        <f>SUM(J9:J10)</f>
        <v>6061338.8558999998</v>
      </c>
    </row>
    <row r="12" spans="1:12" ht="15.75" thickBot="1" x14ac:dyDescent="0.3">
      <c r="J12" s="265">
        <v>-658720</v>
      </c>
      <c r="K12" s="87" t="s">
        <v>331</v>
      </c>
    </row>
    <row r="13" spans="1:12" ht="15.75" thickBot="1" x14ac:dyDescent="0.3">
      <c r="J13" s="249">
        <f>SUM(J11:J12)</f>
        <v>5402618.8558999998</v>
      </c>
      <c r="K13" s="250" t="s">
        <v>260</v>
      </c>
    </row>
    <row r="15" spans="1:12" ht="15.75" thickBot="1" x14ac:dyDescent="0.3">
      <c r="A15" s="11"/>
      <c r="B15" s="14"/>
      <c r="C15" s="11"/>
      <c r="D15" s="14"/>
      <c r="E15" s="14"/>
      <c r="G15" s="89"/>
      <c r="I15" s="89"/>
      <c r="J15" s="89"/>
    </row>
    <row r="16" spans="1:12" x14ac:dyDescent="0.25">
      <c r="A16" s="11"/>
      <c r="B16" s="294" t="s">
        <v>107</v>
      </c>
      <c r="C16" s="295"/>
      <c r="D16" s="295"/>
      <c r="E16" s="296"/>
      <c r="J16" s="89"/>
    </row>
    <row r="17" spans="1:13" x14ac:dyDescent="0.25">
      <c r="A17" s="11"/>
      <c r="B17" s="297" t="s">
        <v>108</v>
      </c>
      <c r="C17" s="298"/>
      <c r="D17" s="298"/>
      <c r="E17" s="299"/>
      <c r="J17" s="89"/>
    </row>
    <row r="18" spans="1:13" x14ac:dyDescent="0.25">
      <c r="A18" s="11"/>
      <c r="B18" s="300" t="s">
        <v>173</v>
      </c>
      <c r="C18" s="301"/>
      <c r="D18" s="301"/>
      <c r="E18" s="302"/>
      <c r="J18" s="89"/>
      <c r="K18" s="89"/>
    </row>
    <row r="19" spans="1:13" x14ac:dyDescent="0.25">
      <c r="A19" s="11"/>
      <c r="B19" s="300" t="s">
        <v>109</v>
      </c>
      <c r="C19" s="301"/>
      <c r="D19" s="301"/>
      <c r="E19" s="302"/>
      <c r="J19" s="89"/>
      <c r="K19" s="89"/>
    </row>
    <row r="20" spans="1:13" ht="15.75" thickBot="1" x14ac:dyDescent="0.3">
      <c r="A20" s="11"/>
      <c r="B20" s="303" t="s">
        <v>322</v>
      </c>
      <c r="C20" s="304"/>
      <c r="D20" s="304"/>
      <c r="E20" s="305"/>
      <c r="J20" s="102"/>
    </row>
    <row r="21" spans="1:13" x14ac:dyDescent="0.25">
      <c r="A21" s="11"/>
    </row>
    <row r="22" spans="1:13" ht="15.75" thickBot="1" x14ac:dyDescent="0.3">
      <c r="A22" s="11"/>
      <c r="B22" s="14"/>
      <c r="D22" s="99"/>
      <c r="E22" s="14"/>
      <c r="G22" s="4"/>
      <c r="J22" s="209"/>
    </row>
    <row r="23" spans="1:13" ht="15.75" thickBot="1" x14ac:dyDescent="0.3">
      <c r="A23" s="11"/>
      <c r="B23" s="183" t="s">
        <v>110</v>
      </c>
      <c r="C23" s="183" t="s">
        <v>111</v>
      </c>
      <c r="D23" s="183" t="s">
        <v>112</v>
      </c>
      <c r="E23" s="183" t="s">
        <v>113</v>
      </c>
      <c r="F23" s="183" t="s">
        <v>5</v>
      </c>
      <c r="G23" s="183" t="s">
        <v>117</v>
      </c>
      <c r="H23" s="183" t="s">
        <v>114</v>
      </c>
      <c r="I23" s="189" t="s">
        <v>116</v>
      </c>
      <c r="J23" s="183" t="s">
        <v>115</v>
      </c>
    </row>
    <row r="24" spans="1:13" x14ac:dyDescent="0.25">
      <c r="A24" s="11"/>
      <c r="B24" s="255" t="s">
        <v>147</v>
      </c>
      <c r="C24" s="271" t="s">
        <v>186</v>
      </c>
      <c r="D24" s="259" t="s">
        <v>146</v>
      </c>
      <c r="E24" s="267">
        <v>99816</v>
      </c>
      <c r="F24" s="263" t="s">
        <v>101</v>
      </c>
      <c r="G24" s="266">
        <v>46375</v>
      </c>
      <c r="H24" s="252"/>
      <c r="I24" s="186">
        <f>+H24*93734.46</f>
        <v>0</v>
      </c>
      <c r="J24" s="186">
        <f t="shared" ref="J24:J27" si="1">-I24*10%+I24</f>
        <v>0</v>
      </c>
    </row>
    <row r="25" spans="1:13" x14ac:dyDescent="0.25">
      <c r="A25" s="11"/>
      <c r="B25" s="268" t="s">
        <v>147</v>
      </c>
      <c r="C25" s="271" t="s">
        <v>186</v>
      </c>
      <c r="D25" s="267" t="s">
        <v>146</v>
      </c>
      <c r="E25" s="267">
        <v>99815</v>
      </c>
      <c r="F25" s="267" t="s">
        <v>101</v>
      </c>
      <c r="G25" s="266">
        <v>46377</v>
      </c>
      <c r="H25" s="252"/>
      <c r="I25" s="186">
        <f>+H25*93734.46</f>
        <v>0</v>
      </c>
      <c r="J25" s="186">
        <f t="shared" ref="J25" si="2">-I25*10%+I25</f>
        <v>0</v>
      </c>
    </row>
    <row r="26" spans="1:13" x14ac:dyDescent="0.25">
      <c r="A26" s="11"/>
      <c r="B26" s="255" t="s">
        <v>147</v>
      </c>
      <c r="C26" s="271" t="s">
        <v>186</v>
      </c>
      <c r="D26" s="259" t="s">
        <v>146</v>
      </c>
      <c r="E26" s="267">
        <v>100635</v>
      </c>
      <c r="F26" s="263" t="s">
        <v>101</v>
      </c>
      <c r="G26" s="266">
        <v>46383</v>
      </c>
      <c r="H26" s="252"/>
      <c r="I26" s="186">
        <f>+H26*93734.46</f>
        <v>0</v>
      </c>
      <c r="J26" s="186">
        <f t="shared" si="1"/>
        <v>0</v>
      </c>
    </row>
    <row r="27" spans="1:13" x14ac:dyDescent="0.25">
      <c r="A27" s="11"/>
      <c r="B27" s="255" t="s">
        <v>147</v>
      </c>
      <c r="C27" s="267"/>
      <c r="D27" s="259" t="s">
        <v>146</v>
      </c>
      <c r="E27" s="267"/>
      <c r="F27" s="263" t="s">
        <v>101</v>
      </c>
      <c r="G27" s="266"/>
      <c r="H27" s="252"/>
      <c r="I27" s="186">
        <f>+H27*84911.67</f>
        <v>0</v>
      </c>
      <c r="J27" s="186">
        <f t="shared" si="1"/>
        <v>0</v>
      </c>
    </row>
    <row r="28" spans="1:13" x14ac:dyDescent="0.25">
      <c r="A28" s="11"/>
      <c r="B28" s="14"/>
      <c r="H28" s="187">
        <f>SUM(H24:H27)</f>
        <v>0</v>
      </c>
      <c r="I28" s="193">
        <f>SUM(I24:I27)</f>
        <v>0</v>
      </c>
      <c r="J28" s="188">
        <f>SUM(J24:J27)</f>
        <v>0</v>
      </c>
    </row>
    <row r="29" spans="1:13" ht="15.75" thickBot="1" x14ac:dyDescent="0.3">
      <c r="A29" s="11"/>
      <c r="J29" s="265"/>
      <c r="K29" s="87" t="s">
        <v>324</v>
      </c>
    </row>
    <row r="30" spans="1:13" ht="15.75" thickBot="1" x14ac:dyDescent="0.3">
      <c r="A30" s="11"/>
      <c r="J30" s="249">
        <f>SUM(J28:J29)</f>
        <v>0</v>
      </c>
      <c r="K30" s="250" t="s">
        <v>260</v>
      </c>
    </row>
    <row r="31" spans="1:13" x14ac:dyDescent="0.25">
      <c r="A31" s="86"/>
      <c r="K31" s="102"/>
      <c r="M31" s="110"/>
    </row>
    <row r="32" spans="1:13" x14ac:dyDescent="0.25">
      <c r="A32" s="86"/>
      <c r="M32" s="112"/>
    </row>
    <row r="33" spans="1:17" x14ac:dyDescent="0.25">
      <c r="A33" s="86"/>
      <c r="M33" s="112"/>
    </row>
    <row r="34" spans="1:17" x14ac:dyDescent="0.25">
      <c r="A34" s="86"/>
      <c r="M34" s="112"/>
    </row>
    <row r="35" spans="1:17" x14ac:dyDescent="0.25">
      <c r="A35" s="86"/>
      <c r="M35" s="112"/>
    </row>
    <row r="36" spans="1:17" x14ac:dyDescent="0.25">
      <c r="A36" s="86"/>
      <c r="M36" s="112"/>
    </row>
    <row r="37" spans="1:17" x14ac:dyDescent="0.25">
      <c r="A37" s="86"/>
      <c r="M37" s="112"/>
    </row>
    <row r="38" spans="1:17" x14ac:dyDescent="0.25">
      <c r="A38" s="86"/>
      <c r="M38" s="112"/>
    </row>
    <row r="39" spans="1:17" x14ac:dyDescent="0.25">
      <c r="A39" s="86"/>
      <c r="M39" s="112"/>
    </row>
    <row r="40" spans="1:17" x14ac:dyDescent="0.25">
      <c r="A40" s="86"/>
      <c r="P40" s="89"/>
      <c r="Q40" s="89"/>
    </row>
    <row r="41" spans="1:17" x14ac:dyDescent="0.25">
      <c r="A41" s="86"/>
      <c r="P41" s="89"/>
      <c r="Q41" s="89"/>
    </row>
  </sheetData>
  <mergeCells count="10">
    <mergeCell ref="B16:E16"/>
    <mergeCell ref="B17:E17"/>
    <mergeCell ref="B18:E18"/>
    <mergeCell ref="B19:E19"/>
    <mergeCell ref="B20:E20"/>
    <mergeCell ref="B2:E2"/>
    <mergeCell ref="B3:E3"/>
    <mergeCell ref="B4:E4"/>
    <mergeCell ref="B5:E5"/>
    <mergeCell ref="B6:E6"/>
  </mergeCells>
  <phoneticPr fontId="15" type="noConversion"/>
  <pageMargins left="0.7" right="0.7" top="0.75" bottom="0.75" header="0.51180555555555496" footer="0.51180555555555496"/>
  <pageSetup paperSize="9" firstPageNumber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47"/>
  <sheetViews>
    <sheetView topLeftCell="A10" workbookViewId="0">
      <selection activeCell="J28" sqref="J28"/>
    </sheetView>
  </sheetViews>
  <sheetFormatPr baseColWidth="10" defaultColWidth="9.140625" defaultRowHeight="15" x14ac:dyDescent="0.25"/>
  <cols>
    <col min="2" max="2" width="13.42578125" customWidth="1"/>
    <col min="3" max="3" width="16.42578125" customWidth="1"/>
    <col min="4" max="4" width="17.7109375" customWidth="1"/>
    <col min="5" max="5" width="18.140625" customWidth="1"/>
    <col min="6" max="6" width="13.85546875" customWidth="1"/>
    <col min="7" max="7" width="12.7109375" customWidth="1"/>
    <col min="8" max="8" width="11.42578125" customWidth="1"/>
    <col min="9" max="10" width="17.42578125" customWidth="1"/>
    <col min="11" max="11" width="22.85546875" customWidth="1"/>
    <col min="12" max="12" width="10.140625" customWidth="1"/>
    <col min="13" max="13" width="16" customWidth="1"/>
    <col min="14" max="14" width="15.85546875" customWidth="1"/>
    <col min="15" max="15" width="13.7109375" customWidth="1"/>
    <col min="16" max="16" width="12.7109375" customWidth="1"/>
    <col min="17" max="17" width="11.42578125" customWidth="1"/>
    <col min="18" max="18" width="12" customWidth="1"/>
  </cols>
  <sheetData>
    <row r="1" spans="2:11" ht="15.75" thickBot="1" x14ac:dyDescent="0.3"/>
    <row r="2" spans="2:11" x14ac:dyDescent="0.25">
      <c r="B2" s="294" t="s">
        <v>107</v>
      </c>
      <c r="C2" s="295"/>
      <c r="D2" s="295"/>
      <c r="E2" s="296"/>
    </row>
    <row r="3" spans="2:11" x14ac:dyDescent="0.25">
      <c r="B3" s="297" t="s">
        <v>250</v>
      </c>
      <c r="C3" s="298"/>
      <c r="D3" s="298"/>
      <c r="E3" s="299"/>
    </row>
    <row r="4" spans="2:11" x14ac:dyDescent="0.25">
      <c r="B4" s="300" t="s">
        <v>248</v>
      </c>
      <c r="C4" s="301"/>
      <c r="D4" s="301"/>
      <c r="E4" s="302"/>
    </row>
    <row r="5" spans="2:11" x14ac:dyDescent="0.25">
      <c r="B5" s="300" t="s">
        <v>109</v>
      </c>
      <c r="C5" s="301"/>
      <c r="D5" s="301"/>
      <c r="E5" s="302"/>
    </row>
    <row r="6" spans="2:11" ht="15.75" thickBot="1" x14ac:dyDescent="0.3">
      <c r="B6" s="303" t="s">
        <v>315</v>
      </c>
      <c r="C6" s="304"/>
      <c r="D6" s="304"/>
      <c r="E6" s="305"/>
    </row>
    <row r="7" spans="2:11" ht="15.75" thickBot="1" x14ac:dyDescent="0.3"/>
    <row r="8" spans="2:11" ht="15.75" thickBot="1" x14ac:dyDescent="0.3">
      <c r="B8" s="183" t="s">
        <v>110</v>
      </c>
      <c r="C8" s="183" t="s">
        <v>111</v>
      </c>
      <c r="D8" s="183" t="s">
        <v>112</v>
      </c>
      <c r="E8" s="183" t="s">
        <v>113</v>
      </c>
      <c r="F8" s="183" t="s">
        <v>5</v>
      </c>
      <c r="G8" s="183" t="s">
        <v>117</v>
      </c>
      <c r="H8" s="183" t="s">
        <v>114</v>
      </c>
      <c r="I8" s="189" t="s">
        <v>116</v>
      </c>
      <c r="J8" s="183" t="s">
        <v>115</v>
      </c>
      <c r="K8" s="102"/>
    </row>
    <row r="9" spans="2:11" x14ac:dyDescent="0.25">
      <c r="B9" s="190" t="s">
        <v>147</v>
      </c>
      <c r="C9" s="192" t="s">
        <v>316</v>
      </c>
      <c r="D9" s="190" t="s">
        <v>146</v>
      </c>
      <c r="E9" s="190" t="s">
        <v>317</v>
      </c>
      <c r="F9" s="190" t="s">
        <v>101</v>
      </c>
      <c r="G9" s="184">
        <v>45988</v>
      </c>
      <c r="H9" s="185"/>
      <c r="I9" s="191">
        <f>+H9*88207.78</f>
        <v>0</v>
      </c>
      <c r="J9" s="191">
        <f>-I9*10%+I9</f>
        <v>0</v>
      </c>
    </row>
    <row r="10" spans="2:11" x14ac:dyDescent="0.25">
      <c r="B10" s="190" t="s">
        <v>147</v>
      </c>
      <c r="C10" s="190" t="s">
        <v>118</v>
      </c>
      <c r="D10" s="190" t="s">
        <v>146</v>
      </c>
      <c r="E10" s="190" t="s">
        <v>318</v>
      </c>
      <c r="F10" s="192" t="s">
        <v>101</v>
      </c>
      <c r="G10" s="184">
        <v>45994</v>
      </c>
      <c r="H10" s="185"/>
      <c r="I10" s="191">
        <f>+H10*93734.46</f>
        <v>0</v>
      </c>
      <c r="J10" s="191">
        <f>-I10*10%+I10</f>
        <v>0</v>
      </c>
    </row>
    <row r="11" spans="2:11" x14ac:dyDescent="0.25">
      <c r="B11" s="190" t="s">
        <v>147</v>
      </c>
      <c r="C11" s="190" t="s">
        <v>271</v>
      </c>
      <c r="D11" s="190" t="s">
        <v>146</v>
      </c>
      <c r="E11" s="190" t="s">
        <v>319</v>
      </c>
      <c r="F11" s="190" t="s">
        <v>101</v>
      </c>
      <c r="G11" s="184">
        <v>46001</v>
      </c>
      <c r="H11" s="185"/>
      <c r="I11" s="191">
        <f>+H11*88207.78</f>
        <v>0</v>
      </c>
      <c r="J11" s="191">
        <f>-I11*10%+I11</f>
        <v>0</v>
      </c>
    </row>
    <row r="12" spans="2:11" x14ac:dyDescent="0.25">
      <c r="B12" s="14"/>
      <c r="H12" s="187">
        <f>SUM(H9:H11)</f>
        <v>0</v>
      </c>
      <c r="I12" s="193">
        <f>SUM(I9:I11)</f>
        <v>0</v>
      </c>
      <c r="J12" s="188">
        <f>SUM(J9:J11)</f>
        <v>0</v>
      </c>
    </row>
    <row r="13" spans="2:11" ht="15.75" thickBot="1" x14ac:dyDescent="0.3">
      <c r="B13" s="87"/>
      <c r="E13" s="87"/>
      <c r="H13" s="4"/>
      <c r="J13" s="209"/>
      <c r="K13" s="87" t="s">
        <v>320</v>
      </c>
    </row>
    <row r="14" spans="2:11" ht="15.75" thickBot="1" x14ac:dyDescent="0.3">
      <c r="B14" s="14"/>
      <c r="E14" s="87"/>
      <c r="H14" s="4"/>
      <c r="J14" s="249">
        <f>SUM(J12:J13)</f>
        <v>0</v>
      </c>
      <c r="K14" s="250" t="s">
        <v>260</v>
      </c>
    </row>
    <row r="15" spans="2:11" x14ac:dyDescent="0.25">
      <c r="B15" s="14"/>
      <c r="E15" s="87"/>
      <c r="H15" s="4"/>
    </row>
    <row r="17" spans="1:18" ht="15.75" thickBot="1" x14ac:dyDescent="0.3">
      <c r="J17" s="262"/>
      <c r="K17" s="87"/>
    </row>
    <row r="18" spans="1:18" x14ac:dyDescent="0.25">
      <c r="A18" s="11"/>
      <c r="B18" s="294" t="s">
        <v>107</v>
      </c>
      <c r="C18" s="295"/>
      <c r="D18" s="295"/>
      <c r="E18" s="296"/>
      <c r="G18" s="87"/>
      <c r="J18" s="102"/>
      <c r="K18" s="102"/>
    </row>
    <row r="19" spans="1:18" x14ac:dyDescent="0.25">
      <c r="A19" s="11"/>
      <c r="B19" s="297" t="s">
        <v>250</v>
      </c>
      <c r="C19" s="298"/>
      <c r="D19" s="298"/>
      <c r="E19" s="299"/>
      <c r="L19" s="102"/>
      <c r="N19" s="110"/>
    </row>
    <row r="20" spans="1:18" x14ac:dyDescent="0.25">
      <c r="A20" s="11"/>
      <c r="B20" s="300" t="s">
        <v>248</v>
      </c>
      <c r="C20" s="301"/>
      <c r="D20" s="301"/>
      <c r="E20" s="302"/>
      <c r="K20" s="102"/>
      <c r="M20" s="110"/>
    </row>
    <row r="21" spans="1:18" x14ac:dyDescent="0.25">
      <c r="A21" s="11"/>
      <c r="B21" s="300" t="s">
        <v>109</v>
      </c>
      <c r="C21" s="301"/>
      <c r="D21" s="301"/>
      <c r="E21" s="302"/>
      <c r="K21" s="102"/>
      <c r="L21" s="102"/>
      <c r="N21" s="110"/>
    </row>
    <row r="22" spans="1:18" ht="15.75" thickBot="1" x14ac:dyDescent="0.3">
      <c r="A22" s="86"/>
      <c r="B22" s="303" t="s">
        <v>323</v>
      </c>
      <c r="C22" s="304"/>
      <c r="D22" s="304"/>
      <c r="E22" s="305"/>
      <c r="K22" s="102"/>
      <c r="L22" s="102"/>
      <c r="N22" s="110"/>
    </row>
    <row r="23" spans="1:18" ht="15.75" thickBot="1" x14ac:dyDescent="0.3">
      <c r="A23" s="86"/>
      <c r="K23" s="102"/>
      <c r="L23" s="102"/>
      <c r="N23" s="110"/>
    </row>
    <row r="24" spans="1:18" ht="15.75" thickBot="1" x14ac:dyDescent="0.3">
      <c r="A24" s="86"/>
      <c r="B24" s="183" t="s">
        <v>110</v>
      </c>
      <c r="C24" s="183" t="s">
        <v>111</v>
      </c>
      <c r="D24" s="183" t="s">
        <v>112</v>
      </c>
      <c r="E24" s="183" t="s">
        <v>113</v>
      </c>
      <c r="F24" s="183" t="s">
        <v>5</v>
      </c>
      <c r="G24" s="183" t="s">
        <v>117</v>
      </c>
      <c r="H24" s="183" t="s">
        <v>114</v>
      </c>
      <c r="I24" s="189" t="s">
        <v>116</v>
      </c>
      <c r="J24" s="183" t="s">
        <v>115</v>
      </c>
      <c r="K24" s="102"/>
      <c r="N24" s="111"/>
    </row>
    <row r="25" spans="1:18" x14ac:dyDescent="0.25">
      <c r="A25" s="86"/>
      <c r="B25" s="190" t="s">
        <v>147</v>
      </c>
      <c r="C25" s="192"/>
      <c r="D25" s="190" t="s">
        <v>146</v>
      </c>
      <c r="E25" s="190"/>
      <c r="F25" s="190" t="s">
        <v>101</v>
      </c>
      <c r="G25" s="184"/>
      <c r="H25" s="185"/>
      <c r="I25" s="191">
        <f>+H25*89359.82</f>
        <v>0</v>
      </c>
      <c r="J25" s="191">
        <f>-I25*10%+I25</f>
        <v>0</v>
      </c>
    </row>
    <row r="26" spans="1:18" x14ac:dyDescent="0.25">
      <c r="A26" s="86"/>
      <c r="B26" s="190" t="s">
        <v>147</v>
      </c>
      <c r="C26" s="190" t="s">
        <v>240</v>
      </c>
      <c r="D26" s="190" t="s">
        <v>146</v>
      </c>
      <c r="E26" s="190">
        <v>275560</v>
      </c>
      <c r="F26" s="190" t="s">
        <v>101</v>
      </c>
      <c r="G26" s="184">
        <v>46383</v>
      </c>
      <c r="H26" s="185"/>
      <c r="I26" s="191">
        <f>+H26*89153.18</f>
        <v>0</v>
      </c>
      <c r="J26" s="191">
        <f>-I26*10%+I26</f>
        <v>0</v>
      </c>
    </row>
    <row r="27" spans="1:18" x14ac:dyDescent="0.25">
      <c r="A27" s="86"/>
      <c r="B27" s="14"/>
      <c r="H27" s="187">
        <f>SUM(H25:H26)</f>
        <v>0</v>
      </c>
      <c r="I27" s="193">
        <f>SUM(I25:I26)</f>
        <v>0</v>
      </c>
      <c r="J27" s="188">
        <f>SUM(J25:J26)</f>
        <v>0</v>
      </c>
      <c r="Q27" s="89"/>
      <c r="R27" s="89"/>
    </row>
    <row r="28" spans="1:18" ht="15.75" thickBot="1" x14ac:dyDescent="0.3">
      <c r="A28" s="11"/>
      <c r="B28" s="87"/>
      <c r="E28" s="87"/>
      <c r="H28" s="4"/>
      <c r="J28" s="209"/>
      <c r="K28" s="87" t="s">
        <v>325</v>
      </c>
      <c r="Q28" s="89"/>
      <c r="R28" s="89"/>
    </row>
    <row r="29" spans="1:18" ht="15.75" thickBot="1" x14ac:dyDescent="0.3">
      <c r="A29" s="11"/>
      <c r="B29" s="14"/>
      <c r="E29" s="87"/>
      <c r="H29" s="4"/>
      <c r="J29" s="249">
        <f>SUM(J27:J28)</f>
        <v>0</v>
      </c>
      <c r="K29" s="250" t="s">
        <v>260</v>
      </c>
      <c r="Q29" s="89"/>
      <c r="R29" s="89"/>
    </row>
    <row r="30" spans="1:18" x14ac:dyDescent="0.25">
      <c r="A30" s="11"/>
      <c r="B30" s="14"/>
      <c r="E30" s="87"/>
      <c r="H30" s="4"/>
      <c r="Q30" s="89"/>
      <c r="R30" s="89"/>
    </row>
    <row r="31" spans="1:18" ht="15.75" thickBot="1" x14ac:dyDescent="0.3"/>
    <row r="32" spans="1:18" ht="15.75" thickBot="1" x14ac:dyDescent="0.3">
      <c r="B32" s="183" t="s">
        <v>110</v>
      </c>
      <c r="C32" s="183" t="s">
        <v>111</v>
      </c>
      <c r="D32" s="183" t="s">
        <v>112</v>
      </c>
      <c r="E32" s="183" t="s">
        <v>113</v>
      </c>
      <c r="F32" s="183" t="s">
        <v>5</v>
      </c>
      <c r="G32" s="183" t="s">
        <v>117</v>
      </c>
      <c r="H32" s="183" t="s">
        <v>114</v>
      </c>
      <c r="I32" s="189" t="s">
        <v>116</v>
      </c>
      <c r="J32" s="183" t="s">
        <v>115</v>
      </c>
      <c r="K32" s="14"/>
    </row>
    <row r="33" spans="2:11" x14ac:dyDescent="0.25">
      <c r="B33" s="192" t="s">
        <v>72</v>
      </c>
      <c r="C33" s="192"/>
      <c r="D33" s="190"/>
      <c r="E33" s="190"/>
      <c r="F33" s="190"/>
      <c r="G33" s="184"/>
      <c r="H33" s="185"/>
      <c r="I33" s="191"/>
      <c r="J33" s="191">
        <f t="shared" ref="J33:J44" si="0">-I33*10%+I33</f>
        <v>0</v>
      </c>
    </row>
    <row r="34" spans="2:11" x14ac:dyDescent="0.25">
      <c r="B34" s="192" t="s">
        <v>72</v>
      </c>
      <c r="C34" s="192"/>
      <c r="D34" s="190"/>
      <c r="E34" s="190"/>
      <c r="F34" s="190"/>
      <c r="G34" s="184"/>
      <c r="H34" s="185"/>
      <c r="I34" s="191"/>
      <c r="J34" s="191">
        <f t="shared" si="0"/>
        <v>0</v>
      </c>
    </row>
    <row r="35" spans="2:11" x14ac:dyDescent="0.25">
      <c r="B35" s="192" t="s">
        <v>72</v>
      </c>
      <c r="C35" s="192"/>
      <c r="D35" s="190"/>
      <c r="E35" s="190"/>
      <c r="F35" s="190"/>
      <c r="G35" s="184"/>
      <c r="H35" s="185"/>
      <c r="I35" s="191"/>
      <c r="J35" s="191">
        <f t="shared" si="0"/>
        <v>0</v>
      </c>
    </row>
    <row r="36" spans="2:11" x14ac:dyDescent="0.25">
      <c r="B36" s="192" t="s">
        <v>72</v>
      </c>
      <c r="C36" s="192"/>
      <c r="D36" s="190"/>
      <c r="E36" s="190"/>
      <c r="F36" s="190"/>
      <c r="G36" s="184"/>
      <c r="H36" s="185"/>
      <c r="I36" s="191"/>
      <c r="J36" s="191">
        <f t="shared" si="0"/>
        <v>0</v>
      </c>
    </row>
    <row r="37" spans="2:11" x14ac:dyDescent="0.25">
      <c r="B37" s="192" t="s">
        <v>72</v>
      </c>
      <c r="C37" s="192"/>
      <c r="D37" s="190"/>
      <c r="E37" s="190"/>
      <c r="F37" s="190"/>
      <c r="G37" s="184"/>
      <c r="H37" s="185"/>
      <c r="I37" s="191"/>
      <c r="J37" s="191">
        <f t="shared" si="0"/>
        <v>0</v>
      </c>
    </row>
    <row r="38" spans="2:11" x14ac:dyDescent="0.25">
      <c r="B38" s="192" t="s">
        <v>72</v>
      </c>
      <c r="C38" s="192"/>
      <c r="D38" s="190"/>
      <c r="E38" s="190"/>
      <c r="F38" s="190"/>
      <c r="G38" s="184"/>
      <c r="H38" s="185"/>
      <c r="I38" s="191"/>
      <c r="J38" s="191">
        <f t="shared" si="0"/>
        <v>0</v>
      </c>
    </row>
    <row r="39" spans="2:11" x14ac:dyDescent="0.25">
      <c r="B39" s="192" t="s">
        <v>72</v>
      </c>
      <c r="C39" s="192"/>
      <c r="D39" s="190"/>
      <c r="E39" s="190"/>
      <c r="F39" s="190"/>
      <c r="G39" s="184"/>
      <c r="H39" s="185"/>
      <c r="I39" s="191"/>
      <c r="J39" s="191">
        <f t="shared" si="0"/>
        <v>0</v>
      </c>
    </row>
    <row r="40" spans="2:11" x14ac:dyDescent="0.25">
      <c r="B40" s="192" t="s">
        <v>72</v>
      </c>
      <c r="C40" s="192"/>
      <c r="D40" s="190"/>
      <c r="E40" s="190"/>
      <c r="F40" s="190"/>
      <c r="G40" s="184"/>
      <c r="H40" s="185"/>
      <c r="I40" s="191"/>
      <c r="J40" s="191">
        <f t="shared" si="0"/>
        <v>0</v>
      </c>
    </row>
    <row r="41" spans="2:11" x14ac:dyDescent="0.25">
      <c r="B41" s="192" t="s">
        <v>72</v>
      </c>
      <c r="C41" s="192"/>
      <c r="D41" s="190"/>
      <c r="E41" s="190"/>
      <c r="F41" s="190"/>
      <c r="G41" s="184"/>
      <c r="H41" s="185"/>
      <c r="I41" s="191"/>
      <c r="J41" s="191">
        <f t="shared" si="0"/>
        <v>0</v>
      </c>
    </row>
    <row r="42" spans="2:11" x14ac:dyDescent="0.25">
      <c r="B42" s="192" t="s">
        <v>72</v>
      </c>
      <c r="C42" s="192"/>
      <c r="D42" s="190"/>
      <c r="E42" s="190"/>
      <c r="F42" s="260"/>
      <c r="G42" s="184"/>
      <c r="H42" s="185"/>
      <c r="I42" s="191"/>
      <c r="J42" s="191">
        <f t="shared" si="0"/>
        <v>0</v>
      </c>
    </row>
    <row r="43" spans="2:11" x14ac:dyDescent="0.25">
      <c r="B43" s="192" t="s">
        <v>72</v>
      </c>
      <c r="C43" s="192"/>
      <c r="D43" s="190"/>
      <c r="E43" s="190"/>
      <c r="F43" s="260"/>
      <c r="G43" s="184"/>
      <c r="H43" s="185"/>
      <c r="I43" s="191"/>
      <c r="J43" s="191">
        <f t="shared" si="0"/>
        <v>0</v>
      </c>
    </row>
    <row r="44" spans="2:11" x14ac:dyDescent="0.25">
      <c r="B44" s="192" t="s">
        <v>72</v>
      </c>
      <c r="C44" s="192"/>
      <c r="D44" s="190"/>
      <c r="E44" s="190"/>
      <c r="F44" s="260"/>
      <c r="G44" s="184"/>
      <c r="H44" s="185"/>
      <c r="I44" s="191"/>
      <c r="J44" s="191">
        <f t="shared" si="0"/>
        <v>0</v>
      </c>
    </row>
    <row r="45" spans="2:11" x14ac:dyDescent="0.25">
      <c r="B45" s="14"/>
      <c r="H45" s="187">
        <f>SUM(H33:H44)</f>
        <v>0</v>
      </c>
      <c r="I45" s="193">
        <f>SUM(I33:I44)</f>
        <v>0</v>
      </c>
      <c r="J45" s="188">
        <f>SUM(J33:J44)</f>
        <v>0</v>
      </c>
    </row>
    <row r="46" spans="2:11" ht="15.75" thickBot="1" x14ac:dyDescent="0.3">
      <c r="J46" s="209">
        <v>-2372664</v>
      </c>
      <c r="K46" s="87" t="s">
        <v>310</v>
      </c>
    </row>
    <row r="47" spans="2:11" ht="15.75" thickBot="1" x14ac:dyDescent="0.3">
      <c r="J47" s="249">
        <f>SUM(J45:J46)</f>
        <v>-2372664</v>
      </c>
      <c r="K47" s="250" t="s">
        <v>260</v>
      </c>
    </row>
  </sheetData>
  <mergeCells count="10">
    <mergeCell ref="B2:E2"/>
    <mergeCell ref="B3:E3"/>
    <mergeCell ref="B4:E4"/>
    <mergeCell ref="B5:E5"/>
    <mergeCell ref="B6:E6"/>
    <mergeCell ref="B19:E19"/>
    <mergeCell ref="B20:E20"/>
    <mergeCell ref="B21:E21"/>
    <mergeCell ref="B22:E22"/>
    <mergeCell ref="B18:E18"/>
  </mergeCells>
  <pageMargins left="0.7" right="0.7" top="0.75" bottom="0.75" header="0.51180555555555496" footer="0.51180555555555496"/>
  <pageSetup paperSize="9" firstPageNumber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R61"/>
  <sheetViews>
    <sheetView workbookViewId="0">
      <selection activeCell="G3" sqref="G3"/>
    </sheetView>
  </sheetViews>
  <sheetFormatPr baseColWidth="10" defaultColWidth="9.140625" defaultRowHeight="15" x14ac:dyDescent="0.25"/>
  <cols>
    <col min="1" max="1" width="14.42578125" customWidth="1"/>
    <col min="2" max="2" width="16.28515625" customWidth="1"/>
    <col min="3" max="3" width="18.28515625" customWidth="1"/>
    <col min="4" max="4" width="25.42578125" customWidth="1"/>
    <col min="5" max="6" width="11.28515625" customWidth="1"/>
    <col min="7" max="7" width="17" customWidth="1"/>
    <col min="8" max="8" width="18.140625" customWidth="1"/>
    <col min="9" max="9" width="19.140625" customWidth="1"/>
    <col min="10" max="10" width="21.42578125" customWidth="1"/>
    <col min="11" max="11" width="12.42578125" customWidth="1"/>
    <col min="12" max="12" width="10.140625" customWidth="1"/>
    <col min="13" max="13" width="13.42578125" customWidth="1"/>
    <col min="14" max="14" width="13.85546875" customWidth="1"/>
    <col min="15" max="15" width="13.7109375" customWidth="1"/>
    <col min="16" max="16" width="12.7109375" customWidth="1"/>
    <col min="17" max="17" width="11.42578125" customWidth="1"/>
    <col min="18" max="18" width="12" customWidth="1"/>
  </cols>
  <sheetData>
    <row r="1" spans="1:10" x14ac:dyDescent="0.25">
      <c r="A1" s="22"/>
      <c r="B1" s="89"/>
      <c r="C1" s="89"/>
    </row>
    <row r="2" spans="1:10" x14ac:dyDescent="0.25">
      <c r="A2" s="154" t="s">
        <v>333</v>
      </c>
      <c r="B2" s="148" t="s">
        <v>119</v>
      </c>
      <c r="C2" s="148" t="s">
        <v>120</v>
      </c>
      <c r="G2" s="197" t="s">
        <v>333</v>
      </c>
      <c r="H2" s="198" t="s">
        <v>128</v>
      </c>
      <c r="I2" s="198" t="s">
        <v>127</v>
      </c>
    </row>
    <row r="3" spans="1:10" x14ac:dyDescent="0.25">
      <c r="A3" s="154" t="s">
        <v>174</v>
      </c>
      <c r="B3" s="147">
        <f>+FISCHER!J11</f>
        <v>6061338.8558999998</v>
      </c>
      <c r="C3" s="147">
        <f>+FISCHER!J28</f>
        <v>0</v>
      </c>
      <c r="G3" s="154" t="s">
        <v>174</v>
      </c>
      <c r="H3" s="147">
        <f>+FISCHER!I11</f>
        <v>6734820.9509999994</v>
      </c>
      <c r="I3" s="147" t="e">
        <f>+FISCHER!I28+FISCHER!#REF!</f>
        <v>#REF!</v>
      </c>
    </row>
    <row r="4" spans="1:10" x14ac:dyDescent="0.25">
      <c r="A4" s="154" t="s">
        <v>249</v>
      </c>
      <c r="B4" s="147">
        <f>+'PABLO FISCHER'!J12</f>
        <v>0</v>
      </c>
      <c r="C4" s="147">
        <f>+'PABLO FISCHER'!J27+'PABLO FISCHER'!J45</f>
        <v>0</v>
      </c>
      <c r="G4" s="154" t="s">
        <v>249</v>
      </c>
      <c r="H4" s="147">
        <f>+'PABLO FISCHER'!I12</f>
        <v>0</v>
      </c>
      <c r="I4" s="147">
        <f>+'PABLO FISCHER'!I27+'PABLO FISCHER'!I45</f>
        <v>0</v>
      </c>
    </row>
    <row r="5" spans="1:10" x14ac:dyDescent="0.25">
      <c r="A5" s="22"/>
      <c r="B5" s="153">
        <f>SUM(B3:B4)</f>
        <v>6061338.8558999998</v>
      </c>
      <c r="C5" s="202">
        <f>SUM(C3:C4)</f>
        <v>0</v>
      </c>
      <c r="D5" s="208">
        <f>SUM(B5:C5)</f>
        <v>6061338.8558999998</v>
      </c>
      <c r="G5" s="200" t="s">
        <v>130</v>
      </c>
      <c r="H5" s="199">
        <f>SUM(H3:H4)</f>
        <v>6734820.9509999994</v>
      </c>
      <c r="I5" s="199" t="e">
        <f>SUM(I3:I4)</f>
        <v>#REF!</v>
      </c>
      <c r="J5" s="207" t="e">
        <f>SUM(H5:I5)</f>
        <v>#REF!</v>
      </c>
    </row>
    <row r="6" spans="1:10" ht="15.75" thickBot="1" x14ac:dyDescent="0.3">
      <c r="G6" s="201" t="s">
        <v>131</v>
      </c>
      <c r="H6" s="202">
        <f>-B5</f>
        <v>-6061338.8558999998</v>
      </c>
      <c r="I6" s="202">
        <f>-C5</f>
        <v>0</v>
      </c>
      <c r="J6" s="208">
        <f>SUM(H6:I6)</f>
        <v>-6061338.8558999998</v>
      </c>
    </row>
    <row r="7" spans="1:10" x14ac:dyDescent="0.25">
      <c r="C7" s="194" t="s">
        <v>72</v>
      </c>
      <c r="D7" s="196">
        <v>60613</v>
      </c>
      <c r="G7" s="205" t="s">
        <v>132</v>
      </c>
      <c r="H7" s="203">
        <f>SUM(H5:H6)</f>
        <v>673482.09509999957</v>
      </c>
      <c r="I7" s="203" t="e">
        <f>SUM(I5:I6)</f>
        <v>#REF!</v>
      </c>
      <c r="J7" s="204" t="e">
        <f>SUM(H7:I7)</f>
        <v>#REF!</v>
      </c>
    </row>
    <row r="8" spans="1:10" ht="15.75" thickBot="1" x14ac:dyDescent="0.3">
      <c r="C8" s="195" t="s">
        <v>129</v>
      </c>
      <c r="D8" s="149" t="s">
        <v>67</v>
      </c>
    </row>
    <row r="9" spans="1:10" ht="15.75" thickBot="1" x14ac:dyDescent="0.3"/>
    <row r="10" spans="1:10" ht="15.75" thickBot="1" x14ac:dyDescent="0.3">
      <c r="B10" s="89"/>
      <c r="C10" s="206" t="s">
        <v>206</v>
      </c>
      <c r="D10" s="210">
        <f>+D7/5</f>
        <v>12122.6</v>
      </c>
    </row>
    <row r="11" spans="1:10" x14ac:dyDescent="0.25">
      <c r="B11" s="89"/>
      <c r="C11" s="89"/>
    </row>
    <row r="12" spans="1:10" x14ac:dyDescent="0.25">
      <c r="B12" s="89"/>
      <c r="C12" s="89"/>
    </row>
    <row r="13" spans="1:10" x14ac:dyDescent="0.25">
      <c r="B13" s="89"/>
      <c r="C13" s="89"/>
    </row>
    <row r="14" spans="1:10" x14ac:dyDescent="0.25">
      <c r="B14" s="89"/>
      <c r="C14" s="89"/>
    </row>
    <row r="15" spans="1:10" ht="15.75" thickBot="1" x14ac:dyDescent="0.3">
      <c r="B15" s="89"/>
      <c r="C15" s="89"/>
    </row>
    <row r="16" spans="1:10" ht="15.75" thickBot="1" x14ac:dyDescent="0.3">
      <c r="B16" s="89"/>
      <c r="C16" s="89"/>
      <c r="F16" s="257"/>
    </row>
    <row r="21" spans="1:18" x14ac:dyDescent="0.25">
      <c r="A21" s="86"/>
      <c r="B21" s="87"/>
    </row>
    <row r="22" spans="1:18" x14ac:dyDescent="0.25">
      <c r="A22" s="86"/>
      <c r="B22" s="87"/>
    </row>
    <row r="23" spans="1:18" x14ac:dyDescent="0.25">
      <c r="A23" s="86"/>
      <c r="B23" s="14"/>
      <c r="E23" s="87"/>
      <c r="Q23" s="89"/>
      <c r="R23" s="89"/>
    </row>
    <row r="24" spans="1:18" x14ac:dyDescent="0.25">
      <c r="A24" s="86"/>
      <c r="B24" s="14"/>
      <c r="E24" s="87"/>
      <c r="N24" s="112"/>
      <c r="Q24" s="89"/>
      <c r="R24" s="89"/>
    </row>
    <row r="25" spans="1:18" x14ac:dyDescent="0.25">
      <c r="A25" s="86"/>
      <c r="B25" s="87"/>
      <c r="E25" s="14"/>
      <c r="N25" s="112"/>
      <c r="Q25" s="89"/>
      <c r="R25" s="89"/>
    </row>
    <row r="26" spans="1:18" x14ac:dyDescent="0.25">
      <c r="A26" s="86"/>
      <c r="B26" s="88"/>
      <c r="E26" s="14"/>
      <c r="H26" s="4"/>
      <c r="N26" s="87"/>
      <c r="Q26" s="89"/>
      <c r="R26" s="89"/>
    </row>
    <row r="27" spans="1:18" x14ac:dyDescent="0.25">
      <c r="A27" s="86"/>
      <c r="B27" s="14"/>
      <c r="E27" s="14"/>
      <c r="H27" s="4"/>
      <c r="Q27" s="89"/>
      <c r="R27" s="89"/>
    </row>
    <row r="28" spans="1:18" x14ac:dyDescent="0.25">
      <c r="A28" s="86"/>
      <c r="B28" s="14"/>
      <c r="E28" s="113"/>
      <c r="F28" s="113"/>
      <c r="H28" s="4"/>
      <c r="K28" s="113"/>
      <c r="L28" s="113"/>
      <c r="M28" s="113"/>
      <c r="N28" s="113"/>
      <c r="Q28" s="89"/>
      <c r="R28" s="89"/>
    </row>
    <row r="29" spans="1:18" x14ac:dyDescent="0.25">
      <c r="A29" s="86"/>
      <c r="B29" s="14"/>
      <c r="H29" s="4"/>
      <c r="Q29" s="89"/>
      <c r="R29" s="89"/>
    </row>
    <row r="30" spans="1:18" x14ac:dyDescent="0.25">
      <c r="A30" s="103"/>
      <c r="B30" s="88"/>
      <c r="E30" s="14"/>
      <c r="H30" s="4"/>
      <c r="Q30" s="89"/>
      <c r="R30" s="89"/>
    </row>
    <row r="31" spans="1:18" x14ac:dyDescent="0.25">
      <c r="A31" s="11"/>
      <c r="B31" s="88"/>
      <c r="E31" s="87"/>
      <c r="G31" s="113"/>
      <c r="H31" s="4"/>
      <c r="I31" s="113"/>
      <c r="J31" s="113"/>
      <c r="P31" s="22"/>
      <c r="Q31" s="89"/>
      <c r="R31" s="89"/>
    </row>
    <row r="32" spans="1:18" x14ac:dyDescent="0.25">
      <c r="A32" s="11"/>
      <c r="B32" s="88"/>
      <c r="E32" s="14"/>
      <c r="H32" s="4"/>
      <c r="Q32" s="89"/>
      <c r="R32" s="89"/>
    </row>
    <row r="33" spans="1:18" x14ac:dyDescent="0.25">
      <c r="A33" s="11"/>
      <c r="B33" s="87"/>
      <c r="E33" s="14"/>
      <c r="H33" s="4"/>
      <c r="Q33" s="89"/>
      <c r="R33" s="89"/>
    </row>
    <row r="34" spans="1:18" x14ac:dyDescent="0.25">
      <c r="A34" s="11"/>
      <c r="H34" s="4"/>
      <c r="Q34" s="89"/>
      <c r="R34" s="89"/>
    </row>
    <row r="35" spans="1:18" x14ac:dyDescent="0.25">
      <c r="A35" s="11"/>
      <c r="H35" s="4"/>
      <c r="Q35" s="89"/>
      <c r="R35" s="89"/>
    </row>
    <row r="36" spans="1:18" x14ac:dyDescent="0.25">
      <c r="A36" s="11"/>
      <c r="B36" s="14"/>
      <c r="H36" s="4"/>
      <c r="Q36" s="89"/>
      <c r="R36" s="89"/>
    </row>
    <row r="37" spans="1:18" x14ac:dyDescent="0.25">
      <c r="A37" s="11"/>
      <c r="B37" s="14"/>
      <c r="H37" s="4"/>
      <c r="Q37" s="89"/>
      <c r="R37" s="89"/>
    </row>
    <row r="38" spans="1:18" x14ac:dyDescent="0.25">
      <c r="A38" s="11"/>
      <c r="B38" s="14"/>
      <c r="H38" s="4"/>
      <c r="Q38" s="89"/>
      <c r="R38" s="89"/>
    </row>
    <row r="39" spans="1:18" x14ac:dyDescent="0.25">
      <c r="A39" s="11"/>
      <c r="B39" s="14"/>
      <c r="H39" s="4"/>
      <c r="Q39" s="89"/>
      <c r="R39" s="89"/>
    </row>
    <row r="40" spans="1:18" x14ac:dyDescent="0.25">
      <c r="A40" s="11"/>
      <c r="B40" s="14"/>
      <c r="H40" s="4"/>
    </row>
    <row r="41" spans="1:18" x14ac:dyDescent="0.25">
      <c r="A41" s="11"/>
      <c r="B41" s="14"/>
      <c r="H41" s="4"/>
    </row>
    <row r="42" spans="1:18" x14ac:dyDescent="0.25">
      <c r="B42" s="87"/>
      <c r="H42" s="4"/>
    </row>
    <row r="43" spans="1:18" x14ac:dyDescent="0.25">
      <c r="H43" s="4"/>
    </row>
    <row r="61" spans="8:8" x14ac:dyDescent="0.25">
      <c r="H61" s="113"/>
    </row>
  </sheetData>
  <pageMargins left="0.7" right="0.7" top="0.75" bottom="0.75" header="0.51180555555555496" footer="0.51180555555555496"/>
  <pageSetup paperSize="9" firstPageNumber="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20"/>
  <sheetViews>
    <sheetView workbookViewId="0">
      <selection activeCell="J18" sqref="J18"/>
    </sheetView>
  </sheetViews>
  <sheetFormatPr baseColWidth="10" defaultColWidth="9.140625" defaultRowHeight="15" x14ac:dyDescent="0.25"/>
  <sheetData>
    <row r="1" spans="1:14" ht="35.25" thickBot="1" x14ac:dyDescent="0.3">
      <c r="A1" s="51" t="s">
        <v>37</v>
      </c>
      <c r="D1" s="52" t="s">
        <v>16</v>
      </c>
      <c r="E1" s="53" t="s">
        <v>38</v>
      </c>
      <c r="G1" s="54" t="s">
        <v>16</v>
      </c>
      <c r="H1" s="55" t="s">
        <v>14</v>
      </c>
      <c r="J1" s="56" t="s">
        <v>16</v>
      </c>
      <c r="K1" s="57" t="s">
        <v>15</v>
      </c>
      <c r="M1" s="58" t="s">
        <v>16</v>
      </c>
      <c r="N1" s="59" t="s">
        <v>11</v>
      </c>
    </row>
    <row r="2" spans="1:14" x14ac:dyDescent="0.25">
      <c r="A2" s="60" t="s">
        <v>39</v>
      </c>
      <c r="D2" s="61" t="s">
        <v>31</v>
      </c>
      <c r="E2" s="39" t="e">
        <f>+#REF!</f>
        <v>#REF!</v>
      </c>
      <c r="G2" s="61" t="s">
        <v>23</v>
      </c>
      <c r="H2" s="15"/>
      <c r="J2" s="61" t="s">
        <v>23</v>
      </c>
      <c r="K2" s="15"/>
      <c r="M2" s="61" t="s">
        <v>23</v>
      </c>
      <c r="N2" s="39"/>
    </row>
    <row r="3" spans="1:14" x14ac:dyDescent="0.25">
      <c r="A3" s="60" t="s">
        <v>40</v>
      </c>
      <c r="B3" s="60"/>
      <c r="D3" s="61" t="s">
        <v>41</v>
      </c>
      <c r="E3" s="39" t="e">
        <v>#N/A</v>
      </c>
      <c r="G3" s="61" t="s">
        <v>42</v>
      </c>
      <c r="H3" s="39"/>
      <c r="J3" s="61" t="s">
        <v>42</v>
      </c>
      <c r="K3" s="39"/>
      <c r="M3" s="61" t="s">
        <v>42</v>
      </c>
      <c r="N3" s="39"/>
    </row>
    <row r="4" spans="1:14" x14ac:dyDescent="0.25">
      <c r="D4" s="61" t="s">
        <v>26</v>
      </c>
      <c r="E4" s="39" t="e">
        <v>#N/A</v>
      </c>
      <c r="G4" s="61" t="s">
        <v>43</v>
      </c>
      <c r="H4" s="39"/>
      <c r="J4" s="61" t="s">
        <v>43</v>
      </c>
      <c r="K4" s="39"/>
      <c r="M4" s="61" t="s">
        <v>43</v>
      </c>
      <c r="N4" s="39"/>
    </row>
    <row r="5" spans="1:14" x14ac:dyDescent="0.25">
      <c r="A5" s="62" t="s">
        <v>23</v>
      </c>
      <c r="B5" s="63">
        <f>+GALLASTEGUI!B136</f>
        <v>-24693.410000000003</v>
      </c>
      <c r="D5" s="61" t="s">
        <v>25</v>
      </c>
      <c r="E5" s="39" t="e">
        <f>+SCHWINDT!#REF!</f>
        <v>#REF!</v>
      </c>
      <c r="G5" s="61" t="s">
        <v>25</v>
      </c>
      <c r="H5" s="39"/>
      <c r="J5" s="61" t="s">
        <v>25</v>
      </c>
      <c r="K5" s="39"/>
      <c r="M5" s="61" t="s">
        <v>25</v>
      </c>
      <c r="N5" s="15"/>
    </row>
    <row r="6" spans="1:14" x14ac:dyDescent="0.25">
      <c r="A6" s="64" t="s">
        <v>24</v>
      </c>
      <c r="B6" s="65" t="e">
        <f>+#REF!</f>
        <v>#REF!</v>
      </c>
      <c r="D6" s="44" t="s">
        <v>27</v>
      </c>
      <c r="E6" s="39" t="e">
        <f>+#REF!</f>
        <v>#REF!</v>
      </c>
      <c r="G6" s="61" t="s">
        <v>44</v>
      </c>
      <c r="H6" s="15"/>
      <c r="J6" s="61" t="s">
        <v>44</v>
      </c>
      <c r="K6" s="39"/>
      <c r="M6" s="61" t="s">
        <v>44</v>
      </c>
      <c r="N6" s="15"/>
    </row>
    <row r="7" spans="1:14" x14ac:dyDescent="0.25">
      <c r="A7" s="66" t="s">
        <v>25</v>
      </c>
      <c r="B7" s="67" t="e">
        <f>+SCHWINDT!#REF!</f>
        <v>#REF!</v>
      </c>
      <c r="C7" s="68"/>
      <c r="D7" s="61" t="s">
        <v>28</v>
      </c>
      <c r="E7" s="39" t="e">
        <f>+#REF!</f>
        <v>#REF!</v>
      </c>
      <c r="G7" s="61" t="s">
        <v>27</v>
      </c>
      <c r="H7" s="39"/>
      <c r="J7" s="61" t="s">
        <v>27</v>
      </c>
      <c r="K7" s="39"/>
      <c r="M7" s="61" t="s">
        <v>27</v>
      </c>
      <c r="N7" s="39"/>
    </row>
    <row r="8" spans="1:14" x14ac:dyDescent="0.25">
      <c r="A8" s="69" t="s">
        <v>27</v>
      </c>
      <c r="B8" s="70" t="e">
        <f>+#REF!</f>
        <v>#REF!</v>
      </c>
      <c r="C8" s="68"/>
      <c r="D8" s="61" t="s">
        <v>45</v>
      </c>
      <c r="E8" s="39">
        <f>+ I10</f>
        <v>0</v>
      </c>
      <c r="G8" s="44" t="s">
        <v>46</v>
      </c>
      <c r="H8" s="39"/>
      <c r="J8" s="44" t="s">
        <v>46</v>
      </c>
      <c r="K8" s="39"/>
      <c r="M8" s="61" t="s">
        <v>46</v>
      </c>
      <c r="N8" s="39"/>
    </row>
    <row r="9" spans="1:14" x14ac:dyDescent="0.25">
      <c r="A9" s="71" t="s">
        <v>28</v>
      </c>
      <c r="B9" s="72" t="e">
        <f>+#REF!</f>
        <v>#REF!</v>
      </c>
      <c r="C9" s="73"/>
      <c r="D9" s="44" t="s">
        <v>47</v>
      </c>
      <c r="E9" s="39" t="e">
        <v>#N/A</v>
      </c>
      <c r="G9" s="61" t="s">
        <v>26</v>
      </c>
      <c r="H9" s="74"/>
      <c r="J9" s="61" t="s">
        <v>26</v>
      </c>
      <c r="K9" s="39"/>
      <c r="M9" s="61" t="s">
        <v>26</v>
      </c>
      <c r="N9" s="39"/>
    </row>
    <row r="10" spans="1:14" x14ac:dyDescent="0.25">
      <c r="A10" s="62" t="s">
        <v>30</v>
      </c>
      <c r="B10" s="63" t="e">
        <f>+#REF!</f>
        <v>#REF!</v>
      </c>
      <c r="D10" s="61" t="s">
        <v>46</v>
      </c>
      <c r="E10" s="39">
        <f>+ I20</f>
        <v>0</v>
      </c>
      <c r="G10" s="61" t="s">
        <v>24</v>
      </c>
      <c r="H10" s="74"/>
      <c r="J10" s="61" t="s">
        <v>24</v>
      </c>
      <c r="K10" s="39"/>
      <c r="M10" s="44" t="s">
        <v>24</v>
      </c>
      <c r="N10" s="39"/>
    </row>
    <row r="11" spans="1:14" x14ac:dyDescent="0.25">
      <c r="A11" s="75" t="s">
        <v>31</v>
      </c>
      <c r="B11" s="76" t="e">
        <f>+#REF!</f>
        <v>#REF!</v>
      </c>
      <c r="D11" s="61" t="s">
        <v>23</v>
      </c>
      <c r="E11" s="39" t="e">
        <f>+GALLASTEGUI!#REF!</f>
        <v>#REF!</v>
      </c>
      <c r="G11" s="61" t="s">
        <v>28</v>
      </c>
      <c r="H11" s="74"/>
      <c r="J11" s="44" t="s">
        <v>28</v>
      </c>
      <c r="K11" s="39"/>
      <c r="M11" s="61" t="s">
        <v>28</v>
      </c>
      <c r="N11" s="74"/>
    </row>
    <row r="12" spans="1:14" x14ac:dyDescent="0.25">
      <c r="A12" s="77" t="s">
        <v>32</v>
      </c>
      <c r="B12" s="78" t="e">
        <f>+#REF!</f>
        <v>#REF!</v>
      </c>
      <c r="D12" s="61" t="s">
        <v>24</v>
      </c>
      <c r="E12" s="39" t="e">
        <f>+#REF!</f>
        <v>#REF!</v>
      </c>
      <c r="G12" s="44" t="s">
        <v>48</v>
      </c>
      <c r="H12" s="74"/>
      <c r="J12" s="61" t="s">
        <v>48</v>
      </c>
      <c r="K12" s="39"/>
      <c r="M12" s="44" t="s">
        <v>48</v>
      </c>
      <c r="N12" s="74"/>
    </row>
    <row r="13" spans="1:14" x14ac:dyDescent="0.25">
      <c r="A13" s="79" t="s">
        <v>33</v>
      </c>
      <c r="B13" s="94" t="e">
        <f>+#REF!</f>
        <v>#REF!</v>
      </c>
      <c r="D13" s="61" t="s">
        <v>29</v>
      </c>
      <c r="E13" s="39" t="e">
        <f>+#REF!</f>
        <v>#REF!</v>
      </c>
    </row>
    <row r="14" spans="1:14" x14ac:dyDescent="0.25">
      <c r="A14" s="80" t="s">
        <v>34</v>
      </c>
      <c r="B14" s="95" t="e">
        <f>+#REF!</f>
        <v>#REF!</v>
      </c>
      <c r="D14" s="61" t="s">
        <v>30</v>
      </c>
      <c r="E14" s="39" t="e">
        <f>+#REF!</f>
        <v>#REF!</v>
      </c>
    </row>
    <row r="15" spans="1:14" x14ac:dyDescent="0.25">
      <c r="A15" s="81" t="s">
        <v>35</v>
      </c>
      <c r="B15" s="96" t="e">
        <f>+#REF!</f>
        <v>#REF!</v>
      </c>
    </row>
    <row r="16" spans="1:14" x14ac:dyDescent="0.25">
      <c r="A16" s="92" t="s">
        <v>49</v>
      </c>
      <c r="B16" s="97">
        <f>+'SAENZ BURUAGA'!B170</f>
        <v>-12799.98000000001</v>
      </c>
    </row>
    <row r="17" spans="1:2" x14ac:dyDescent="0.25">
      <c r="A17" s="93" t="s">
        <v>50</v>
      </c>
      <c r="B17" s="98" t="e">
        <f>+#REF!</f>
        <v>#REF!</v>
      </c>
    </row>
    <row r="18" spans="1:2" x14ac:dyDescent="0.25">
      <c r="A18" s="106" t="s">
        <v>46</v>
      </c>
      <c r="B18" s="107">
        <f>+SCHMIDT!B195</f>
        <v>-23080.32</v>
      </c>
    </row>
    <row r="19" spans="1:2" x14ac:dyDescent="0.25">
      <c r="A19" s="104" t="s">
        <v>52</v>
      </c>
      <c r="B19" s="105" t="e">
        <f>+#REF!</f>
        <v>#REF!</v>
      </c>
    </row>
    <row r="20" spans="1:2" x14ac:dyDescent="0.25">
      <c r="A20" s="108" t="s">
        <v>53</v>
      </c>
      <c r="B20" s="109" t="e">
        <f>+#REF!</f>
        <v>#REF!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20"/>
  <sheetViews>
    <sheetView workbookViewId="0">
      <selection activeCell="J18" sqref="J18"/>
    </sheetView>
  </sheetViews>
  <sheetFormatPr baseColWidth="10" defaultColWidth="9.140625" defaultRowHeight="15" x14ac:dyDescent="0.25"/>
  <cols>
    <col min="1" max="1025" width="10.7109375"/>
  </cols>
  <sheetData>
    <row r="1" spans="1:14" ht="34.5" x14ac:dyDescent="0.25">
      <c r="A1" s="51" t="s">
        <v>37</v>
      </c>
      <c r="D1" s="52" t="s">
        <v>16</v>
      </c>
      <c r="E1" s="53" t="s">
        <v>38</v>
      </c>
      <c r="G1" s="54" t="s">
        <v>16</v>
      </c>
      <c r="H1" s="55" t="s">
        <v>14</v>
      </c>
      <c r="J1" s="56" t="s">
        <v>16</v>
      </c>
      <c r="K1" s="57" t="s">
        <v>15</v>
      </c>
      <c r="M1" s="58" t="s">
        <v>16</v>
      </c>
      <c r="N1" s="59" t="s">
        <v>11</v>
      </c>
    </row>
    <row r="2" spans="1:14" x14ac:dyDescent="0.25">
      <c r="A2" s="60" t="s">
        <v>39</v>
      </c>
      <c r="D2" s="61" t="s">
        <v>31</v>
      </c>
      <c r="E2" s="39" t="e">
        <f>+#REF!</f>
        <v>#REF!</v>
      </c>
      <c r="G2" s="61" t="s">
        <v>23</v>
      </c>
      <c r="H2" s="15"/>
      <c r="J2" s="61" t="s">
        <v>23</v>
      </c>
      <c r="K2" s="15"/>
      <c r="M2" s="61" t="s">
        <v>23</v>
      </c>
      <c r="N2" s="39"/>
    </row>
    <row r="3" spans="1:14" x14ac:dyDescent="0.25">
      <c r="A3" s="60" t="s">
        <v>40</v>
      </c>
      <c r="B3" s="60"/>
      <c r="D3" s="61" t="s">
        <v>41</v>
      </c>
      <c r="E3" s="39" t="e">
        <v>#N/A</v>
      </c>
      <c r="G3" s="61" t="s">
        <v>42</v>
      </c>
      <c r="H3" s="39"/>
      <c r="J3" s="61" t="s">
        <v>42</v>
      </c>
      <c r="K3" s="39"/>
      <c r="M3" s="61" t="s">
        <v>42</v>
      </c>
      <c r="N3" s="39"/>
    </row>
    <row r="4" spans="1:14" x14ac:dyDescent="0.25">
      <c r="D4" s="61" t="s">
        <v>26</v>
      </c>
      <c r="E4" s="39" t="e">
        <v>#N/A</v>
      </c>
      <c r="G4" s="61" t="s">
        <v>43</v>
      </c>
      <c r="H4" s="39"/>
      <c r="J4" s="61" t="s">
        <v>43</v>
      </c>
      <c r="K4" s="39"/>
      <c r="M4" s="61" t="s">
        <v>43</v>
      </c>
      <c r="N4" s="39"/>
    </row>
    <row r="5" spans="1:14" x14ac:dyDescent="0.25">
      <c r="A5" s="62" t="s">
        <v>23</v>
      </c>
      <c r="B5" s="63">
        <f>+GALLASTEGUI!B136</f>
        <v>-24693.410000000003</v>
      </c>
      <c r="D5" s="61" t="s">
        <v>25</v>
      </c>
      <c r="E5" s="39" t="e">
        <f>+SCHWINDT!#REF!</f>
        <v>#REF!</v>
      </c>
      <c r="G5" s="61" t="s">
        <v>25</v>
      </c>
      <c r="H5" s="39"/>
      <c r="J5" s="61" t="s">
        <v>25</v>
      </c>
      <c r="K5" s="39"/>
      <c r="M5" s="61" t="s">
        <v>25</v>
      </c>
      <c r="N5" s="15"/>
    </row>
    <row r="6" spans="1:14" x14ac:dyDescent="0.25">
      <c r="A6" s="64" t="s">
        <v>24</v>
      </c>
      <c r="B6" s="65" t="e">
        <f>+#REF!</f>
        <v>#REF!</v>
      </c>
      <c r="D6" s="44" t="s">
        <v>27</v>
      </c>
      <c r="E6" s="39" t="e">
        <f>+#REF!</f>
        <v>#REF!</v>
      </c>
      <c r="G6" s="61" t="s">
        <v>44</v>
      </c>
      <c r="H6" s="15"/>
      <c r="J6" s="61" t="s">
        <v>44</v>
      </c>
      <c r="K6" s="39"/>
      <c r="M6" s="61" t="s">
        <v>44</v>
      </c>
      <c r="N6" s="15"/>
    </row>
    <row r="7" spans="1:14" x14ac:dyDescent="0.25">
      <c r="A7" s="66" t="s">
        <v>25</v>
      </c>
      <c r="B7" s="67" t="e">
        <f>+SCHWINDT!#REF!</f>
        <v>#REF!</v>
      </c>
      <c r="C7" s="68"/>
      <c r="D7" s="61" t="s">
        <v>28</v>
      </c>
      <c r="E7" s="39" t="e">
        <f>+#REF!</f>
        <v>#REF!</v>
      </c>
      <c r="G7" s="61" t="s">
        <v>27</v>
      </c>
      <c r="H7" s="39"/>
      <c r="J7" s="61" t="s">
        <v>27</v>
      </c>
      <c r="K7" s="39"/>
      <c r="M7" s="61" t="s">
        <v>27</v>
      </c>
      <c r="N7" s="39"/>
    </row>
    <row r="8" spans="1:14" x14ac:dyDescent="0.25">
      <c r="A8" s="69" t="s">
        <v>27</v>
      </c>
      <c r="B8" s="70" t="e">
        <f>+#REF!</f>
        <v>#REF!</v>
      </c>
      <c r="C8" s="68"/>
      <c r="D8" s="61" t="s">
        <v>45</v>
      </c>
      <c r="E8" s="39">
        <f>+ I10</f>
        <v>0</v>
      </c>
      <c r="G8" s="44" t="s">
        <v>46</v>
      </c>
      <c r="H8" s="39"/>
      <c r="J8" s="44" t="s">
        <v>46</v>
      </c>
      <c r="K8" s="39"/>
      <c r="M8" s="61" t="s">
        <v>46</v>
      </c>
      <c r="N8" s="39"/>
    </row>
    <row r="9" spans="1:14" x14ac:dyDescent="0.25">
      <c r="A9" s="71" t="s">
        <v>28</v>
      </c>
      <c r="B9" s="72" t="e">
        <f>+#REF!</f>
        <v>#REF!</v>
      </c>
      <c r="C9" s="73"/>
      <c r="D9" s="44" t="s">
        <v>47</v>
      </c>
      <c r="E9" s="39" t="e">
        <v>#N/A</v>
      </c>
      <c r="G9" s="61" t="s">
        <v>26</v>
      </c>
      <c r="H9" s="74"/>
      <c r="J9" s="61" t="s">
        <v>26</v>
      </c>
      <c r="K9" s="39"/>
      <c r="M9" s="61" t="s">
        <v>26</v>
      </c>
      <c r="N9" s="39"/>
    </row>
    <row r="10" spans="1:14" x14ac:dyDescent="0.25">
      <c r="A10" s="62" t="s">
        <v>30</v>
      </c>
      <c r="B10" s="63" t="e">
        <f>+#REF!</f>
        <v>#REF!</v>
      </c>
      <c r="D10" s="61" t="s">
        <v>46</v>
      </c>
      <c r="E10" s="39">
        <f>+ I20</f>
        <v>0</v>
      </c>
      <c r="G10" s="61" t="s">
        <v>24</v>
      </c>
      <c r="H10" s="74"/>
      <c r="J10" s="61" t="s">
        <v>24</v>
      </c>
      <c r="K10" s="39"/>
      <c r="M10" s="44" t="s">
        <v>24</v>
      </c>
      <c r="N10" s="39"/>
    </row>
    <row r="11" spans="1:14" x14ac:dyDescent="0.25">
      <c r="A11" s="75" t="s">
        <v>31</v>
      </c>
      <c r="B11" s="76" t="e">
        <f>+#REF!</f>
        <v>#REF!</v>
      </c>
      <c r="D11" s="61" t="s">
        <v>23</v>
      </c>
      <c r="E11" s="39" t="e">
        <f>+GALLASTEGUI!#REF!</f>
        <v>#REF!</v>
      </c>
      <c r="G11" s="61" t="s">
        <v>28</v>
      </c>
      <c r="H11" s="74"/>
      <c r="J11" s="44" t="s">
        <v>28</v>
      </c>
      <c r="K11" s="39"/>
      <c r="M11" s="61" t="s">
        <v>28</v>
      </c>
      <c r="N11" s="74"/>
    </row>
    <row r="12" spans="1:14" x14ac:dyDescent="0.25">
      <c r="A12" s="77" t="s">
        <v>32</v>
      </c>
      <c r="B12" s="78" t="e">
        <f>+#REF!</f>
        <v>#REF!</v>
      </c>
      <c r="D12" s="61" t="s">
        <v>24</v>
      </c>
      <c r="E12" s="39" t="e">
        <f>+#REF!</f>
        <v>#REF!</v>
      </c>
      <c r="G12" s="44" t="s">
        <v>48</v>
      </c>
      <c r="H12" s="74"/>
      <c r="J12" s="61" t="s">
        <v>48</v>
      </c>
      <c r="K12" s="39"/>
      <c r="M12" s="44" t="s">
        <v>48</v>
      </c>
      <c r="N12" s="74"/>
    </row>
    <row r="13" spans="1:14" x14ac:dyDescent="0.25">
      <c r="A13" s="79" t="s">
        <v>33</v>
      </c>
      <c r="B13" s="94" t="e">
        <f>+#REF!</f>
        <v>#REF!</v>
      </c>
      <c r="D13" s="61" t="s">
        <v>29</v>
      </c>
      <c r="E13" s="39" t="e">
        <f>+#REF!</f>
        <v>#REF!</v>
      </c>
    </row>
    <row r="14" spans="1:14" x14ac:dyDescent="0.25">
      <c r="A14" s="80" t="s">
        <v>34</v>
      </c>
      <c r="B14" s="95" t="e">
        <f>+#REF!</f>
        <v>#REF!</v>
      </c>
      <c r="D14" s="61" t="s">
        <v>30</v>
      </c>
      <c r="E14" s="39" t="e">
        <f>+#REF!</f>
        <v>#REF!</v>
      </c>
    </row>
    <row r="15" spans="1:14" x14ac:dyDescent="0.25">
      <c r="A15" s="81" t="s">
        <v>35</v>
      </c>
      <c r="B15" s="96" t="e">
        <f>+#REF!</f>
        <v>#REF!</v>
      </c>
    </row>
    <row r="16" spans="1:14" x14ac:dyDescent="0.25">
      <c r="A16" s="92" t="s">
        <v>49</v>
      </c>
      <c r="B16" s="97">
        <f>+'SAENZ BURUAGA'!B170</f>
        <v>-12799.98000000001</v>
      </c>
    </row>
    <row r="17" spans="1:2" x14ac:dyDescent="0.25">
      <c r="A17" s="93" t="s">
        <v>50</v>
      </c>
      <c r="B17" s="98" t="e">
        <f>+#REF!</f>
        <v>#REF!</v>
      </c>
    </row>
    <row r="18" spans="1:2" x14ac:dyDescent="0.25">
      <c r="A18" s="106" t="s">
        <v>46</v>
      </c>
      <c r="B18" s="107">
        <f>+SCHMIDT!B195</f>
        <v>-23080.32</v>
      </c>
    </row>
    <row r="19" spans="1:2" x14ac:dyDescent="0.25">
      <c r="A19" s="104" t="s">
        <v>52</v>
      </c>
      <c r="B19" s="105" t="e">
        <f>+#REF!</f>
        <v>#REF!</v>
      </c>
    </row>
    <row r="20" spans="1:2" x14ac:dyDescent="0.25">
      <c r="A20" s="108" t="s">
        <v>53</v>
      </c>
      <c r="B20" s="109" t="e">
        <f>+#REF!</f>
        <v>#REF!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>
      <selection activeCell="I20" sqref="I20"/>
    </sheetView>
  </sheetViews>
  <sheetFormatPr baseColWidth="10" defaultColWidth="9.140625" defaultRowHeight="15" x14ac:dyDescent="0.25"/>
  <cols>
    <col min="1" max="1025" width="10.710937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67</vt:i4>
      </vt:variant>
    </vt:vector>
  </HeadingPairs>
  <TitlesOfParts>
    <vt:vector size="67" baseType="lpstr">
      <vt:lpstr>GALLASTEGUI</vt:lpstr>
      <vt:lpstr>SCHWINDT</vt:lpstr>
      <vt:lpstr>SAENZ BURUAGA</vt:lpstr>
      <vt:lpstr>SCHMIDT</vt:lpstr>
      <vt:lpstr>CEJAS</vt:lpstr>
      <vt:lpstr>VALERGA</vt:lpstr>
      <vt:lpstr>PUCHETA</vt:lpstr>
      <vt:lpstr>CALIGIURI</vt:lpstr>
      <vt:lpstr>ASTEAZARAN</vt:lpstr>
      <vt:lpstr>GARMENDIA</vt:lpstr>
      <vt:lpstr>SALTO</vt:lpstr>
      <vt:lpstr>BAZAN</vt:lpstr>
      <vt:lpstr>BORDIGNON</vt:lpstr>
      <vt:lpstr>LAGANO D</vt:lpstr>
      <vt:lpstr>NOVILLO</vt:lpstr>
      <vt:lpstr>ARIAS</vt:lpstr>
      <vt:lpstr>JUAREZ</vt:lpstr>
      <vt:lpstr>MEHRING</vt:lpstr>
      <vt:lpstr>RAMOS</vt:lpstr>
      <vt:lpstr>GARCIA</vt:lpstr>
      <vt:lpstr>BENITEZ</vt:lpstr>
      <vt:lpstr>CANCELA</vt:lpstr>
      <vt:lpstr>COSENTINO</vt:lpstr>
      <vt:lpstr>SALTO MAXIMILIANO</vt:lpstr>
      <vt:lpstr>RANDAZZO</vt:lpstr>
      <vt:lpstr>ACOSTA</vt:lpstr>
      <vt:lpstr>RUPPEL</vt:lpstr>
      <vt:lpstr>RUCKERT</vt:lpstr>
      <vt:lpstr>FERNANDEZ</vt:lpstr>
      <vt:lpstr>MAZZEI</vt:lpstr>
      <vt:lpstr>GUILFOR</vt:lpstr>
      <vt:lpstr>SURRA</vt:lpstr>
      <vt:lpstr>GRASSI</vt:lpstr>
      <vt:lpstr>ORLANDO</vt:lpstr>
      <vt:lpstr>ALVAREZ</vt:lpstr>
      <vt:lpstr> MARTINEZ NICO</vt:lpstr>
      <vt:lpstr>URBAN</vt:lpstr>
      <vt:lpstr>CEJAS DIEGO</vt:lpstr>
      <vt:lpstr>JUAREZ LUIS</vt:lpstr>
      <vt:lpstr>ARCUBY </vt:lpstr>
      <vt:lpstr>DE LIBANO</vt:lpstr>
      <vt:lpstr>FERNANDEZ FACUNDO</vt:lpstr>
      <vt:lpstr>PITTANA</vt:lpstr>
      <vt:lpstr>PITTANA EUGENIO</vt:lpstr>
      <vt:lpstr>EUGENIO PITTA</vt:lpstr>
      <vt:lpstr>ALBORNOZ</vt:lpstr>
      <vt:lpstr>CARTASSO</vt:lpstr>
      <vt:lpstr>ANDRUSZEZEN</vt:lpstr>
      <vt:lpstr>PAZ</vt:lpstr>
      <vt:lpstr>LEYENDEKER</vt:lpstr>
      <vt:lpstr>FRANCO</vt:lpstr>
      <vt:lpstr>LARRECOCHEA J.</vt:lpstr>
      <vt:lpstr>LARRECOCHEA MARCELO</vt:lpstr>
      <vt:lpstr>PITANA MAXI</vt:lpstr>
      <vt:lpstr>GARMENDIA L.</vt:lpstr>
      <vt:lpstr>GOMEZ M.</vt:lpstr>
      <vt:lpstr>PAREDEZ</vt:lpstr>
      <vt:lpstr>ASTEAZARAN  AGUSTIN</vt:lpstr>
      <vt:lpstr>VALENZA</vt:lpstr>
      <vt:lpstr>JUAREZ N</vt:lpstr>
      <vt:lpstr>TOTALES</vt:lpstr>
      <vt:lpstr>FISCHER</vt:lpstr>
      <vt:lpstr>PABLO FISCHER</vt:lpstr>
      <vt:lpstr>TOTAL</vt:lpstr>
      <vt:lpstr>HOJA DE GASTOS (2)</vt:lpstr>
      <vt:lpstr>HOJA DE GASTOS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Alejandro Hait</cp:lastModifiedBy>
  <cp:revision>0</cp:revision>
  <cp:lastPrinted>2022-12-02T15:16:18Z</cp:lastPrinted>
  <dcterms:created xsi:type="dcterms:W3CDTF">2010-10-07T14:48:32Z</dcterms:created>
  <dcterms:modified xsi:type="dcterms:W3CDTF">2026-05-22T18:52:20Z</dcterms:modified>
</cp:coreProperties>
</file>